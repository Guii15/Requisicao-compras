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.  FEV." sheetId="1" r:id="rId5"/>
    <sheet state="visible" name="MARÇO  ABRIL" sheetId="2" r:id="rId6"/>
    <sheet state="visible" name="MAIO " sheetId="3" r:id="rId7"/>
    <sheet state="visible" name="JULHO" sheetId="4" r:id="rId8"/>
    <sheet state="visible" name="JUNHO" sheetId="5" r:id="rId9"/>
    <sheet state="visible" name="AGOSTO" sheetId="6" r:id="rId10"/>
    <sheet state="visible" name="SETEMBRO" sheetId="7" r:id="rId11"/>
    <sheet state="visible" name="SHOWROOM" sheetId="8" r:id="rId12"/>
    <sheet state="visible" name="ShowRoom1" sheetId="9" r:id="rId13"/>
    <sheet state="hidden" name="Compra Pati" sheetId="10" r:id="rId14"/>
  </sheets>
  <definedNames>
    <definedName hidden="1" localSheetId="1" name="_xlnm._FilterDatabase">'MARÇO  ABRIL'!$A$7:$Y$772</definedName>
    <definedName hidden="1" localSheetId="2" name="_xlnm._FilterDatabase">'MAIO '!$A$7:$T$482</definedName>
    <definedName hidden="1" localSheetId="3" name="_xlnm._FilterDatabase">JULHO!$A$7:$T$716</definedName>
    <definedName hidden="1" localSheetId="4" name="_xlnm._FilterDatabase">JUNHO!$A$7:$T$605</definedName>
    <definedName hidden="1" localSheetId="5" name="_xlnm._FilterDatabase">AGOSTO!$A$5:$Z$650</definedName>
    <definedName hidden="1" localSheetId="6" name="_xlnm._FilterDatabase">SETEMBRO!$A$5:$T$733</definedName>
    <definedName hidden="1" localSheetId="7" name="_xlnm._FilterDatabase">SHOWROOM!$B$7:$N$120</definedName>
    <definedName hidden="1" localSheetId="8" name="_xlnm._FilterDatabase">ShowRoom1!$A$7:$N$202</definedName>
    <definedName hidden="1" localSheetId="9" name="_xlnm._FilterDatabase">'Compra Pati'!$A$1:$AA$24</definedName>
    <definedName hidden="1" localSheetId="0" name="Z_363B5505_9424_49BB_9091_AEB6D93CC44C_.wvu.FilterData">'JAN.  FEV.'!$A$7:$Y$325</definedName>
    <definedName hidden="1" localSheetId="0" name="Z_011D09D9_BA89_4D0B_9506_D9DA30850F67_.wvu.FilterData">'JAN.  FEV.'!$A$7:$Y$331</definedName>
    <definedName hidden="1" localSheetId="3" name="Z_011D09D9_BA89_4D0B_9506_D9DA30850F67_.wvu.FilterData">JULHO!$A$7:$T$609</definedName>
    <definedName hidden="1" localSheetId="1" name="Z_011D09D9_BA89_4D0B_9506_D9DA30850F67_.wvu.FilterData">'MARÇO  ABRIL'!$B$1:$M$772</definedName>
    <definedName hidden="1" localSheetId="4" name="Z_011D09D9_BA89_4D0B_9506_D9DA30850F67_.wvu.FilterData">JUNHO!$A$7:$T$604</definedName>
    <definedName hidden="1" localSheetId="1" name="Z_7E4CFD78_2102_4BA5_A46A_C320C22C865B_.wvu.FilterData">'MARÇO  ABRIL'!$A$7:$Y$772</definedName>
    <definedName hidden="1" localSheetId="3" name="Z_C3504DA8_6A6B_47DB_92DD_78888F7DB974_.wvu.FilterData">JULHO!$A$7:$T$609</definedName>
    <definedName hidden="1" localSheetId="4" name="Z_C3504DA8_6A6B_47DB_92DD_78888F7DB974_.wvu.FilterData">JUNHO!$A$7:$T$604</definedName>
    <definedName hidden="1" localSheetId="3" name="Z_5E4EE145_4625_4E30_8966_A0D7453EE38F_.wvu.FilterData">JULHO!$A$7:$T$609</definedName>
  </definedNames>
  <calcPr/>
  <customWorkbookViews>
    <customWorkbookView activeSheetId="0" maximized="1" windowHeight="0" windowWidth="0" guid="{363B5505-9424-49BB-9091-AEB6D93CC44C}" name="Minha visão"/>
    <customWorkbookView activeSheetId="0" maximized="1" windowHeight="0" windowWidth="0" guid="{011D09D9-BA89-4D0B-9506-D9DA30850F67}" name="Filtro 1"/>
    <customWorkbookView activeSheetId="0" maximized="1" windowHeight="0" windowWidth="0" guid="{7E4CFD78-2102-4BA5-A46A-C320C22C865B}" name="Visão minha"/>
    <customWorkbookView activeSheetId="0" maximized="1" windowHeight="0" windowWidth="0" guid="{C3504DA8-6A6B-47DB-92DD-78888F7DB974}" name="Paloma"/>
    <customWorkbookView activeSheetId="0" maximized="1" windowHeight="0" windowWidth="0" guid="{5E4EE145-4625-4E30-8966-A0D7453EE38F}" name="Felipe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tc={034f8f26-1faa-4b93-8bc5-71b972331145}</author>
    <author>tc={0b32d870-2707-44b0-9cbb-eab33ff7a6ee}</author>
    <author>tc={17f4a24a-5c0c-432b-bf38-51da796ed5c5}</author>
    <author>tc={295f7f8e-6c47-4b51-9981-09a6a5439c12}</author>
    <author>tc={3e74502e-ef12-4309-bd66-9965cff0209a}</author>
    <author>tc={3fb2bf23-39ab-478c-a39a-38961922b33d}</author>
    <author>tc={4ca09111-45a8-4836-9aac-a2a0e3d22c73}</author>
    <author>tc={5480ca3f-c37a-4d5e-b958-14dbca0c154f}</author>
    <author>tc={5eaa3d8e-5f32-46bd-9250-8e76cd0a7b86}</author>
    <author>tc={61b6d65a-775c-464d-8c3f-9ef53718013d}</author>
    <author>tc={631e3283-ad3d-4ca4-bbae-8671ad530f63}</author>
    <author>tc={63a4607b-fe1b-46fd-a805-009453ae7664}</author>
    <author>tc={68efc84a-9973-4c0d-b563-40be3dd43356}</author>
    <author>tc={76721851-3c36-4e75-8e62-fabf7588e85e}</author>
    <author>tc={817ca9e6-363e-4ac6-807b-31a2e2717978}</author>
    <author>tc={8acfdd48-f93c-4e44-84e6-413f4381c409}</author>
    <author>tc={8c87acbe-2e0b-4e3e-b885-f5a982eaf95f}</author>
    <author>tc={9061f46c-ac35-48ad-8562-9e2c1cbf72fd}</author>
    <author>tc={9be098f2-40d8-4693-9dd6-2fe130f24fbc}</author>
    <author>tc={a49ebb87-e8e8-41ef-b6e3-b5f41c9ff26a}</author>
    <author>tc={ab921960-240b-48f9-8ab5-66ccf3e8ea8f}</author>
    <author>tc={b0d2b192-454b-48f5-984e-ff5bd3632b1a}</author>
    <author>tc={cb2b18f4-0c23-4b92-845e-5bf1925524a6}</author>
    <author>tc={d08e6e89-5434-4aa8-973b-b315986f89b1}</author>
    <author>tc={d3e790b5-6d2d-41e0-94af-365e0f46dcef}</author>
    <author>tc={de6eb2c6-c203-4618-a554-78768fab078b}</author>
    <author>tc={e8d6ab0f-d98b-45d1-9c8b-1a3c84478ad6}</author>
    <author>tc={fbbe4102-8e6e-4f40-9fea-288fde2580b3}</author>
    <author>tc={ffa9d3a4-5459-4004-acc8-e88115c9c55d}</author>
  </authors>
  <commentList>
    <comment authorId="0" xr:uid="{034f8f26-1faa-4b93-8bc5-71b972331145}" ref="O4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Feito a entrada de 390 no dia 13/04. Feito a entrada do restante 110, 16/04
</t>
      </text>
    </comment>
    <comment authorId="1" xr:uid="{0b32d870-2707-44b0-9cbb-eab33ff7a6ee}" ref="O6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 do guilherme
</t>
      </text>
    </comment>
    <comment authorId="2" xr:uid="{17f4a24a-5c0c-432b-bf38-51da796ed5c5}" ref="O3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Vieram 400 memorias da prodrive no meio.
</t>
      </text>
    </comment>
    <comment authorId="3" xr:uid="{295f7f8e-6c47-4b51-9981-09a6a5439c12}" ref="K4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Era o pedido 912904
</t>
      </text>
    </comment>
    <comment authorId="4" xr:uid="{3e74502e-ef12-4309-bd66-9965cff0209a}" ref="K7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dia 07/05
</t>
      </text>
    </comment>
    <comment authorId="5" xr:uid="{3fb2bf23-39ab-478c-a39a-38961922b33d}" ref="O4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dada entrada em 440. Irá chegar restante. Foi feito entrada do restante 16/04
</t>
      </text>
    </comment>
    <comment authorId="6" xr:uid="{4ca09111-45a8-4836-9aac-a2a0e3d22c73}" ref="O3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feito a entrada de 85 pra gley
</t>
      </text>
    </comment>
    <comment authorId="7" xr:uid="{5480ca3f-c37a-4d5e-b958-14dbca0c154f}" ref="O3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900 para o Guilherme
</t>
      </text>
    </comment>
    <comment authorId="8" xr:uid="{5eaa3d8e-5f32-46bd-9250-8e76cd0a7b86}" ref="K5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Isaac
</t>
      </text>
    </comment>
    <comment authorId="9" xr:uid="{61b6d65a-775c-464d-8c3f-9ef53718013d}" ref="O5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Entrada de 400 pois nao chegou o restante
</t>
      </text>
    </comment>
    <comment authorId="10" xr:uid="{631e3283-ad3d-4ca4-bbae-8671ad530f63}" ref="K5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ISSAC
</t>
      </text>
    </comment>
    <comment authorId="11" xr:uid="{63a4607b-fe1b-46fd-a805-009453ae7664}" ref="K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PAULO MEGATRON
</t>
      </text>
    </comment>
    <comment authorId="12" xr:uid="{68efc84a-9973-4c0d-b563-40be3dd43356}" ref="K5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Guilherme
</t>
      </text>
    </comment>
    <comment authorId="13" xr:uid="{76721851-3c36-4e75-8e62-fabf7588e85e}" ref="K7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Pedido veio com 2 modelos diferentes na mesma caixa (15 un do TM1111 e 05 un do TM1071)
</t>
      </text>
    </comment>
    <comment authorId="14" xr:uid="{817ca9e6-363e-4ac6-807b-31a2e2717978}" ref="K4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Divergência - veio faltando 1 peça
</t>
      </text>
    </comment>
    <comment authorId="15" xr:uid="{8acfdd48-f93c-4e44-84e6-413f4381c409}" ref="Q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900 foi para guilherme, 100 estoque
</t>
      </text>
    </comment>
    <comment authorId="16" xr:uid="{8c87acbe-2e0b-4e3e-b885-f5a982eaf95f}" ref="O4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já foi dada entrada pro guilherme.
</t>
      </text>
    </comment>
    <comment authorId="17" xr:uid="{9061f46c-ac35-48ad-8562-9e2c1cbf72fd}" ref="K7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Triangulação-Belmicro irá entregar no cliente final
</t>
      </text>
    </comment>
    <comment authorId="18" xr:uid="{9be098f2-40d8-4693-9dd6-2fe130f24fbc}" ref="K4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pelo Isaac
</t>
      </text>
    </comment>
    <comment authorId="19" xr:uid="{a49ebb87-e8e8-41ef-b6e3-b5f41c9ff26a}" ref="K7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Triangulação-Belmicro irá entregar no cliente final
</t>
      </text>
    </comment>
    <comment authorId="20" xr:uid="{ab921960-240b-48f9-8ab5-66ccf3e8ea8f}" ref="K7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Isaac
</t>
      </text>
    </comment>
    <comment authorId="21" xr:uid="{b0d2b192-454b-48f5-984e-ff5bd3632b1a}" ref="K4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Divergência - veio faltando 1 peça
</t>
      </text>
    </comment>
    <comment authorId="22" xr:uid="{cb2b18f4-0c23-4b92-845e-5bf1925524a6}" ref="K6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Triangulação-Belmicro irá entregar no cliente final
</t>
      </text>
    </comment>
    <comment authorId="23" xr:uid="{d08e6e89-5434-4aa8-973b-b315986f89b1}" ref="K6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Isaac
</t>
      </text>
    </comment>
    <comment authorId="24" xr:uid="{d3e790b5-6d2d-41e0-94af-365e0f46dcef}" ref="K7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realizado pelo Isaac
</t>
      </text>
    </comment>
    <comment authorId="25" xr:uid="{de6eb2c6-c203-4618-a554-78768fab078b}" ref="O4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dada entrada em 10 para isaac. Em 13/04 foi dada entrada no restante, na 1
</t>
      </text>
    </comment>
    <comment authorId="26" xr:uid="{e8d6ab0f-d98b-45d1-9c8b-1a3c84478ad6}" ref="K5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Isaac
</t>
      </text>
    </comment>
    <comment authorId="27" xr:uid="{fbbe4102-8e6e-4f40-9fea-288fde2580b3}" ref="K6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Isaac
</t>
      </text>
    </comment>
    <comment authorId="28" xr:uid="{ffa9d3a4-5459-4004-acc8-e88115c9c55d}" ref="O5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dado entrada em 6160 que chegou no dia anteior. Falta o restante
Reply:
	feito a entrada do restante que chegou, 840. 28/04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tc={012dcf07-4ded-424d-9cda-6b1b0e54f965}</author>
    <author>tc={08774747-3efc-4396-860a-0f8d2ea0b4ab}</author>
    <author>tc={096721dd-791f-4e26-bb75-262a0e8f63a6}</author>
    <author>tc={0e5bbcae-e72c-45e1-a709-f2a9a83e817d}</author>
    <author>tc={0fc0fd29-7171-4b01-ad25-182a73f3aef4}</author>
    <author>tc={14c37c76-906c-457d-9f3a-1d1319d89ac6}</author>
    <author>tc={1bfb5f98-6fc9-4657-b763-f7da808c6363}</author>
    <author>tc={1e7ac5d2-579c-450f-8839-bad0950a1945}</author>
    <author>tc={211ed57f-3d25-4b36-91a9-3aed0abf197a}</author>
    <author>tc={24f22473-b1b4-482d-82dd-f98545ae99d2}</author>
    <author>tc={267733cc-a791-4fd3-92bd-c6b7eacb74ae}</author>
    <author>tc={2ae64c0e-e236-4794-ad82-ad402d46b208}</author>
    <author>tc={340523e6-bddc-4a43-9014-de09229d6488}</author>
    <author>tc={3c363440-008b-4c4d-8770-2ece2122fd5b}</author>
    <author>tc={3d663ca9-88f3-4f46-a9ba-fc4b2c731248}</author>
    <author>tc={43734858-3524-4756-af84-18e7fcbadeb1}</author>
    <author>tc={45a8fbe7-a1b0-4ff1-b0dc-676ee2569cfe}</author>
    <author>tc={489b5f7a-25d3-448d-b884-2f7f31b59baa}</author>
    <author>tc={4a3d114d-1775-4698-8dc4-a296fbc0fee8}</author>
    <author>tc={4e5fde14-d567-4cfc-8e6a-64e20bf24ebb}</author>
    <author>tc={52908984-fc74-45fe-8874-f0cd7fd40cc4}</author>
    <author>tc={58a2964f-9a16-420d-a4ce-d32d28fbc8b5}</author>
    <author>tc={5c883796-b08d-499b-b14b-49dcfb25054c}</author>
    <author>tc={63960ff8-c455-4154-b0e7-87c1e3b08d98}</author>
    <author>tc={6b214872-a62b-4bfc-8da2-74221d2b9dfe}</author>
    <author>tc={6ce244a2-d383-4eec-820a-bd75852fe4b1}</author>
    <author>tc={71da161b-62c0-48e9-84de-df074d85d0d7}</author>
    <author>tc={720c82f2-0932-49f4-974c-c10fd3d8e868}</author>
    <author>tc={7ac0318b-9a9c-4962-b08c-df2a7861e7d5}</author>
    <author>tc={7bf24fe5-4282-47d3-a24b-90c47bbeb5b3}</author>
    <author>tc={7e5ae21a-c9a4-4589-87e1-189cf2c1e302}</author>
    <author>tc={89f2dc71-3ec7-4409-be1a-0db58ad550cc}</author>
    <author>tc={94435f10-f398-4707-84ce-2f1d65f013c5}</author>
    <author>tc={9bb4d4cb-6cbc-498e-9da1-f9923459ea48}</author>
    <author>tc={bc5720aa-20bd-40c5-b501-0019bb179be0}</author>
    <author>tc={be1861fe-da47-46c0-a432-580772df766a}</author>
    <author>tc={c219109b-49f5-44c1-a128-f39908a69101}</author>
    <author>tc={cdee180a-43ba-4ba7-bd18-2bab330d960a}</author>
    <author>tc={cea0444e-db11-4738-9d3e-e43850f23e2b}</author>
    <author>tc={cfd14c5a-2884-45c8-8fb5-b87e7bb8fe09}</author>
    <author>tc={d304466f-a038-4ec3-b1b4-9ee9f3d39730}</author>
    <author>tc={ddda604c-3e89-47a3-8960-6eedfa7ba44d}</author>
    <author>tc={df02f80d-fa58-43e3-be2b-4c77f89e5901}</author>
    <author>tc={dfa9fe75-4c36-4b4e-9617-39e20d7dd8b6}</author>
    <author>tc={e9965a27-0468-4540-9941-9c9b8ba4e2ef}</author>
    <author>tc={f8902ece-025b-4198-bff0-f18dfefc17aa}</author>
    <author>tc={fa09c69c-dcc8-4796-a910-639f5c1e5ca6}</author>
    <author>tc={fab50e89-4581-4173-ab6e-202ce59bbd64}</author>
    <author>tc={fbbec12d-721c-4fba-b42b-1eb5fcee7312}</author>
    <author>tc={fc843069-95c5-4625-a092-a04c9d245df7}</author>
  </authors>
  <commentList>
    <comment authorId="0" xr:uid="{012dcf07-4ded-424d-9cda-6b1b0e54f965}" ref="K3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veio faltando 1
</t>
      </text>
    </comment>
    <comment authorId="1" xr:uid="{08774747-3efc-4396-860a-0f8d2ea0b4ab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Isaac
Reply:
	Chegou 250 un dia 11/05, aguardando o restante...
</t>
      </text>
    </comment>
    <comment authorId="2" xr:uid="{096721dd-791f-4e26-bb75-262a0e8f63a6}" ref="K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SUFRAMA
Reply:
	Compra feita pelo Isaac
</t>
      </text>
    </comment>
    <comment authorId="3" xr:uid="{0e5bbcae-e72c-45e1-a709-f2a9a83e817d}" ref="K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pelo Guilherme
</t>
      </text>
    </comment>
    <comment authorId="4" xr:uid="{0fc0fd29-7171-4b01-ad25-182a73f3aef4}" ref="K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pela Gley-Mercado Livre
</t>
      </text>
    </comment>
    <comment authorId="5" xr:uid="{14c37c76-906c-457d-9f3a-1d1319d89ac6}" ref="K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SUFRAMA
Reply:
	Compra feita pelo Isaac
</t>
      </text>
    </comment>
    <comment authorId="6" xr:uid="{1bfb5f98-6fc9-4657-b763-f7da808c6363}" ref="K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veio 44 mas na nota vieram 42
</t>
      </text>
    </comment>
    <comment authorId="7" xr:uid="{1e7ac5d2-579c-450f-8839-bad0950a1945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feito entrada de 5000
</t>
      </text>
    </comment>
    <comment authorId="8" xr:uid="{211ed57f-3d25-4b36-91a9-3aed0abf197a}" ref="K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faltando 01 un
</t>
      </text>
    </comment>
    <comment authorId="9" xr:uid="{24f22473-b1b4-482d-82dd-f98545ae99d2}" ref="P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feita a entrada do yhan antes de chegar a mercadoria, a pedido dele.
</t>
      </text>
    </comment>
    <comment authorId="10" xr:uid="{267733cc-a791-4fd3-92bd-c6b7eacb74ae}" ref="K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pela Gley-Mercado Livre
</t>
      </text>
    </comment>
    <comment authorId="11" xr:uid="{2ae64c0e-e236-4794-ad82-ad402d46b208}" ref="K4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pela Gley
</t>
      </text>
    </comment>
    <comment authorId="12" xr:uid="{340523e6-bddc-4a43-9014-de09229d6488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465 UN dia 06/05, foi carregado 400 UN sobrando 65 UN em estoque.
Reply:
	foi dado a entrada de 465 - 07/05
Reply:
	Restante do pedido chegou
</t>
      </text>
    </comment>
    <comment authorId="13" xr:uid="{3c363440-008b-4c4d-8770-2ece2122fd5b}" ref="K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pela Gley-Mercado Livre
</t>
      </text>
    </comment>
    <comment authorId="14" xr:uid="{3d663ca9-88f3-4f46-a9ba-fc4b2c731248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Yhan
Reply:
	@fiscal.2@binariotecnologia.com.br 
foi realizada a entrada de 100pçs no cod BH no dia 06/05
Reply:
	Cheegou 100 UN dia 06/05
Reply:
	Foi feita a entrada de 100 pçs 07/05
Reply:
	Restante do pedido chegou, 800 un estoque e 100 un já entregue ao cliente.
</t>
      </text>
    </comment>
    <comment authorId="15" xr:uid="{43734858-3524-4756-af84-18e7fcbadeb1}" ref="K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SUFRAMA
Reply:
	Compra feita pelo Isaac
</t>
      </text>
    </comment>
    <comment authorId="16" xr:uid="{45a8fbe7-a1b0-4ff1-b0dc-676ee2569cfe}" ref="K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pela Gley-Mercado Livre
</t>
      </text>
    </comment>
    <comment authorId="17" xr:uid="{489b5f7a-25d3-448d-b884-2f7f31b59baa}" ref="K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pela Gley-Mercado Livre
</t>
      </text>
    </comment>
    <comment authorId="18" xr:uid="{4a3d114d-1775-4698-8dc4-a296fbc0fee8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200 UN dia 06/05, e já foi carregado.
Reply:
	Restante do pedido chegou
</t>
      </text>
    </comment>
    <comment authorId="19" xr:uid="{4e5fde14-d567-4cfc-8e6a-64e20bf24ebb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Yhan
Reply:
	Foi feita a entrada de 200 unidades para guilherme.
Marcada como resolvida
</t>
      </text>
    </comment>
    <comment authorId="20" xr:uid="{52908984-fc74-45fe-8874-f0cd7fd40cc4}" ref="K3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feito 2600 para guilherme
</t>
      </text>
    </comment>
    <comment authorId="21" xr:uid="{58a2964f-9a16-420d-a4ce-d32d28fbc8b5}" ref="K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Guilherme retirou 220 unidades em SP
</t>
      </text>
    </comment>
    <comment authorId="22" xr:uid="{5c883796-b08d-499b-b14b-49dcfb25054c}" ref="K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Abatimento de dívida c/ Eder Matheus Leme
</t>
      </text>
    </comment>
    <comment authorId="23" xr:uid="{63960ff8-c455-4154-b0e7-87c1e3b08d98}" ref="K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300 e foi feito 300 peças. Yhan autorizou
</t>
      </text>
    </comment>
    <comment authorId="24" xr:uid="{6b214872-a62b-4bfc-8da2-74221d2b9dfe}" ref="K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Chegaram apenas 33 un
</t>
      </text>
    </comment>
    <comment authorId="25" xr:uid="{6ce244a2-d383-4eec-820a-bd75852fe4b1}" ref="K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29/05- Yhan solicitou a entrada de 1000pçs para emitir a nf para o cliente.
</t>
      </text>
    </comment>
    <comment authorId="26" xr:uid="{71da161b-62c0-48e9-84de-df074d85d0d7}" ref="K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pelo Guilherme
</t>
      </text>
    </comment>
    <comment authorId="27" xr:uid="{720c82f2-0932-49f4-974c-c10fd3d8e868}" ref="K4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Fiz a entrada de 220 para guilherme
</t>
      </text>
    </comment>
    <comment authorId="28" xr:uid="{7ac0318b-9a9c-4962-b08c-df2a7861e7d5}" ref="K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pelo Guilherme
</t>
      </text>
    </comment>
    <comment authorId="29" xr:uid="{7bf24fe5-4282-47d3-a24b-90c47bbeb5b3}" ref="K4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100 a mais e fiz a entrada
</t>
      </text>
    </comment>
    <comment authorId="30" xr:uid="{7e5ae21a-c9a4-4589-87e1-189cf2c1e302}" ref="N2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na Jorado quinta-feira 28/05
</t>
      </text>
    </comment>
    <comment authorId="31" xr:uid="{89f2dc71-3ec7-4409-be1a-0db58ad550cc}" ref="K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Lara solicitou a compra
</t>
      </text>
    </comment>
    <comment authorId="32" xr:uid="{94435f10-f398-4707-84ce-2f1d65f013c5}" ref="K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Faltando 01 un ( veio 01 un i5-4670)
</t>
      </text>
    </comment>
    <comment authorId="33" xr:uid="{9bb4d4cb-6cbc-498e-9da1-f9923459ea48}" ref="K4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12 mas a lara pegou 2.
</t>
      </text>
    </comment>
    <comment authorId="34" xr:uid="{bc5720aa-20bd-40c5-b501-0019bb179be0}" ref="K4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Solicitação do Neto
</t>
      </text>
    </comment>
    <comment authorId="35" xr:uid="{be1861fe-da47-46c0-a432-580772df766a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pelo Yhan
Reply:
	Feito a entrada de 240 para Guilherme.
</t>
      </text>
    </comment>
    <comment authorId="36" xr:uid="{c219109b-49f5-44c1-a128-f39908a69101}" ref="K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pela Gley-Mercado Livre
</t>
      </text>
    </comment>
    <comment authorId="37" xr:uid="{cdee180a-43ba-4ba7-bd18-2bab330d960a}" ref="K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pelo Guilherme
</t>
      </text>
    </comment>
    <comment authorId="38" xr:uid="{cea0444e-db11-4738-9d3e-e43850f23e2b}" ref="P3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Feito a entrada de 80 peças que chegaram.
</t>
      </text>
    </comment>
    <comment authorId="39" xr:uid="{cfd14c5a-2884-45c8-8fb5-b87e7bb8fe09}" ref="K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SUFRAMA
</t>
      </text>
    </comment>
    <comment authorId="40" xr:uid="{d304466f-a038-4ec3-b1b4-9ee9f3d39730}" ref="K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pelo Guilherme
</t>
      </text>
    </comment>
    <comment authorId="41" xr:uid="{ddda604c-3e89-47a3-8960-6eedfa7ba44d}" ref="K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pela Gley
</t>
      </text>
    </comment>
    <comment authorId="42" xr:uid="{df02f80d-fa58-43e3-be2b-4c77f89e5901}" ref="K4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pela Gley
</t>
      </text>
    </comment>
    <comment authorId="43" xr:uid="{dfa9fe75-4c36-4b4e-9617-39e20d7dd8b6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feita entrada de 200 unidades para guilherme
</t>
      </text>
    </comment>
    <comment authorId="44" xr:uid="{e9965a27-0468-4540-9941-9c9b8ba4e2ef}" ref="K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realizada pela Gley-Mercado Livre
</t>
      </text>
    </comment>
    <comment authorId="45" xr:uid="{f8902ece-025b-4198-bff0-f18dfefc17aa}" ref="K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veio faltando 1
</t>
      </text>
    </comment>
    <comment authorId="46" xr:uid="{fa09c69c-dcc8-4796-a910-639f5c1e5ca6}" ref="P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feito 100 para guilherme com autorização do gustavo
</t>
      </text>
    </comment>
    <comment authorId="47" xr:uid="{fab50e89-4581-4173-ab6e-202ce59bbd64}" ref="N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na Jorado quinta-feira 28/05
</t>
      </text>
    </comment>
    <comment authorId="48" xr:uid="{fbbec12d-721c-4fba-b42b-1eb5fcee7312}" ref="K3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 nota 85 mas fiz entrada de 84
</t>
      </text>
    </comment>
    <comment authorId="49" xr:uid="{fc843069-95c5-4625-a092-a04c9d245df7}" ref="K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feita pela Gley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tc={38a0edf3-ee95-41dc-97ee-b2c65349f7f8}</author>
    <author>tc={52f95e80-c8dd-4b92-a5cb-7f1fc08a7b11}</author>
    <author>tc={530d0552-7dff-48bf-aaaf-006d3780d3fe}</author>
    <author>tc={536680a8-c25a-4146-808b-9899296d66e0}</author>
    <author>tc={5acd8c71-617b-4391-a2c9-f2f1af6d8049}</author>
    <author>tc={76b7e435-b081-4460-a7f1-e2c3b1f9a856}</author>
    <author>tc={77e0b51a-94a2-473a-839f-607140c8ba72}</author>
    <author>tc={7db5fe88-e6b3-4ed0-baf9-204fb1fe5e9d}</author>
    <author>tc={b6269ccd-a600-4eee-9dbd-7ec4fb234c5c}</author>
    <author>tc={f9cf5904-6cce-48fa-9b99-4f65938428b5}</author>
    <author>tc={fb352fbf-ba7d-4a73-ae4d-8c385396bb93}</author>
  </authors>
  <commentList>
    <comment authorId="0" xr:uid="{38a0edf3-ee95-41dc-97ee-b2c65349f7f8}" ref="K6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outro modelo, foi passado ao vendedor e ao financeiro
</t>
      </text>
    </comment>
    <comment authorId="1" xr:uid="{52f95e80-c8dd-4b92-a5cb-7f1fc08a7b11}" ref="K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1.058 unidades - será realizada a entrada dessa quantidade
</t>
      </text>
    </comment>
    <comment authorId="2" xr:uid="{530d0552-7dff-48bf-aaaf-006d3780d3fe}" ref="K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27/07 chegou 800pçs
Reply:
	15/07 chegou 600pçs
</t>
      </text>
    </comment>
    <comment authorId="3" xr:uid="{536680a8-c25a-4146-808b-9899296d66e0}" ref="K5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27/07 chegou 18pçs
</t>
      </text>
    </comment>
    <comment authorId="4" xr:uid="{5acd8c71-617b-4391-a2c9-f2f1af6d8049}" ref="K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21/07 chegou 1.630 unidades
</t>
      </text>
    </comment>
    <comment authorId="5" xr:uid="{76b7e435-b081-4460-a7f1-e2c3b1f9a856}" ref="K3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20/07 entrei com 1000pçs
</t>
      </text>
    </comment>
    <comment authorId="6" xr:uid="{77e0b51a-94a2-473a-839f-607140c8ba72}" ref="K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dado entrada em 36pçs, Isaac informou que irá chegar depois
Reply:
	no dia 20/07 chegou as outras 4 pçs e foi dado entrada no dia 21/07
</t>
      </text>
    </comment>
    <comment authorId="7" xr:uid="{7db5fe88-e6b3-4ed0-baf9-204fb1fe5e9d}" ref="K5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de varias marcas, entrada realizada conforme a marca
</t>
      </text>
    </comment>
    <comment authorId="8" xr:uid="{b6269ccd-a600-4eee-9dbd-7ec4fb234c5c}" ref="K6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veio faltando 1pç
</t>
      </text>
    </comment>
    <comment authorId="9" xr:uid="{f9cf5904-6cce-48fa-9b99-4f65938428b5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veio 15 a mais
</t>
      </text>
    </comment>
    <comment authorId="10" xr:uid="{fb352fbf-ba7d-4a73-ae4d-8c385396bb93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Representante João Batista solicitou para estoque.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tc={0df6691f-5023-4c3d-b0dd-22e6fd2ad24c}</author>
    <author>tc={17826284-6b34-41c7-ab67-cfa71c31f00a}</author>
    <author>tc={2e83187b-f34a-4e51-949d-3afd7bffe64d}</author>
    <author>tc={35384d71-4adf-4414-91eb-bb515eeeccd4}</author>
    <author>tc={444090da-e686-4715-bbef-c181fedd0c5a}</author>
    <author>tc={5c399295-bb0e-454f-b3f6-c11b90f943ef}</author>
    <author>tc={6722edfb-eab7-4c3e-b9db-29c3be6846fc}</author>
    <author>tc={6760f6e6-c8c8-444f-bf8f-0432893bc487}</author>
    <author>tc={73262beb-5779-4c0c-8966-d9fa507e4984}</author>
    <author>tc={d3ba946d-a7c0-4205-b55b-fd8dfc298312}</author>
    <author>tc={e103ee4d-1380-4bf2-9733-191cfb79a415}</author>
    <author>tc={eda3de3e-b6ef-42b9-b10a-9512c308e758}</author>
  </authors>
  <commentList>
    <comment authorId="0" xr:uid="{0df6691f-5023-4c3d-b0dd-22e6fd2ad24c}" ref="K6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feito a entrada adiantado, pedido do Isaac
</t>
      </text>
    </comment>
    <comment authorId="1" xr:uid="{17826284-6b34-41c7-ab67-cfa71c31f00a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feito a entrada de 100 para guilherme
Reply:
	08/06 foi feito a entrada de 70 para Guilherme 
16/06 foi feito a entrada de 24 para Guilherme
Reply:
	23/07 feito a entrada de 120pçs
</t>
      </text>
    </comment>
    <comment authorId="2" xr:uid="{2e83187b-f34a-4e51-949d-3afd7bffe64d}" ref="K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entrei com 100 para yhan
</t>
      </text>
    </comment>
    <comment authorId="3" xr:uid="{35384d71-4adf-4414-91eb-bb515eeeccd4}" ref="K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entrei com 50 para yhan
</t>
      </text>
    </comment>
    <comment authorId="4" xr:uid="{444090da-e686-4715-bbef-c181fedd0c5a}" ref="K3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fiz a entrada de 500 unidades
</t>
      </text>
    </comment>
    <comment authorId="5" xr:uid="{5c399295-bb0e-454f-b3f6-c11b90f943ef}" ref="K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feito a entrada de 50 peças para guilherme
Reply:
	fiz 1410 para estoque
</t>
      </text>
    </comment>
    <comment authorId="6" xr:uid="{6722edfb-eab7-4c3e-b9db-29c3be6846fc}" ref="K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realizado a entrada de 111pçs, conforme a NF recebida.
</t>
      </text>
    </comment>
    <comment authorId="7" xr:uid="{6760f6e6-c8c8-444f-bf8f-0432893bc487}" ref="P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10/06 entrei com  440pçs
</t>
      </text>
    </comment>
    <comment authorId="8" xr:uid="{73262beb-5779-4c0c-8966-d9fa507e4984}" ref="K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Fiz a entrada de 450. Esperando restante chegar.
</t>
      </text>
    </comment>
    <comment authorId="9" xr:uid="{d3ba946d-a7c0-4205-b55b-fd8dfc298312}" ref="K5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veio 1202
</t>
      </text>
    </comment>
    <comment authorId="10" xr:uid="{e103ee4d-1380-4bf2-9733-191cfb79a415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entrei com 250 para yhan
Reply:
	entrei com 24 guilherme
Reply:
	entrei com mais 102 guilherme
</t>
      </text>
    </comment>
    <comment authorId="11" xr:uid="{eda3de3e-b6ef-42b9-b10a-9512c308e758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tinha saldo em estoque! Bomvink informou após faturamento da NF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tc={0cac6db9-a632-475b-8da1-c0823f0af0bd}</author>
    <author>tc={4efc1339-e942-4a9f-adf5-7eae27390c92}</author>
    <author>tc={a3545fa7-911a-4845-8b76-d4d599b925d1}</author>
    <author>tc={a9f72890-5eeb-427d-b10e-26a3fdb62a31}</author>
  </authors>
  <commentList>
    <comment authorId="0" xr:uid="{0cac6db9-a632-475b-8da1-c0823f0af0bd}" ref="K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pedido foi de 200pçs e  chegou 200pçs
</t>
      </text>
    </comment>
    <comment authorId="1" xr:uid="{4efc1339-e942-4a9f-adf5-7eae27390c92}" ref="K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484 unidades
</t>
      </text>
    </comment>
    <comment authorId="2" xr:uid="{a3545fa7-911a-4845-8b76-d4d599b925d1}" ref="K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516 unidades
</t>
      </text>
    </comment>
    <comment authorId="3" xr:uid="{a9f72890-5eeb-427d-b10e-26a3fdb62a31}" ref="K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DIA 08/09 FOI REALIZADO ENTRADA DE 510 MONITOR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tc={21473be1-c2ba-436e-b78c-de571421d7e6}</author>
  </authors>
  <commentList>
    <comment authorId="0" xr:uid="{21473be1-c2ba-436e-b78c-de571421d7e6}" ref="K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chegou 500pçs
</t>
      </text>
    </comment>
  </commentList>
</comments>
</file>

<file path=xl/sharedStrings.xml><?xml version="1.0" encoding="utf-8"?>
<sst xmlns="http://schemas.openxmlformats.org/spreadsheetml/2006/main" count="22253" uniqueCount="5040">
  <si>
    <t/>
  </si>
  <si>
    <t>REQUISIÇÃO DE COMPRA</t>
  </si>
  <si>
    <t>Binário Tecnologia 02.274.279/0001-27</t>
  </si>
  <si>
    <t>Avenida Rogassiano Francisco Coelho, 195, Nova Varginha, Varginha/MG</t>
  </si>
  <si>
    <t>(35) 9708-3517 SÁVIO</t>
  </si>
  <si>
    <t>Compras@binariotecnologia.com.br</t>
  </si>
  <si>
    <t>(35) 9708-3517 SAVIO</t>
  </si>
  <si>
    <t xml:space="preserve">(35) 9708-3517 </t>
  </si>
  <si>
    <t>Data</t>
  </si>
  <si>
    <t>Pedido</t>
  </si>
  <si>
    <t>Quant</t>
  </si>
  <si>
    <t>Preço Unitário</t>
  </si>
  <si>
    <t>Pedido/NF</t>
  </si>
  <si>
    <t>Preço Total</t>
  </si>
  <si>
    <t>Qtd</t>
  </si>
  <si>
    <t>Descrição do Produto</t>
  </si>
  <si>
    <t>Código</t>
  </si>
  <si>
    <t>Requisitante</t>
  </si>
  <si>
    <t>Modalidade Compra</t>
  </si>
  <si>
    <t>Observação</t>
  </si>
  <si>
    <t>código</t>
  </si>
  <si>
    <t>Fornecedor</t>
  </si>
  <si>
    <t>Filial Compra</t>
  </si>
  <si>
    <t>Data da Coleta</t>
  </si>
  <si>
    <t>Data da Entrada</t>
  </si>
  <si>
    <t>Conferência</t>
  </si>
  <si>
    <t>Data de PGTO</t>
  </si>
  <si>
    <t>Vencimentos</t>
  </si>
  <si>
    <t>Forma de Pag. (venda)</t>
  </si>
  <si>
    <t>Marca</t>
  </si>
  <si>
    <t>i5 - 8500 PC LGA1151</t>
  </si>
  <si>
    <t>i5-8500</t>
  </si>
  <si>
    <t>ISAAC</t>
  </si>
  <si>
    <t>NO-BREAK UPS 1440VA ONE 3.1 TRIVOLT/115V_PR1320</t>
  </si>
  <si>
    <t>CASADA</t>
  </si>
  <si>
    <t>-</t>
  </si>
  <si>
    <t>UPS0273</t>
  </si>
  <si>
    <t>GILCEMAR</t>
  </si>
  <si>
    <t>MONITOR LED 19'</t>
  </si>
  <si>
    <t>NETO</t>
  </si>
  <si>
    <t>ESTOQUE</t>
  </si>
  <si>
    <t>YHAN</t>
  </si>
  <si>
    <t>MCM</t>
  </si>
  <si>
    <t>POWERPC</t>
  </si>
  <si>
    <t>COOLER GABINETE KIT DE 3PCS</t>
  </si>
  <si>
    <t>C263P</t>
  </si>
  <si>
    <t>DELTA</t>
  </si>
  <si>
    <t>Suporte P/ Gabinte</t>
  </si>
  <si>
    <t>Yhan</t>
  </si>
  <si>
    <t>Casada</t>
  </si>
  <si>
    <t>FONE OUVIDO 40 MM 7.1</t>
  </si>
  <si>
    <t>C3 Tech</t>
  </si>
  <si>
    <t>F7140</t>
  </si>
  <si>
    <t>NO-BREAK UPS 1500VA ACTION FIT 3.1 TRIVOLT/115V - 1 BATERIA_PR1475</t>
  </si>
  <si>
    <t>UPS0261</t>
  </si>
  <si>
    <t>GABINETE PRETO MATX</t>
  </si>
  <si>
    <t>ssd 512 GB Markvision</t>
  </si>
  <si>
    <t>AGP-M3316OCP</t>
  </si>
  <si>
    <t>Gley</t>
  </si>
  <si>
    <t>GUILHERME</t>
  </si>
  <si>
    <t>Licitação</t>
  </si>
  <si>
    <t>Bird Tech</t>
  </si>
  <si>
    <t>AITEK</t>
  </si>
  <si>
    <t>DDR4 8GB 2666</t>
  </si>
  <si>
    <t>DDR4</t>
  </si>
  <si>
    <t>PLACA DE VIDEO BLACK RTX5060 1-CLICK OC GALAX</t>
  </si>
  <si>
    <t>Neto</t>
  </si>
  <si>
    <t>THIAGO VECCHI</t>
  </si>
  <si>
    <t>DUEX</t>
  </si>
  <si>
    <t>PLACA MAE GIGABYTE A520M</t>
  </si>
  <si>
    <t>A520KV2</t>
  </si>
  <si>
    <t>PLACA DE VIDEO RTX5070 1-CLICK OC GALAX</t>
  </si>
  <si>
    <t>MONITOR LED 19' BRAZIL PC PRETO BPC-19WE02-B</t>
  </si>
  <si>
    <t>PC EXPRESS</t>
  </si>
  <si>
    <t>POWER PC</t>
  </si>
  <si>
    <t>i5 - 3470</t>
  </si>
  <si>
    <t>i5-3470</t>
  </si>
  <si>
    <t>GUSTAVO</t>
  </si>
  <si>
    <t>MONITOR LED 19' TRONOS PRETO TRS-HK19WY</t>
  </si>
  <si>
    <t>NINJA</t>
  </si>
  <si>
    <t>I5-9500</t>
  </si>
  <si>
    <t>CPU MASTER</t>
  </si>
  <si>
    <t>07186</t>
  </si>
  <si>
    <t>R5 230 2GB DDR3</t>
  </si>
  <si>
    <t>ok</t>
  </si>
  <si>
    <t>HUB USB 2.0 7 PORTAS FORMATO TORRE COM CABO</t>
  </si>
  <si>
    <t>HB-T68</t>
  </si>
  <si>
    <t>KNUP</t>
  </si>
  <si>
    <t>i5 - 4570</t>
  </si>
  <si>
    <t>i5-4740</t>
  </si>
  <si>
    <t>PLACA MAE H510 11/10 GEN M.2</t>
  </si>
  <si>
    <t>PLACA PCI-E PARA NVME M2</t>
  </si>
  <si>
    <t>H510M2K</t>
  </si>
  <si>
    <t>KP-AD135</t>
  </si>
  <si>
    <t>LUMINÁRIA JARDIM COM PLACA SOLAR ESPETO(1PCT=6PCS) BOM-4601</t>
  </si>
  <si>
    <t>BOM-4601</t>
  </si>
  <si>
    <t>BOMVINK</t>
  </si>
  <si>
    <t>INVERSOR DE POTENCIA 12V/110V, 100W</t>
  </si>
  <si>
    <t>LB-521</t>
  </si>
  <si>
    <t>LUMINARIA JARDIM COM PLACA SOLAR ESPETO BOM-4602</t>
  </si>
  <si>
    <t>BOM-4602</t>
  </si>
  <si>
    <t>REPETIDOR DE SINAL WIRELESS</t>
  </si>
  <si>
    <t>KP-3007</t>
  </si>
  <si>
    <t>CORRENTE DE MOTOSSERRA:BOM-5624</t>
  </si>
  <si>
    <t>BOM-5624</t>
  </si>
  <si>
    <t>MONITOR 27 IPS DXMO27F240S 240HZ DUEX</t>
  </si>
  <si>
    <t>Gustavo</t>
  </si>
  <si>
    <t>TECLADO COM FIO PC</t>
  </si>
  <si>
    <t>KP-2008</t>
  </si>
  <si>
    <t>CORRENTE DE MOTOSSERRA:BOM-5626</t>
  </si>
  <si>
    <t>BOM-5626</t>
  </si>
  <si>
    <t>PLACA MAE B760M GAMING DDR4 1.1 GIGABYTE</t>
  </si>
  <si>
    <t>BATERIA LITHIUM BOTÃO</t>
  </si>
  <si>
    <t>CR2032-5</t>
  </si>
  <si>
    <t>ALFACELL</t>
  </si>
  <si>
    <t>LEITOR DE CODIGO DE BARRAS SEM FIO</t>
  </si>
  <si>
    <t>KP-1018A</t>
  </si>
  <si>
    <t>CORRENTE DE MOTOSSERRA: BOM-5629</t>
  </si>
  <si>
    <t>BOM-5629</t>
  </si>
  <si>
    <t>PLACA MAE B650M D3HP AX GIGABYTE</t>
  </si>
  <si>
    <t>CASE PARA HDD EXTERNO 2.5/3.5</t>
  </si>
  <si>
    <t>PLACA MAE LGA155 H61</t>
  </si>
  <si>
    <t>KP-HD861</t>
  </si>
  <si>
    <t>H61</t>
  </si>
  <si>
    <t>CORRENTE DE MOTOSSERRA:BOM-5621</t>
  </si>
  <si>
    <t>PLACA MAE B550M DS3H AC R2 GIGABYTE</t>
  </si>
  <si>
    <t>BOM-5621</t>
  </si>
  <si>
    <t>PLACA MAE H81</t>
  </si>
  <si>
    <t>H81</t>
  </si>
  <si>
    <t>PLACA MAE Z890 A ELITE WIFI7 GIGABYTE</t>
  </si>
  <si>
    <t>SABRE DE MOTOSSERRA:BOM-5630</t>
  </si>
  <si>
    <t>BOM-5630</t>
  </si>
  <si>
    <t>HAOQING</t>
  </si>
  <si>
    <t>H61347</t>
  </si>
  <si>
    <t>chat</t>
  </si>
  <si>
    <t>MONITOR AX20'</t>
  </si>
  <si>
    <t>PLACA MAE B850 GAMING WF6 GIGABYTE</t>
  </si>
  <si>
    <t>AX20</t>
  </si>
  <si>
    <t>DDR3 8GB PC 1600MHZ</t>
  </si>
  <si>
    <t>DDR3 8GB</t>
  </si>
  <si>
    <t>GB IMPORTS</t>
  </si>
  <si>
    <t>07245</t>
  </si>
  <si>
    <t>07297</t>
  </si>
  <si>
    <t>Placa Mae Controladora</t>
  </si>
  <si>
    <t>H310</t>
  </si>
  <si>
    <t>PLACA DE REDE PC CONEXAO RJ45</t>
  </si>
  <si>
    <t>Guilherme</t>
  </si>
  <si>
    <t>KP-T90B</t>
  </si>
  <si>
    <t>WATER COOLER 240</t>
  </si>
  <si>
    <t>WC1826P</t>
  </si>
  <si>
    <t>Knup</t>
  </si>
  <si>
    <t>GRASEP</t>
  </si>
  <si>
    <t>05136</t>
  </si>
  <si>
    <t>B75</t>
  </si>
  <si>
    <t>WEBCAM 4MP 2K FOCO AUTOMATICO</t>
  </si>
  <si>
    <t>WC1826B</t>
  </si>
  <si>
    <t>SIGMA-W640A</t>
  </si>
  <si>
    <t>PATRÍCIA</t>
  </si>
  <si>
    <t>CARREGADOR PORTATIL</t>
  </si>
  <si>
    <t>KA-951</t>
  </si>
  <si>
    <t>KAPBOM</t>
  </si>
  <si>
    <t>i5-3330</t>
  </si>
  <si>
    <t>Estoque</t>
  </si>
  <si>
    <t>FONTE PC AUTOMATICO 500W</t>
  </si>
  <si>
    <t>DELTA-EF500</t>
  </si>
  <si>
    <t>i5-3450</t>
  </si>
  <si>
    <t>MONITOR LED 19 TRONOS TRS-HK19WY PRETO VESA WIDESCREEN BOX IF</t>
  </si>
  <si>
    <t>GPJ</t>
  </si>
  <si>
    <t>CABO DE FORÇA</t>
  </si>
  <si>
    <t>i5-3470S</t>
  </si>
  <si>
    <t>ROCADEIRA</t>
  </si>
  <si>
    <t>PLACA MÃE H310 PC</t>
  </si>
  <si>
    <t>BOM-9200</t>
  </si>
  <si>
    <t>G-H310</t>
  </si>
  <si>
    <t>GLEY</t>
  </si>
  <si>
    <t>LICITAÇÃO</t>
  </si>
  <si>
    <t xml:space="preserve">PLACA MAE LGA156 </t>
  </si>
  <si>
    <t>BATERIA DE ÍONS DE LITIO P/ FERRAMENTAS ELETRICAS 4.0 AH 21V - 10 CELULAS</t>
  </si>
  <si>
    <t>H55</t>
  </si>
  <si>
    <t>BOM-5598</t>
  </si>
  <si>
    <t>ROCADEIRA/APARADOR DE GRAMA</t>
  </si>
  <si>
    <t>Serra Circular 110</t>
  </si>
  <si>
    <t>BOM-9201</t>
  </si>
  <si>
    <t>SHOWROOM</t>
  </si>
  <si>
    <t>BOM-9577</t>
  </si>
  <si>
    <t>Paulo - Representante</t>
  </si>
  <si>
    <t>Bonvink</t>
  </si>
  <si>
    <t>SOPRADOR DE FOLHAS BRUSHLESS 21V</t>
  </si>
  <si>
    <t>BOM-9744</t>
  </si>
  <si>
    <t>SOPRADOR A GASOLINA</t>
  </si>
  <si>
    <t>BOM-9206</t>
  </si>
  <si>
    <t>Kit de parafusadeira 21v com tela LDC</t>
  </si>
  <si>
    <t>BOM-9972</t>
  </si>
  <si>
    <t>HAYOM</t>
  </si>
  <si>
    <t>ATRASADO</t>
  </si>
  <si>
    <t>Nivel a Laser com 12 linhas</t>
  </si>
  <si>
    <t>BOM-6212</t>
  </si>
  <si>
    <t>Kit de Feeramentas Multifubcoes</t>
  </si>
  <si>
    <t>BOM-9761</t>
  </si>
  <si>
    <t>KIT JOGO DE CHAVES CATRACA SOQUETE 124 PEÇAS</t>
  </si>
  <si>
    <t>BOM-3911</t>
  </si>
  <si>
    <t>iPHONE 17 256 pro</t>
  </si>
  <si>
    <t>Patricia</t>
  </si>
  <si>
    <t>Vai e Vem</t>
  </si>
  <si>
    <t>CARREGADOR VEICULAR LE291FC</t>
  </si>
  <si>
    <t>291FC</t>
  </si>
  <si>
    <t xml:space="preserve">iPHONE 17 256 </t>
  </si>
  <si>
    <t>ESMERILHADEIRA ANGULAR 850W 110V</t>
  </si>
  <si>
    <t>BOM-9551</t>
  </si>
  <si>
    <t>SOPRADOR DE FOLHAS COM ASPIRADOR LEVE 21V</t>
  </si>
  <si>
    <t>IT BLUE</t>
  </si>
  <si>
    <t>BOM-9709</t>
  </si>
  <si>
    <t>CARREGADOR VEICULAR LE530</t>
  </si>
  <si>
    <t>LE-530</t>
  </si>
  <si>
    <t>PISTOLA DE PINTURA 110V</t>
  </si>
  <si>
    <t>07324</t>
  </si>
  <si>
    <t>BOM-9569</t>
  </si>
  <si>
    <t>GABINETE ATX RGB COM COOLERS</t>
  </si>
  <si>
    <t>IPHONE 17 PM 256 AZUL</t>
  </si>
  <si>
    <t>A31150C</t>
  </si>
  <si>
    <t>Processadora para Painel</t>
  </si>
  <si>
    <t>PATRICIA</t>
  </si>
  <si>
    <t>MOTOSSERA A GASOLINA</t>
  </si>
  <si>
    <t>LIDER E-COMMERCE LTDA</t>
  </si>
  <si>
    <t>BOM-9204</t>
  </si>
  <si>
    <t>IPHONE 15 128 PRETO</t>
  </si>
  <si>
    <t>DDR4 8GB 2666 PC</t>
  </si>
  <si>
    <t>DDR4 8GB</t>
  </si>
  <si>
    <t>DESEMPENADEIRA ELETRICA 127V PARA REBOCO E PAREDE 1200W</t>
  </si>
  <si>
    <t>Painel De LED PLACA 1m</t>
  </si>
  <si>
    <t>BOM-9625</t>
  </si>
  <si>
    <t>8GB DDR3 1600 INFINITY MEMORY</t>
  </si>
  <si>
    <t>CDI MINAS</t>
  </si>
  <si>
    <t>04465</t>
  </si>
  <si>
    <t>Bumper para painel 50cm</t>
  </si>
  <si>
    <t>i5 - 10400</t>
  </si>
  <si>
    <t>i5-10400</t>
  </si>
  <si>
    <t>CÉSAR</t>
  </si>
  <si>
    <t>VARAL DE PISO</t>
  </si>
  <si>
    <t>SM015</t>
  </si>
  <si>
    <t>OSMAR</t>
  </si>
  <si>
    <t>ONISTEK</t>
  </si>
  <si>
    <t>i5 - 10500T</t>
  </si>
  <si>
    <t>Notebook</t>
  </si>
  <si>
    <t>i5-10500T</t>
  </si>
  <si>
    <t>NKI507</t>
  </si>
  <si>
    <t>FECHADURA SMART</t>
  </si>
  <si>
    <t>ALPHA-201</t>
  </si>
  <si>
    <t>Lixadeira Politriz 12v</t>
  </si>
  <si>
    <t>PROCESSADOR INTEL I5 8400 OEM</t>
  </si>
  <si>
    <t>BOM-9711</t>
  </si>
  <si>
    <t>i5-8400</t>
  </si>
  <si>
    <t>Janaina</t>
  </si>
  <si>
    <t>ShowRoom</t>
  </si>
  <si>
    <t>W.A ACCESS</t>
  </si>
  <si>
    <t>CAMERA SOLAR 2LENTE</t>
  </si>
  <si>
    <t>SIGMA-S8122</t>
  </si>
  <si>
    <t>PROCESSADOR INTEL I5 8500 OEM</t>
  </si>
  <si>
    <t>FITA SILVER TAPE</t>
  </si>
  <si>
    <t>BOM-1321</t>
  </si>
  <si>
    <t>Soprador de Folhas c aspirador 21v</t>
  </si>
  <si>
    <t>Victorino Info Comercial Ltda</t>
  </si>
  <si>
    <t>CORRENTE DE MOTOSSERRA</t>
  </si>
  <si>
    <t>BOM-5627</t>
  </si>
  <si>
    <t>CONJUNTO CHAVE DE FENDA E PHILLIPS</t>
  </si>
  <si>
    <t>BOM-3111</t>
  </si>
  <si>
    <t>ARANDELA SOLAR PAREDE EXTERNO LED</t>
  </si>
  <si>
    <t>Cabo HDTV 4 em 1</t>
  </si>
  <si>
    <t>BOM-4203</t>
  </si>
  <si>
    <t>LE-6623</t>
  </si>
  <si>
    <t>Isaac</t>
  </si>
  <si>
    <t>PROCESSADOR INTEL I5 8600 OEM</t>
  </si>
  <si>
    <t>i5-8600</t>
  </si>
  <si>
    <t>It blue</t>
  </si>
  <si>
    <t>LUMINÁRIA JARDIM COM PLACA SOLAR ESPETO - 1PCT 6 PEÇAS</t>
  </si>
  <si>
    <t>LUZ DE PREENCHIMENTO PARA FOTOS</t>
  </si>
  <si>
    <t>MLG-187</t>
  </si>
  <si>
    <t>Adaptador HDMI Vertical 90</t>
  </si>
  <si>
    <t>LE-5553</t>
  </si>
  <si>
    <t>TOMATE</t>
  </si>
  <si>
    <t>PROCESSADOR INTEL I5 9400 OEM</t>
  </si>
  <si>
    <t>i5-9400</t>
  </si>
  <si>
    <t>PLACA MÃE DESK BRAZILPC 1155 BPC-H61CM2-G</t>
  </si>
  <si>
    <t>07306</t>
  </si>
  <si>
    <t>PROCESSADOR INTEL I5 9500 OEM</t>
  </si>
  <si>
    <t>i5-9500</t>
  </si>
  <si>
    <t>PLACA MÃE PC H110</t>
  </si>
  <si>
    <t>G-H110</t>
  </si>
  <si>
    <t>RING LIGHT LUZ DE PREENCHIMENTO</t>
  </si>
  <si>
    <t>MLG-195</t>
  </si>
  <si>
    <t>FONTE DE ALIMENTAÇÃO P/ PC (ATX 550W)</t>
  </si>
  <si>
    <t>FO-MAX01</t>
  </si>
  <si>
    <t>MONITOR 27'' DUEX DXMO27F240S 240HZ PLANO SPEAKER</t>
  </si>
  <si>
    <t>025883-8</t>
  </si>
  <si>
    <t>FONTE DE ALIMENTAÇÃO P/ PC (ATX 650W)</t>
  </si>
  <si>
    <t>Ninja</t>
  </si>
  <si>
    <t>FO-MAX02</t>
  </si>
  <si>
    <t>ADAPTADOR HDMI PARA VGA</t>
  </si>
  <si>
    <t>MTV-712</t>
  </si>
  <si>
    <t>DDR4 4GB</t>
  </si>
  <si>
    <t>DIEGO</t>
  </si>
  <si>
    <t>PLACA MAE GIGABYTE B760M GAMING DDR4</t>
  </si>
  <si>
    <t>024812-9</t>
  </si>
  <si>
    <t>FONTE DE ALIMENTAÇÃO P/ PC (ATX 750W)</t>
  </si>
  <si>
    <t>FO-MAX03</t>
  </si>
  <si>
    <t>ROTEADOR WITI 2.4GHZ 1200MBPS</t>
  </si>
  <si>
    <t>MM-LYQ</t>
  </si>
  <si>
    <t>027468-5</t>
  </si>
  <si>
    <t>MINIMEN</t>
  </si>
  <si>
    <t>CONVERSOR EXTENSOR HDMI - 30 MTS.</t>
  </si>
  <si>
    <t>MHD-1103</t>
  </si>
  <si>
    <t>DDR4 16GB 3200 FURY PC</t>
  </si>
  <si>
    <t>DDR4 16GB</t>
  </si>
  <si>
    <t>5200/2529</t>
  </si>
  <si>
    <t>JOICE</t>
  </si>
  <si>
    <t>JBLBOOMBOX4WHTBR</t>
  </si>
  <si>
    <t>PLACA MAE GIGABYTE B550M DS3H AC R2 WIFI DDR4</t>
  </si>
  <si>
    <t>027477-7</t>
  </si>
  <si>
    <t>JBL</t>
  </si>
  <si>
    <t>MÓDULO DE LED COLORIDA</t>
  </si>
  <si>
    <t>027479-1</t>
  </si>
  <si>
    <t>AVDIGITAL</t>
  </si>
  <si>
    <t>CONTROLE GAMER COM FIO</t>
  </si>
  <si>
    <t>LON-C001</t>
  </si>
  <si>
    <t xml:space="preserve"> PLACA MAE B850 GAMING WF6 GIGABYTE</t>
  </si>
  <si>
    <t>027940-6</t>
  </si>
  <si>
    <t>Fonte de Alimentação PC</t>
  </si>
  <si>
    <t>MAX10</t>
  </si>
  <si>
    <t>PAINEL DE LED P3,91 OUTDOOR 1000x500MM</t>
  </si>
  <si>
    <t>NF 3324203</t>
  </si>
  <si>
    <t>PENDRIVE TWIST PRETO 32GB</t>
  </si>
  <si>
    <t>PD589</t>
  </si>
  <si>
    <t>JBLBOOMBOX4BLKBR</t>
  </si>
  <si>
    <t>Multilaser</t>
  </si>
  <si>
    <t xml:space="preserve">SUPORTE PAINEL DE LED </t>
  </si>
  <si>
    <t>PENDRIVE TWIST PRETO 64GB</t>
  </si>
  <si>
    <t>PD590</t>
  </si>
  <si>
    <t>JBLBOOMBOX4ORGBR</t>
  </si>
  <si>
    <t>ESPELHO DE MESA COM LED</t>
  </si>
  <si>
    <t>OIH-5203</t>
  </si>
  <si>
    <t>OASIS</t>
  </si>
  <si>
    <t>Fonte ATX 500w Brzil PC</t>
  </si>
  <si>
    <t>PowerPC</t>
  </si>
  <si>
    <t>CELULAR MULTI UP 4G PRETO</t>
  </si>
  <si>
    <t>JBLBOOMBOX4BRNBR</t>
  </si>
  <si>
    <t>SUFRAMA</t>
  </si>
  <si>
    <t>MULTILASER</t>
  </si>
  <si>
    <t>MOUSE COM FIO MF100 USB 1200DPI 3BOT COMPACTO 120CM</t>
  </si>
  <si>
    <t>EQUIPAMENTO PARA PRODUÇÃO DE VÍDEOS</t>
  </si>
  <si>
    <t>MTG-3333</t>
  </si>
  <si>
    <t>MOUSE SEM FIO MS100 USB 1200DPI 3BOT SLIM</t>
  </si>
  <si>
    <t>MOUSE OTICO USB OFFICE PRETO 1000DPI</t>
  </si>
  <si>
    <t>015-0043</t>
  </si>
  <si>
    <t>SANTANA</t>
  </si>
  <si>
    <t>SUPORTE KIT DE GRAVAÇAO</t>
  </si>
  <si>
    <t>TECLADO COM FIO TF100 USB COMPACTO 120CM</t>
  </si>
  <si>
    <t>MTG-2222</t>
  </si>
  <si>
    <t>BANDEJA FIXA 19" X 350MM 4 PONT FIXAÇÃO</t>
  </si>
  <si>
    <t>MAXMETAL</t>
  </si>
  <si>
    <t>RACK 19" 12U X 470 ACR SOLDA PAREDE</t>
  </si>
  <si>
    <t>mini caixa acustica</t>
  </si>
  <si>
    <t>KP-600</t>
  </si>
  <si>
    <t>CALCULADORA PORTATIL</t>
  </si>
  <si>
    <t>DDR5 16GB PC 4800XMP - C/ DISSIPADOR DE CALOR BRANCO - CLANM</t>
  </si>
  <si>
    <t>AK-J039</t>
  </si>
  <si>
    <t>POTENCIAL</t>
  </si>
  <si>
    <t>RACK 19" 07U X 470 ACR SOLDA PAREDE</t>
  </si>
  <si>
    <t>DDR5 16GB PC 4800XMP BK - C/ DISSIPADOR DE CALOR PRETO - CLANM</t>
  </si>
  <si>
    <t>CAIXA METALICA MINI FINE BC 350X400X108MMC/2CHAVES</t>
  </si>
  <si>
    <t>Case para HD</t>
  </si>
  <si>
    <t>DISSIPADOR DE CALOR PARA NVME M.2</t>
  </si>
  <si>
    <t>HD021</t>
  </si>
  <si>
    <t>CN510</t>
  </si>
  <si>
    <t>HD022</t>
  </si>
  <si>
    <t>CAIXA METALICA MINI FINE PRETO C/ 02 CHAVES</t>
  </si>
  <si>
    <t>BARRA DE LED PARA MONITOR</t>
  </si>
  <si>
    <t>AC3065</t>
  </si>
  <si>
    <t>Placa de Video VXPRO VXG210LP-1GD3</t>
  </si>
  <si>
    <t>32769/1</t>
  </si>
  <si>
    <t>RACK 19" 44U X 570 ACR SOLDA PISO</t>
  </si>
  <si>
    <t>Placa de Video</t>
  </si>
  <si>
    <t>GT210</t>
  </si>
  <si>
    <t>Delta</t>
  </si>
  <si>
    <t>MINI RACK 19" 05U X 350MM ACR PRETO C/ 02 CHAVES</t>
  </si>
  <si>
    <t>casep/ ssd</t>
  </si>
  <si>
    <t>MINI RACK 19" 08U X 350MM ACR PRETO</t>
  </si>
  <si>
    <t>KP-HD839</t>
  </si>
  <si>
    <t xml:space="preserve">FONE DE OUVIDO </t>
  </si>
  <si>
    <t>FN648</t>
  </si>
  <si>
    <t>Refletor de busca Multifuncional</t>
  </si>
  <si>
    <t>RACK 19" 24U X 570 ACR SOLDA PISO</t>
  </si>
  <si>
    <t>BOM-4330</t>
  </si>
  <si>
    <t>PLACA MÃE DXMBBB75S M2 LGA1155 (INTEL) DDR3 DUEX</t>
  </si>
  <si>
    <t>CHAVE DE IMPACTO 21V 580NM</t>
  </si>
  <si>
    <t>lLanterna taica regulavel</t>
  </si>
  <si>
    <t>BOM-4323</t>
  </si>
  <si>
    <t>BOM-9964</t>
  </si>
  <si>
    <t>RACK 19" 06U X 470 ACR SOLDA PAREDE</t>
  </si>
  <si>
    <t>TECLADO GAMER - START</t>
  </si>
  <si>
    <t>015-0085</t>
  </si>
  <si>
    <t>Lanterna Holofote</t>
  </si>
  <si>
    <t>LAMPADA DE PAREDE SOLAR COM FILAMENTO</t>
  </si>
  <si>
    <t>BOM-4324</t>
  </si>
  <si>
    <t>BOM-4209</t>
  </si>
  <si>
    <t>RACK 19" 20U X 670 ACR SOLDA PISO</t>
  </si>
  <si>
    <t>TECLADO GAMER START 2.0 PRETO / VERMELHO</t>
  </si>
  <si>
    <t>MARTELO PERFURADOR E ROMPEDOR 110V</t>
  </si>
  <si>
    <t>015-0087</t>
  </si>
  <si>
    <t>BOM-9595</t>
  </si>
  <si>
    <t>07344</t>
  </si>
  <si>
    <t>Lanterna de Aluminio</t>
  </si>
  <si>
    <t>BOM-4304</t>
  </si>
  <si>
    <t>FONTE DE ALIMENTAÇÃO PC 200W</t>
  </si>
  <si>
    <t>HDW-003</t>
  </si>
  <si>
    <t>MOUSE GAMER START 2.0 - PRETO / VERMELHO</t>
  </si>
  <si>
    <t>015-0088</t>
  </si>
  <si>
    <t>PARAFUSADEIRA BATERIA 21V</t>
  </si>
  <si>
    <t>BOM-9970</t>
  </si>
  <si>
    <t>Lanterna de Cabeca</t>
  </si>
  <si>
    <t>BOM-4011</t>
  </si>
  <si>
    <t>SOPRADOR A GASOLINA 26CC</t>
  </si>
  <si>
    <t>07345</t>
  </si>
  <si>
    <t>KIT JOGO DE CHAVES CATRACA SOQ. 24PCS</t>
  </si>
  <si>
    <t>CAMERA DE RÉ 30W</t>
  </si>
  <si>
    <t>ACR-031</t>
  </si>
  <si>
    <t>Case Para SSD m.2</t>
  </si>
  <si>
    <t>KA-952</t>
  </si>
  <si>
    <t>MINI CAIXAS ACUSTICAS PARES</t>
  </si>
  <si>
    <t>KP-601</t>
  </si>
  <si>
    <t>Sensor de estacionamento veicular</t>
  </si>
  <si>
    <t>KP-MR704</t>
  </si>
  <si>
    <t>07360</t>
  </si>
  <si>
    <t>PLACA MAE 1150 BPC-H81 M.2</t>
  </si>
  <si>
    <t>MICRO SD 32GB</t>
  </si>
  <si>
    <t>LB-CM32/B</t>
  </si>
  <si>
    <t>PROCESSADOR INTEL I5 10400 OEM</t>
  </si>
  <si>
    <t>SENSOR DE ESTACIONAMENTO</t>
  </si>
  <si>
    <t>02120</t>
  </si>
  <si>
    <t>PROCESSADOR INTEL I5 2400 OEM</t>
  </si>
  <si>
    <t>52400S</t>
  </si>
  <si>
    <t>PROCESSADOR INTEL I5 10500 OEM</t>
  </si>
  <si>
    <t xml:space="preserve">MONITOR LED 27' RESOLUÇÃO 1920*1080 </t>
  </si>
  <si>
    <t>Lampaio Solar Para Acampamnto</t>
  </si>
  <si>
    <t>D-MN006</t>
  </si>
  <si>
    <t>BOM-4211</t>
  </si>
  <si>
    <t>LICENÇA ESD OFFICE PRO 2021</t>
  </si>
  <si>
    <t>AFOX</t>
  </si>
  <si>
    <t>07384</t>
  </si>
  <si>
    <t>PROCESSADOR INTEL I5 10500T OEM</t>
  </si>
  <si>
    <t>GABINETE GAMER</t>
  </si>
  <si>
    <t>ATX09</t>
  </si>
  <si>
    <t>KIT FAN PARA GABINETE</t>
  </si>
  <si>
    <t>G-VR346K</t>
  </si>
  <si>
    <t>SWITCH 8 PORTAS 1000MBPS</t>
  </si>
  <si>
    <t>ATS-108G</t>
  </si>
  <si>
    <t>PROCESSADOR INTEL I5 10400T OEM</t>
  </si>
  <si>
    <t>05184</t>
  </si>
  <si>
    <t>AGP-A31150C</t>
  </si>
  <si>
    <t>LAVADOURA DE ALTA PRESSAO 220V</t>
  </si>
  <si>
    <t>BOM-7010</t>
  </si>
  <si>
    <t xml:space="preserve">GABINETE GAMER C/ 3 FANS </t>
  </si>
  <si>
    <t>ATX07</t>
  </si>
  <si>
    <t>GB1727</t>
  </si>
  <si>
    <t>Gabiente Preto MATX com Coolers</t>
  </si>
  <si>
    <t>M33160CP</t>
  </si>
  <si>
    <t>CAMISA DO BRASIL</t>
  </si>
  <si>
    <t>LUMINARIA SOLAR DE JARDIM PORTATIL ESTACA E LANTERNA</t>
  </si>
  <si>
    <t>BOM-4616</t>
  </si>
  <si>
    <t>TJS ENTERPRISES</t>
  </si>
  <si>
    <t>LUMINARIA JARDIM COM PLACA SOLAR</t>
  </si>
  <si>
    <t>ALBUM DA COPA</t>
  </si>
  <si>
    <t>ASPIRADOR DE PO E AGUA 1400W 15 LITROS 127V</t>
  </si>
  <si>
    <t>BOM-7015</t>
  </si>
  <si>
    <t>PLACA MAE 1200 BPC-H510 M.2</t>
  </si>
  <si>
    <t>Gabiente Branco MATX com Coolers</t>
  </si>
  <si>
    <t>M33160CB</t>
  </si>
  <si>
    <t>CHUVEIRO ELETRICO COM DUCHA 6000W 110V</t>
  </si>
  <si>
    <t>BOM-2485</t>
  </si>
  <si>
    <t>Fonte para Notebook Dz08</t>
  </si>
  <si>
    <t>CHUVEIRO ELETRICO COM DUCHA 6000W 220V</t>
  </si>
  <si>
    <t>BOM-2486</t>
  </si>
  <si>
    <t>PLACA MÃE H81</t>
  </si>
  <si>
    <t xml:space="preserve"> DDR3 4GB 1600 NOTE</t>
  </si>
  <si>
    <t>Bateria para Notebook - WDX0R</t>
  </si>
  <si>
    <t>DDR4 16GB 3200MHZ</t>
  </si>
  <si>
    <t>KIT DE SERRA MARMORE E ESMERILHADEIRA 110V 650/900W 2EM1</t>
  </si>
  <si>
    <t>DDR4 4GB 2400 PC</t>
  </si>
  <si>
    <t>BOM-9601</t>
  </si>
  <si>
    <t>Placa de Video VXPRO</t>
  </si>
  <si>
    <t>DDR4 16GB 3200 PC   | HyperX</t>
  </si>
  <si>
    <t>PLACA MAE AM4</t>
  </si>
  <si>
    <t>ALICATE DE CRIMPAR RJ45/RJ11/RJ12</t>
  </si>
  <si>
    <t>B450</t>
  </si>
  <si>
    <t>MONITOR LED 20" BRAZILPC 20WR 75HZ PRETO</t>
  </si>
  <si>
    <t>BOM-1703</t>
  </si>
  <si>
    <t>SSD 480 WD GREEN</t>
  </si>
  <si>
    <t>PLACA MÃE DESK BPC-H61 BRAZILPC 1155</t>
  </si>
  <si>
    <t>TESTADOR DE CABO DE REDE E TELEFONE</t>
  </si>
  <si>
    <t>BOM-6802</t>
  </si>
  <si>
    <t>PLACA MAE LGA</t>
  </si>
  <si>
    <t>CARTAO MEMORIA MICRO SD 32G</t>
  </si>
  <si>
    <t>D-TF32</t>
  </si>
  <si>
    <t>07361</t>
  </si>
  <si>
    <t>GPU NVIDIA GEFORCE GT730 - 4GB DDR3 - 128BIT - HDMI/DVI/VGA - CLANM</t>
  </si>
  <si>
    <t>GT730LP</t>
  </si>
  <si>
    <t>PLACA MÃE PC H610</t>
  </si>
  <si>
    <t>G-H610</t>
  </si>
  <si>
    <t>DESKTOP GAMER 16G D4 512G</t>
  </si>
  <si>
    <t>MONITOR LED 34'</t>
  </si>
  <si>
    <t>G57BB</t>
  </si>
  <si>
    <t>D-GR340</t>
  </si>
  <si>
    <t xml:space="preserve">FURADEIRA DE IMPACTO 110V </t>
  </si>
  <si>
    <t>BOM-9543</t>
  </si>
  <si>
    <t>HD 4TB WD PURPLE</t>
  </si>
  <si>
    <t>BAT UNIP 12V ALARME</t>
  </si>
  <si>
    <t>JAVACOMP</t>
  </si>
  <si>
    <t>KIT JOGO DE FERRAMENTAS COMPLETA COM 126 PÇS</t>
  </si>
  <si>
    <t>BOM-3907</t>
  </si>
  <si>
    <t>A21 12V ALARME</t>
  </si>
  <si>
    <t>UCB</t>
  </si>
  <si>
    <t>HD 8TB WD PURPLE</t>
  </si>
  <si>
    <t>LAVADORA DE PRESSÃO PORTÁTIL A BATERIA</t>
  </si>
  <si>
    <t>EXTENSOR CONVERSOR FIBRA OPTICA RJ45</t>
  </si>
  <si>
    <t>BOM-7001</t>
  </si>
  <si>
    <t>SSD240 GB MASTERDRIVE</t>
  </si>
  <si>
    <t>INFOSAFARI</t>
  </si>
  <si>
    <t>EXBOM (MCT)</t>
  </si>
  <si>
    <t xml:space="preserve">LIXADEIRA MANUAL DE BATERIA </t>
  </si>
  <si>
    <t>ROÇADEIRA</t>
  </si>
  <si>
    <t>BOM-9703</t>
  </si>
  <si>
    <t>BOM-9202</t>
  </si>
  <si>
    <t xml:space="preserve">iPhone - 17 Pro Max 256 GB </t>
  </si>
  <si>
    <t>KIT 6 LUMINÁRIAS SOLAR DE JARDIM 98*98*405</t>
  </si>
  <si>
    <t>BOM-4612</t>
  </si>
  <si>
    <t>MEMORIA DDR4 16GB</t>
  </si>
  <si>
    <t>ROÇADEIRA/APARADOR DE GRAMA</t>
  </si>
  <si>
    <t xml:space="preserve"> iphone 15 128gb preto</t>
  </si>
  <si>
    <t xml:space="preserve">MOTOSSERRA A GASOLINA </t>
  </si>
  <si>
    <t>MEMORIA DDR4 8G2666</t>
  </si>
  <si>
    <t>iphone 17 PROMAX 256GB LARANJA</t>
  </si>
  <si>
    <t>SERRA MÁRMORE 1200W 110V</t>
  </si>
  <si>
    <t>BOM-9549</t>
  </si>
  <si>
    <t>iFhone 15 128gb</t>
  </si>
  <si>
    <t>PARAFUSADERIA BATERIA 21V</t>
  </si>
  <si>
    <t>SERRA MÁRMORE 1200W 220V</t>
  </si>
  <si>
    <t>BOM-9961</t>
  </si>
  <si>
    <t>BOM-9550</t>
  </si>
  <si>
    <t>PLACA MAE H61</t>
  </si>
  <si>
    <t>LAVADORA DE PRESSÃO PORTATIL A BATERIA</t>
  </si>
  <si>
    <t>COMBO WIRELESS 2.4GHZ OFFICE - MOUSE E TECLADO</t>
  </si>
  <si>
    <t>15-0079</t>
  </si>
  <si>
    <t>DDR3 8GB 1600</t>
  </si>
  <si>
    <t>Santana</t>
  </si>
  <si>
    <t>1608P</t>
  </si>
  <si>
    <t>Suframa - 30/60/90/120/150</t>
  </si>
  <si>
    <t>07372</t>
  </si>
  <si>
    <t>MONITOR PRO GAMER 34"  K 165HZ</t>
  </si>
  <si>
    <t>M3422AUC</t>
  </si>
  <si>
    <t>SERRA TICO TICO 550W 110V</t>
  </si>
  <si>
    <t>BOM-9667</t>
  </si>
  <si>
    <t>Cabo CFTV CAT6 10M</t>
  </si>
  <si>
    <t>LE-314</t>
  </si>
  <si>
    <t>Gustvo</t>
  </si>
  <si>
    <t>Regime especial NINJA</t>
  </si>
  <si>
    <t>Lelong</t>
  </si>
  <si>
    <t>i5 - 14400 OEM</t>
  </si>
  <si>
    <t>MONITOR LED RESOLUÇÃO 1920*1080 TELA23.8</t>
  </si>
  <si>
    <t>BRAZUSA</t>
  </si>
  <si>
    <t>MN005</t>
  </si>
  <si>
    <t>SERRA TICO TICO 550W 220V</t>
  </si>
  <si>
    <t>Cooler para Processasor</t>
  </si>
  <si>
    <t>BOM-9668</t>
  </si>
  <si>
    <t>G-VR337</t>
  </si>
  <si>
    <t>i7 - 14700 OEM</t>
  </si>
  <si>
    <t>FURADEIRA DE IMPACTO 600W 10MM 220V</t>
  </si>
  <si>
    <t>Placa Mae LGA 1150</t>
  </si>
  <si>
    <t>BOM-9670</t>
  </si>
  <si>
    <t>B85</t>
  </si>
  <si>
    <t>i7 - 14700F OEM</t>
  </si>
  <si>
    <t>HD 2TB WD PURPLE</t>
  </si>
  <si>
    <t>A520</t>
  </si>
  <si>
    <t>NVME 512GB</t>
  </si>
  <si>
    <t>07417</t>
  </si>
  <si>
    <t>Placa Mae</t>
  </si>
  <si>
    <t>PC6700HQ</t>
  </si>
  <si>
    <t>CHYBEN</t>
  </si>
  <si>
    <t>DISCO PARA ARMAZENAMENTO 1TB 2.5</t>
  </si>
  <si>
    <t>KP-HD807</t>
  </si>
  <si>
    <t>CADEIRA GAMER LUNARI FEARLESS PRETO</t>
  </si>
  <si>
    <t>ELEMENT</t>
  </si>
  <si>
    <t>H510</t>
  </si>
  <si>
    <t>IPHONE 16 PRO 128GB</t>
  </si>
  <si>
    <t>DISCO PARA ARMAZENAMENTO 250GB 2.5</t>
  </si>
  <si>
    <t>KP-HD808</t>
  </si>
  <si>
    <t>MÁQUINA DE SOLDA 110V</t>
  </si>
  <si>
    <t>DDR3 8 gb 1600hz Pro Drive</t>
  </si>
  <si>
    <t>BOM-9507</t>
  </si>
  <si>
    <t>MPComputadores</t>
  </si>
  <si>
    <t>IPHONE 17 PM AZUL</t>
  </si>
  <si>
    <t>DISCO PARA ARMAZENAMENTO 500GB 2.5</t>
  </si>
  <si>
    <t>KP-HD810</t>
  </si>
  <si>
    <t>PLACA MÃE A320 PC</t>
  </si>
  <si>
    <t>G-A320</t>
  </si>
  <si>
    <t>Bat Unipower 127v 7.0E</t>
  </si>
  <si>
    <t>A21 12V 7AH E</t>
  </si>
  <si>
    <t>MEMORIA 4GB DDR4</t>
  </si>
  <si>
    <t>07420</t>
  </si>
  <si>
    <t>PLACA MAE H610</t>
  </si>
  <si>
    <t>Licença Acrobat PRO</t>
  </si>
  <si>
    <t>Uso consumo</t>
  </si>
  <si>
    <t>PENDRIVE TWIST PRETO 16GB</t>
  </si>
  <si>
    <t>Licença c/ pgto mensal</t>
  </si>
  <si>
    <t>NVME 256GB</t>
  </si>
  <si>
    <t>PD588</t>
  </si>
  <si>
    <t>04583</t>
  </si>
  <si>
    <t>FONE DE OUVIDO</t>
  </si>
  <si>
    <t>ON-FN637</t>
  </si>
  <si>
    <t>i5 - 13500</t>
  </si>
  <si>
    <t>Ultra 3 cel+gbs49</t>
  </si>
  <si>
    <t>ARCO SERRA 12'</t>
  </si>
  <si>
    <t>BOM-1522</t>
  </si>
  <si>
    <t>17 PROMAX 512GB LARANJA</t>
  </si>
  <si>
    <t>KIT 6-4 ALICATE CRIMPAR BOX C/ 1250 TERM.</t>
  </si>
  <si>
    <t>BOM-3705</t>
  </si>
  <si>
    <t>JOGO DE 5 BROCAS SDS PARA CONCRETO</t>
  </si>
  <si>
    <t>JavaComp</t>
  </si>
  <si>
    <t>BOM-5059</t>
  </si>
  <si>
    <t>ON-FN635</t>
  </si>
  <si>
    <t>24/02 03/03</t>
  </si>
  <si>
    <t>10/03 17/03</t>
  </si>
  <si>
    <t xml:space="preserve">CABO USB X MICRO USB CARREGAMENTO RÁPIDO </t>
  </si>
  <si>
    <t>OR-C025/M</t>
  </si>
  <si>
    <t>24/03 04/04</t>
  </si>
  <si>
    <t>KIT 12PCS LAPIS DE CARPINTEIRO</t>
  </si>
  <si>
    <t>BOM-5925</t>
  </si>
  <si>
    <t>Fonte PC Automatico 500w</t>
  </si>
  <si>
    <t>EF500</t>
  </si>
  <si>
    <t>Aitek</t>
  </si>
  <si>
    <t>NIVEL MANUAL MAGNETICO COM REGUA 100CME 3 BOLHAS</t>
  </si>
  <si>
    <t>BOM-6530</t>
  </si>
  <si>
    <t>ALICATE UNIVERSAL 8 POLEGADAS</t>
  </si>
  <si>
    <t>BOM-1603</t>
  </si>
  <si>
    <t>CABO USB X LIGHTNING CARREGAMENTO RÁPIDO</t>
  </si>
  <si>
    <t>OR-C023/L</t>
  </si>
  <si>
    <t>Gabinete Gamer</t>
  </si>
  <si>
    <t>MATX 03</t>
  </si>
  <si>
    <t>ON-FN601</t>
  </si>
  <si>
    <t>Rep Diego BH</t>
  </si>
  <si>
    <t>Grasep</t>
  </si>
  <si>
    <t>ALICATE PRENSA TERMINAIS TIPO PROFISSIONAL</t>
  </si>
  <si>
    <t>BOM-1710</t>
  </si>
  <si>
    <t>PLACA MÃE H510 PC</t>
  </si>
  <si>
    <t>MATX 04</t>
  </si>
  <si>
    <t>G-H510</t>
  </si>
  <si>
    <t>JOGO DE ESCOVAS ACO CIRCULAR HASTE C/ 6PCS</t>
  </si>
  <si>
    <t>BOM-5656</t>
  </si>
  <si>
    <t>JOGO DE SOQUETES MAGNETICOS 5PCS</t>
  </si>
  <si>
    <t>MATX 05</t>
  </si>
  <si>
    <t>BOM-5022</t>
  </si>
  <si>
    <t>MONITOR AX20"</t>
  </si>
  <si>
    <t>AX20"</t>
  </si>
  <si>
    <t>KP-359</t>
  </si>
  <si>
    <t>NIVEL MANUAL COM REGUA DE 50CM E 3 BOLHAS</t>
  </si>
  <si>
    <t>BOM-6521</t>
  </si>
  <si>
    <t>MATX 06</t>
  </si>
  <si>
    <t>MONITOR AX22"</t>
  </si>
  <si>
    <t>AX22"</t>
  </si>
  <si>
    <t>TRENA EMBORRACHADA PONTA MAGNETICA 5M</t>
  </si>
  <si>
    <t>BOM-6504</t>
  </si>
  <si>
    <t>MATX 07</t>
  </si>
  <si>
    <t>MACARICO PORTIL CULINARIA 1300C</t>
  </si>
  <si>
    <t>BOM-1540</t>
  </si>
  <si>
    <t>PLACA DE REDE WIRELESS PCI EXPRESS C/ 2 ANTENAS 1200MBPS</t>
  </si>
  <si>
    <t>CESAR</t>
  </si>
  <si>
    <t>MATX 08</t>
  </si>
  <si>
    <t>MONITOR AX24"</t>
  </si>
  <si>
    <t>COMBO GAMER START - MOUSE E TECLADO</t>
  </si>
  <si>
    <t>AX24"</t>
  </si>
  <si>
    <t>015-0052</t>
  </si>
  <si>
    <t>CANETA TOUCH SREEN</t>
  </si>
  <si>
    <t>MIP-008</t>
  </si>
  <si>
    <t>MATX 09</t>
  </si>
  <si>
    <t>Placa Mae Gigabyte X870 EAGLE 9Mx87eg7-00 g11</t>
  </si>
  <si>
    <t>31166/1</t>
  </si>
  <si>
    <t>GAB. MATX BRAZILPC BPC-N110 C/ FONTE 230W</t>
  </si>
  <si>
    <t>MOUSE WIRELESS 2.4GHZ OFFICE</t>
  </si>
  <si>
    <t>015-0080</t>
  </si>
  <si>
    <t>Delta RX550</t>
  </si>
  <si>
    <t>Luatek</t>
  </si>
  <si>
    <t xml:space="preserve">TESTADOR DE CABO DE REDE E TELEFONE </t>
  </si>
  <si>
    <t>Fonte de Alimentaçõão para PC</t>
  </si>
  <si>
    <t>PLACA MÃE VXPRO VXMBH110 LGA1151 BOX DDR4</t>
  </si>
  <si>
    <t>KP-517</t>
  </si>
  <si>
    <t>028173-7</t>
  </si>
  <si>
    <t>Diego</t>
  </si>
  <si>
    <t>PASTA DE NOTEBOOK</t>
  </si>
  <si>
    <t>DNB-9</t>
  </si>
  <si>
    <t>PLACA MÃE DUEX DXMBH81G M2 LGA1150 DDR3</t>
  </si>
  <si>
    <t>HWJ</t>
  </si>
  <si>
    <t>026045-9</t>
  </si>
  <si>
    <t>MINI MOTOSSERRA PORTÁTIL A BATERIA 4"</t>
  </si>
  <si>
    <t>BOM-9101</t>
  </si>
  <si>
    <t>Multifuncional Epson Ecotank L3250</t>
  </si>
  <si>
    <t>Cesar</t>
  </si>
  <si>
    <t>CABO DE REDE CAT5 100 MBPS 30 AWG</t>
  </si>
  <si>
    <t>Mamuth</t>
  </si>
  <si>
    <t>SSD 2.5 960GB LEXAR SATA 3 5.5""</t>
  </si>
  <si>
    <t>MHD-4035</t>
  </si>
  <si>
    <t>Pauta</t>
  </si>
  <si>
    <t>SSD 2.5</t>
  </si>
  <si>
    <t>BOLSA PASTA DE NOTEBOOK COM ALÇA</t>
  </si>
  <si>
    <t>PARAGUAI</t>
  </si>
  <si>
    <t>DNB-4803</t>
  </si>
  <si>
    <t>MATX03</t>
  </si>
  <si>
    <t>CABO CFTV CAT5 30M</t>
  </si>
  <si>
    <t>MCB-1530</t>
  </si>
  <si>
    <t>MATX04</t>
  </si>
  <si>
    <t>LANTERNA</t>
  </si>
  <si>
    <t>LE-8314</t>
  </si>
  <si>
    <t>LELONG</t>
  </si>
  <si>
    <t>ATX05</t>
  </si>
  <si>
    <t>PLACA MÃE B760 GAMING DDR4</t>
  </si>
  <si>
    <t>PASTA PARA NOTEBOOK</t>
  </si>
  <si>
    <t>B760</t>
  </si>
  <si>
    <t>DNB-4815</t>
  </si>
  <si>
    <t xml:space="preserve">CAIXA DE SOM MULTIMIDEA </t>
  </si>
  <si>
    <t>KP-RO800</t>
  </si>
  <si>
    <t>MATX06</t>
  </si>
  <si>
    <t>PLACA MÃE B760M AORUS ELITE DDR5 1700</t>
  </si>
  <si>
    <t>MATX07</t>
  </si>
  <si>
    <t>PLACA MÃE A520M ASUS PRIME DDR4</t>
  </si>
  <si>
    <t xml:space="preserve">ESMERILHADEIRA ANGULAR 710W 110v </t>
  </si>
  <si>
    <t>BOM-9545</t>
  </si>
  <si>
    <t>ATX08</t>
  </si>
  <si>
    <t>PASTA NOTEBOOK EXECUTIVO</t>
  </si>
  <si>
    <t>DNB-22</t>
  </si>
  <si>
    <t>CHAVE DE IMPACTO 21V 1300 N.M</t>
  </si>
  <si>
    <t>BOM-9971</t>
  </si>
  <si>
    <t>07544</t>
  </si>
  <si>
    <t>FURADEIRA E MARTELETE COM IMPACTO 800W 110V</t>
  </si>
  <si>
    <t>BOM-9557</t>
  </si>
  <si>
    <t>SWITCH 8+2+1</t>
  </si>
  <si>
    <t>PLACA MÃE LGA2011-V3/V4</t>
  </si>
  <si>
    <t>Computador All In One</t>
  </si>
  <si>
    <t>ATS-1082</t>
  </si>
  <si>
    <t>G-X99C/50V4</t>
  </si>
  <si>
    <t>D-AI 16</t>
  </si>
  <si>
    <t>Monitor 19'</t>
  </si>
  <si>
    <t>SWITCH 16+2+1</t>
  </si>
  <si>
    <t>AXPRO</t>
  </si>
  <si>
    <t>ATS-1182</t>
  </si>
  <si>
    <t>Haoquing</t>
  </si>
  <si>
    <t>MACHADO COM CABO DE FIBRA-600G</t>
  </si>
  <si>
    <t>BOM-1005</t>
  </si>
  <si>
    <t>PENDRIVE 128GB</t>
  </si>
  <si>
    <t>P1128</t>
  </si>
  <si>
    <t xml:space="preserve">MINI MOTOSSERRA PORTATIL A BATERIA 4 POLEGATAS </t>
  </si>
  <si>
    <t>Alcool Isopropilico 99,8% 100 ml</t>
  </si>
  <si>
    <t>DDR4 16GB 3200</t>
  </si>
  <si>
    <t>Implastec</t>
  </si>
  <si>
    <t xml:space="preserve">PARAFUSADEIRA BATERIA 21V </t>
  </si>
  <si>
    <t>09109</t>
  </si>
  <si>
    <t>Alcool Isopropilico 99,8% 250 ml</t>
  </si>
  <si>
    <t>PROC DESK INTEL 1150 I5-4590</t>
  </si>
  <si>
    <t>ADAPTADOR USB WIFI 300MBPS</t>
  </si>
  <si>
    <t>KA-T8188</t>
  </si>
  <si>
    <t xml:space="preserve">SERRA MÁRMORE 1200W 110V </t>
  </si>
  <si>
    <t>Alcool Isopropilico 99,8% 500 ml</t>
  </si>
  <si>
    <t>PLACA DE VIDEO RX580 8GB DDR5</t>
  </si>
  <si>
    <t>RX580RGB</t>
  </si>
  <si>
    <t>SOPRADOR A GASOLINA 26CC:</t>
  </si>
  <si>
    <t>RX580</t>
  </si>
  <si>
    <t>MONITOR LED 20 PRETO ENTERPRISE CORP 20WEV-KAN 75HZ</t>
  </si>
  <si>
    <t>Limpa Telas 60Ml com Flanela</t>
  </si>
  <si>
    <t>PLACA MAE LGA1151 H610 M.2 SSD</t>
  </si>
  <si>
    <t>H610M2K</t>
  </si>
  <si>
    <t>SERRA TICO TICO 550W 220V:</t>
  </si>
  <si>
    <t>PLACA VIDEO RX580 8GB DDR5</t>
  </si>
  <si>
    <t>MONITOR LED 20 PRETO TRONOS CORP TRS-20WV 75HZ</t>
  </si>
  <si>
    <t>D-AI13</t>
  </si>
  <si>
    <t>SUPORTE FONE PRETO COM HUB USB3.0</t>
  </si>
  <si>
    <t>S331</t>
  </si>
  <si>
    <t>COOLER PARA PROCESSADOR CPU</t>
  </si>
  <si>
    <t>G-VR303</t>
  </si>
  <si>
    <t>SERRA CIRCULAR ELETRICA PROFISSIONAL</t>
  </si>
  <si>
    <t>BX8DYJ5040</t>
  </si>
  <si>
    <t xml:space="preserve">GABINETE GAMER </t>
  </si>
  <si>
    <t>ELIASS VAREJO</t>
  </si>
  <si>
    <t>D-AI16</t>
  </si>
  <si>
    <t>COOLER BRAZILPC CL-823 65W P/INTEL/AMD BOX</t>
  </si>
  <si>
    <t>MATX10</t>
  </si>
  <si>
    <t>iPad A16 128g Azul</t>
  </si>
  <si>
    <t>CABO DE FORÇA P/ MONITOR/GABINETE PADRÃO NOVO OEM</t>
  </si>
  <si>
    <t>CANETA TOUCH SCREEN CAPACITIVA STYLUS KIT COM 10</t>
  </si>
  <si>
    <t>TONER COMPATIVEL HP CB435A</t>
  </si>
  <si>
    <t>MLB1850757519</t>
  </si>
  <si>
    <t>LHCB435(4)</t>
  </si>
  <si>
    <t>SSD 480GB OEM</t>
  </si>
  <si>
    <t>CONECTADOS ARTIGOS ESPORTIVOS</t>
  </si>
  <si>
    <t>THIAGO VECHI</t>
  </si>
  <si>
    <t>FONTE ATX PS3 230W TRONOS TRS-230V 1.2 24 PINOS OEM</t>
  </si>
  <si>
    <t>Antena-3M</t>
  </si>
  <si>
    <t>CONTROLE SEM FIO</t>
  </si>
  <si>
    <t>MTA-3011</t>
  </si>
  <si>
    <t>MAY-004A</t>
  </si>
  <si>
    <t>X1504VA-NJ1739- CORE I5 / 8 GB / 256 GB / KEEP OS / COOL SILVER</t>
  </si>
  <si>
    <t>Tomate</t>
  </si>
  <si>
    <t>90NB10J2 M03BN0</t>
  </si>
  <si>
    <t>ACBZ IMPORTACAO</t>
  </si>
  <si>
    <t>SSD 120GB HAYOM</t>
  </si>
  <si>
    <t>GABIZ</t>
  </si>
  <si>
    <t>GAB. MATX BRAZILPC BPC-N110 MATX-B M255 S/ BAIA S/FONTE</t>
  </si>
  <si>
    <t>ADAPTADOR WIFI 600MPBS BANDA DUPLA</t>
  </si>
  <si>
    <t>MM-WX18</t>
  </si>
  <si>
    <t>Monitor 24'</t>
  </si>
  <si>
    <t>GAB. MATX BRAZILPC BPC-N114 MATX M255 S/ BAIA S/FONTE</t>
  </si>
  <si>
    <t>Monitor 20'</t>
  </si>
  <si>
    <t>CONTROLE GAMER SEM FIO</t>
  </si>
  <si>
    <t>PROCESSADOR INTEL I5 3570 OEM</t>
  </si>
  <si>
    <t>MAY-004</t>
  </si>
  <si>
    <t>05320</t>
  </si>
  <si>
    <t>SWITCH POE 8+2+1</t>
  </si>
  <si>
    <t xml:space="preserve">LICENÇA ESD OFFICE PRO 2021 </t>
  </si>
  <si>
    <t>AFOX COMERCIO</t>
  </si>
  <si>
    <t>PASTA TERMICA PRATA 1G EM SERINGA PCT/10 ( 3,05 W/MK )</t>
  </si>
  <si>
    <t>PS01</t>
  </si>
  <si>
    <t>KIT DE CHAVES SOQUETES COM 40PCS 1/4 E 3/8</t>
  </si>
  <si>
    <t>DEX</t>
  </si>
  <si>
    <t>BOM-3906</t>
  </si>
  <si>
    <t>Placa Mae CHIPSET Lan100/1000Mb</t>
  </si>
  <si>
    <t>H110</t>
  </si>
  <si>
    <t>PASTA TERMICA PRATA 5G EM SERINGA C/PAZINHA PCT/10 ( 3,05 W/MK )</t>
  </si>
  <si>
    <t>PS05</t>
  </si>
  <si>
    <t>KIT JOGO DE CHAVES CATRACA SOQUETE 124 PECAS</t>
  </si>
  <si>
    <t>MONITOR DELL PRO PLUS CSG 23.8" P2425H 210-BMGK-CP114</t>
  </si>
  <si>
    <t>César</t>
  </si>
  <si>
    <t>Com nota MAMUTH</t>
  </si>
  <si>
    <t>Agis</t>
  </si>
  <si>
    <t>PASTA TERMICA PRATA 10G EM SERINGA C/PAZINHA PCT/10 ( 3,05 W/MK )</t>
  </si>
  <si>
    <t>PS06</t>
  </si>
  <si>
    <t>KIT JOGO DE CHAVES CATRACA SOQUETE 95 PECAS</t>
  </si>
  <si>
    <t>BOM-3912</t>
  </si>
  <si>
    <t>COLLER FAN 8X8 CM PCT/10</t>
  </si>
  <si>
    <t>DX-8C</t>
  </si>
  <si>
    <t>05343</t>
  </si>
  <si>
    <t>JOGO DE SOQUETES 1/2POL. COM REVERSIVEL, COMBINADAS-37PCS</t>
  </si>
  <si>
    <t>BOM-3917</t>
  </si>
  <si>
    <t>COLLER FAN 12X12 CM PCT/10</t>
  </si>
  <si>
    <t>DX-12C</t>
  </si>
  <si>
    <t>PLACA DE VÍDEO 4GB</t>
  </si>
  <si>
    <t>17 promax 256gb azul</t>
  </si>
  <si>
    <t>DELTA-R7 350</t>
  </si>
  <si>
    <t>DDR4 8GB 3200</t>
  </si>
  <si>
    <t>Modulo 6014 STAR 1,5W 6500k Cristal 1,5w 3-LED 170º Braco Frio 12v</t>
  </si>
  <si>
    <t>KIT DE JOGO DE SOQUETES COM ENCAIXE DE 1/2 DE POLEGADA 12PE</t>
  </si>
  <si>
    <t>BOM-3210</t>
  </si>
  <si>
    <t>TRICICLO DRIFT 300W</t>
  </si>
  <si>
    <t>NINJA PLACE com RE</t>
  </si>
  <si>
    <t>Shop Mix LED</t>
  </si>
  <si>
    <t>Bomba de Agua 21v</t>
  </si>
  <si>
    <t>BOM-8721</t>
  </si>
  <si>
    <t>LANTERNA RECARREGAVEL COM ZOOM AJUSTAVEL</t>
  </si>
  <si>
    <t>BOM-4326</t>
  </si>
  <si>
    <t>CABO DE SEGURANÇA C/ CHAVE</t>
  </si>
  <si>
    <t>CS-30</t>
  </si>
  <si>
    <t>I7 - 4770</t>
  </si>
  <si>
    <t>I7-4770</t>
  </si>
  <si>
    <t>COLEÇÃO</t>
  </si>
  <si>
    <t>JANICE</t>
  </si>
  <si>
    <t>Kit  com 10 Ferramentas 21v</t>
  </si>
  <si>
    <t>BOM-9763</t>
  </si>
  <si>
    <t>LANTERNA DE LED RECARREGAVEL PORTATIL</t>
  </si>
  <si>
    <t>BOM-4340</t>
  </si>
  <si>
    <t>I5 3470</t>
  </si>
  <si>
    <t>SSD 120GB</t>
  </si>
  <si>
    <t>NEXT PC</t>
  </si>
  <si>
    <t>SSD 120</t>
  </si>
  <si>
    <t>MASTER DRIVE</t>
  </si>
  <si>
    <t>HD Desk SATA3 500GB SEAGATE</t>
  </si>
  <si>
    <t>CONJUNTO DE 7 CHAVES DEFENDA EPHILLIPS COM CABO DE IMPACTO</t>
  </si>
  <si>
    <t>BOM-3121</t>
  </si>
  <si>
    <t>KIT DEFUSIVEIS AUTOMOTIVOS COM 10 FUSIVEIS ALICATE JACARE</t>
  </si>
  <si>
    <t>BOM-5531</t>
  </si>
  <si>
    <t>SSD 240GB</t>
  </si>
  <si>
    <t>SSD 240</t>
  </si>
  <si>
    <t>CONJUNTO DE CHAVE DE FENDA E BROCA 50PCS</t>
  </si>
  <si>
    <t>BOM-3127</t>
  </si>
  <si>
    <t>KIT DE FERRAMENTAS 9PCS 1PCT-9PCS</t>
  </si>
  <si>
    <t>BOM-3919</t>
  </si>
  <si>
    <t>LANTERNA DE MAO COM MALETA FERRAMENTAS</t>
  </si>
  <si>
    <t>BOM-4503</t>
  </si>
  <si>
    <t>KIT DE FERRAMENTAS 266 PECAS COM MALETA</t>
  </si>
  <si>
    <t>BOM-3928</t>
  </si>
  <si>
    <t xml:space="preserve">MULTIMETRO DIGITAL </t>
  </si>
  <si>
    <t>BOM-6002</t>
  </si>
  <si>
    <t>SSD 480GB</t>
  </si>
  <si>
    <t>SSD 480</t>
  </si>
  <si>
    <t>ESMERILHADEIRA DE BATERIA 21V-100MM</t>
  </si>
  <si>
    <t>BOM-9704</t>
  </si>
  <si>
    <t>FITA ACRILICA DUPLA FACE 300CM</t>
  </si>
  <si>
    <t>BOM-1306</t>
  </si>
  <si>
    <t>MONITOR LED 20' TRONOS PRETO TRS-20WV 75HZ</t>
  </si>
  <si>
    <t>ESMERILHADEIRA ANGULAR 710W 110V</t>
  </si>
  <si>
    <t>NIVEL MANUAL COM REGUA DE 60CM E 3 BOLHAS</t>
  </si>
  <si>
    <t>BOM-6523</t>
  </si>
  <si>
    <t>04764</t>
  </si>
  <si>
    <t>NIVEL MANUAL COM REGUA DE 30 CM E 3 BOLHAS</t>
  </si>
  <si>
    <t>BOM-6520</t>
  </si>
  <si>
    <t>ON-FN638</t>
  </si>
  <si>
    <t>HD SEAGATE 500GB</t>
  </si>
  <si>
    <t>NIVEL DE MAO COM 2 BOLHAS ALUMINIO BASE MAG.</t>
  </si>
  <si>
    <t>BOM-6252</t>
  </si>
  <si>
    <t>LUZ DE TRABALHO PORTÁTIL MULTIFUNCIONAL 21V</t>
  </si>
  <si>
    <t>I3 4130</t>
  </si>
  <si>
    <t>BOM-4229</t>
  </si>
  <si>
    <t>Vecchi</t>
  </si>
  <si>
    <t>ESCOVA AÇO SEM CABO 4 FILEIRAS</t>
  </si>
  <si>
    <t>BOM-1576</t>
  </si>
  <si>
    <t>FURADEIRA DE IMPACTO 110V</t>
  </si>
  <si>
    <t>SUPORTE PARA MONITOR</t>
  </si>
  <si>
    <t>ETIQUETA MANUL</t>
  </si>
  <si>
    <t>ON-F90B</t>
  </si>
  <si>
    <t>BOM-1530</t>
  </si>
  <si>
    <t>KIT DE MANICURE E PEDICURE 19 PECAS</t>
  </si>
  <si>
    <t>BOM-3710</t>
  </si>
  <si>
    <t>I5 3550</t>
  </si>
  <si>
    <t>MONITOR LED 19 BPC-19WE02-B PRETO</t>
  </si>
  <si>
    <t>ESCORREDOR DE LOUÇA</t>
  </si>
  <si>
    <t>ON-SM009</t>
  </si>
  <si>
    <t>I5 3570</t>
  </si>
  <si>
    <t>MONITOR LED 24 WR-75 FHD 75HZ PRETO</t>
  </si>
  <si>
    <t>MICROPHONE</t>
  </si>
  <si>
    <t>ON-916</t>
  </si>
  <si>
    <t>8gb DDR4</t>
  </si>
  <si>
    <t>VGA PCI EXP. 1GB/64BITS G210</t>
  </si>
  <si>
    <t>07717</t>
  </si>
  <si>
    <t>ROÇADEIRA/APARADO DE GRAMA</t>
  </si>
  <si>
    <t>PROCESSADOR INTEL I5 4570 OEM</t>
  </si>
  <si>
    <t>I54570OE</t>
  </si>
  <si>
    <t>WAccess</t>
  </si>
  <si>
    <t>Placa Mae Conroladora</t>
  </si>
  <si>
    <t>B250</t>
  </si>
  <si>
    <t>TORNEIRA GOURMET PRETA FOSCA 50CM COZINHA MONOCONAN</t>
  </si>
  <si>
    <t xml:space="preserve"> DDR4 2400 4GB</t>
  </si>
  <si>
    <t>BOM-2378</t>
  </si>
  <si>
    <t>H610</t>
  </si>
  <si>
    <t>I7 - 8700</t>
  </si>
  <si>
    <t>CARTAO DE MEMORIA MICRO SD 64G</t>
  </si>
  <si>
    <t>TF64</t>
  </si>
  <si>
    <t>I7-8700</t>
  </si>
  <si>
    <t>i5 - 4590</t>
  </si>
  <si>
    <t>i5-4590</t>
  </si>
  <si>
    <t>IPHONE 16 PRO MAX PRETO</t>
  </si>
  <si>
    <t>I5 - 4570</t>
  </si>
  <si>
    <t>I5-4570</t>
  </si>
  <si>
    <t>GILCERMAR</t>
  </si>
  <si>
    <t>IPHONE 16 PRO MAX DESERT</t>
  </si>
  <si>
    <t>ALICATE DE CORTE 6 POLEGADA</t>
  </si>
  <si>
    <t>BOM-1602</t>
  </si>
  <si>
    <t>I5 - 4590</t>
  </si>
  <si>
    <t>Notebook Avell ION A70 ULTRA 7 155H RTX 5060 Black 180Hz 32 GB</t>
  </si>
  <si>
    <t>I5-4590</t>
  </si>
  <si>
    <t>ESCOVA MODELADORA 5 EM 1 110V</t>
  </si>
  <si>
    <t>Licitação - Mamuth</t>
  </si>
  <si>
    <t>MM-TP51</t>
  </si>
  <si>
    <t>Avell</t>
  </si>
  <si>
    <t>ALICATE CRIMPADOR E DECAPADOR</t>
  </si>
  <si>
    <t>BOM-1701</t>
  </si>
  <si>
    <t>Controle Remoto</t>
  </si>
  <si>
    <t>VENTILADOR DE MESA COM LED</t>
  </si>
  <si>
    <t>KA-2927</t>
  </si>
  <si>
    <t>MM-FSD1</t>
  </si>
  <si>
    <t>Kapbom</t>
  </si>
  <si>
    <t>CABO CFTV CAT6 20M</t>
  </si>
  <si>
    <t>LE-316</t>
  </si>
  <si>
    <t>MINI VENTILADOR PORTÁTIL RECARREGAVEL</t>
  </si>
  <si>
    <t>MM-H2</t>
  </si>
  <si>
    <t>17 promax 256gb branco</t>
  </si>
  <si>
    <t>KIT BROCAS ACO RAPIDO 5 PECAS 4 A 10MM</t>
  </si>
  <si>
    <t>BOM-5032</t>
  </si>
  <si>
    <t>CABO C/ MALHA HDTV VERSION 1.4</t>
  </si>
  <si>
    <t>LE-6612-5M</t>
  </si>
  <si>
    <t>CORTADOR DE VEGETAL E FRUTAS 16PÇS</t>
  </si>
  <si>
    <t>Smartwatch</t>
  </si>
  <si>
    <t>MM-QGJ</t>
  </si>
  <si>
    <t>RG-W88</t>
  </si>
  <si>
    <t>RADIO COMUNICADOR</t>
  </si>
  <si>
    <t>BOM-5703</t>
  </si>
  <si>
    <t>COPO TERMICO 1200ML</t>
  </si>
  <si>
    <t>MN-1001</t>
  </si>
  <si>
    <t>Placa mae Controlador</t>
  </si>
  <si>
    <t>MULTIMETRO DIGITAL</t>
  </si>
  <si>
    <t>CABO HDTV VERSION 1.4</t>
  </si>
  <si>
    <t>BOM-6009</t>
  </si>
  <si>
    <t>LE-6613-1.0M</t>
  </si>
  <si>
    <t xml:space="preserve">Mouse Pad </t>
  </si>
  <si>
    <t>KP-S09/Preto</t>
  </si>
  <si>
    <t>KIT DE NIVEL A LASER DE 12 LINHAS RECARREGAVEL COM TRIPE</t>
  </si>
  <si>
    <t>BOM-6216</t>
  </si>
  <si>
    <t>Diego representante</t>
  </si>
  <si>
    <t>CABO DE ORÇA P/ RADIO</t>
  </si>
  <si>
    <t>LE-22</t>
  </si>
  <si>
    <t xml:space="preserve">Camera de Seguranca </t>
  </si>
  <si>
    <t>KP-CA127</t>
  </si>
  <si>
    <t>SUPORTE UNIVERSAL P/ CELULAR</t>
  </si>
  <si>
    <t>LE-021</t>
  </si>
  <si>
    <t>RADIO REPRODUTOR DO SOM (B)</t>
  </si>
  <si>
    <t>LB-CA250</t>
  </si>
  <si>
    <t>LE-602</t>
  </si>
  <si>
    <t>MAQUINA DE SOLDA 110A INVERSORA 220V</t>
  </si>
  <si>
    <t>BOM-9682</t>
  </si>
  <si>
    <t>CARTAO DE MEMORIA MICRO SD 16G</t>
  </si>
  <si>
    <t>D-TF16</t>
  </si>
  <si>
    <t>KP-CA209</t>
  </si>
  <si>
    <t>CARREGADOR PORTATIL POWER BANK 10000MAH PD20W</t>
  </si>
  <si>
    <t>LAMPADA DE EMERGENCIA 30 LEDS</t>
  </si>
  <si>
    <t>MAX-0562</t>
  </si>
  <si>
    <t>BOM-4501</t>
  </si>
  <si>
    <t>Mem DDR5 16GB 6400MHZ ADATA BANCO</t>
  </si>
  <si>
    <t>07566</t>
  </si>
  <si>
    <t>D-TF64</t>
  </si>
  <si>
    <t>SWITCH 5 PORTAS 1000MBPS</t>
  </si>
  <si>
    <t>ATS-105G</t>
  </si>
  <si>
    <t>Visão VIP</t>
  </si>
  <si>
    <t>CABO HDMI 90 GRAUS</t>
  </si>
  <si>
    <t>LE-6625-1.8M</t>
  </si>
  <si>
    <t>CARTAO DE MEMORIA MICRO SD 32G</t>
  </si>
  <si>
    <t>Mem DDR5 16GB 6400MHZ ADATA PRETO</t>
  </si>
  <si>
    <t>FONE ESTÉREO PARA GAMER P2</t>
  </si>
  <si>
    <t>KA-903</t>
  </si>
  <si>
    <t>LE-0201</t>
  </si>
  <si>
    <t>Mem DDR5 16GB 6400MHZ ADATA PRETO/CINZA</t>
  </si>
  <si>
    <t>CABO DP 1.8M</t>
  </si>
  <si>
    <t>KA-DP-1.8M</t>
  </si>
  <si>
    <t>SERROTE PARA PODA COM LAMINA DE GANCHOS AFIADOS</t>
  </si>
  <si>
    <t>BOM-1080</t>
  </si>
  <si>
    <t>REPRESENTANTE</t>
  </si>
  <si>
    <t>J. BATISTA</t>
  </si>
  <si>
    <t>CABO CFTV CAT6 3M</t>
  </si>
  <si>
    <t>LE-312</t>
  </si>
  <si>
    <t>Mem DDR5 16GB 6400MHZ Crucial pro - branco</t>
  </si>
  <si>
    <t>NOTEBOOK ASUS VIVOBOOK 15, INTEL CORE
I5 13A, 8GB, 256GB</t>
  </si>
  <si>
    <t>NOTASU07</t>
  </si>
  <si>
    <t>2ELETRO</t>
  </si>
  <si>
    <t>CHAVE PHILLIPS 1/4*6"</t>
  </si>
  <si>
    <t>BOM-1144</t>
  </si>
  <si>
    <t>Mem DDR5 16GB 6400MHZ Kingston PRETO</t>
  </si>
  <si>
    <t>DDR3 8GB 1600MHZ MACROVIP DESKTOP BOX</t>
  </si>
  <si>
    <t>MONITOR 23LED VGA+HDMI VX230X 60HZ VXPRO</t>
  </si>
  <si>
    <t>PREXX</t>
  </si>
  <si>
    <t>MP COMPUTADORES</t>
  </si>
  <si>
    <t>GRAMPEADOR PROFISSIONAL</t>
  </si>
  <si>
    <t>BOM-1502</t>
  </si>
  <si>
    <t>Mem DDR5 16GB 6800MHZ Kingston  RGB PRETO</t>
  </si>
  <si>
    <t>MONITOR 19 LED VGA+HDMI VX190X 60HZ VXPRO</t>
  </si>
  <si>
    <t xml:space="preserve">PLACA MÃE DXMBH61S M2 LGA1155 DDR3 </t>
  </si>
  <si>
    <t>MINI MAQUINA DE COSTURA</t>
  </si>
  <si>
    <t>BOM-1505</t>
  </si>
  <si>
    <t>PLACA MÃE DXMBB75S M2 LGA1155 DDR3</t>
  </si>
  <si>
    <t>Mem DDR5 16GB 7200MHZ Kingston  PRATA/PRETO</t>
  </si>
  <si>
    <t>KIT SERRA COPO 6PES</t>
  </si>
  <si>
    <t>COOLER INTEL</t>
  </si>
  <si>
    <t>BOM-5201</t>
  </si>
  <si>
    <t>AHD-P20 HD 2TB</t>
  </si>
  <si>
    <t>AHD-920</t>
  </si>
  <si>
    <t>Mem DDR5 16GB 7600MHZ Kingston  RGB PRATA/PRETO</t>
  </si>
  <si>
    <t>FONTE VXPRO 230W - VX 230SE SEM CABO</t>
  </si>
  <si>
    <t>KIT TACHINHAS LATONADAS DOURADAS-100 PECAS 11 * 10 MM</t>
  </si>
  <si>
    <t>VXPRO 230</t>
  </si>
  <si>
    <t>BOM-5325</t>
  </si>
  <si>
    <t>IPHONE 17 PROMAX 256GB SILVER</t>
  </si>
  <si>
    <t>Mem DDR5 16GB 6400MHZ ADATA Lancer Blade RGBPRETO</t>
  </si>
  <si>
    <t>08560</t>
  </si>
  <si>
    <t>PORTA-PAPEL HIGIENICO DUPLO PARA CAIXA ACOPLADA</t>
  </si>
  <si>
    <t>TAB. GALAXY 128/6/760</t>
  </si>
  <si>
    <t>BOM-2305</t>
  </si>
  <si>
    <t>ESPELHO LED  COM ORGANIZADOR</t>
  </si>
  <si>
    <t>OIH-5201</t>
  </si>
  <si>
    <t>Monitor AX Pró 20'</t>
  </si>
  <si>
    <t>Haoqing</t>
  </si>
  <si>
    <t>R 15C 128/4</t>
  </si>
  <si>
    <t>TRAVA DE PORTA MAGNETICA COM FIXADOR ADESIVO</t>
  </si>
  <si>
    <t>BOM-2738</t>
  </si>
  <si>
    <t>04760</t>
  </si>
  <si>
    <t>Monitor HQ 19'</t>
  </si>
  <si>
    <t>GAB. MATX -B M255 C/FONTE 230W BOX</t>
  </si>
  <si>
    <t>DOBRADICA COM ROLAMENTO 3.5 POLEGADAS-3PCS</t>
  </si>
  <si>
    <t>BOM-2714</t>
  </si>
  <si>
    <t>Cooler p Processador CPU</t>
  </si>
  <si>
    <t>VR349</t>
  </si>
  <si>
    <t>TORNEIRA ESFERA PLASTICA 1/2" PARA JARDIM</t>
  </si>
  <si>
    <t>SSD 128GB SOLID STATE DRIVE</t>
  </si>
  <si>
    <t>BOM-2066</t>
  </si>
  <si>
    <t>AMANDA CRIATIVA</t>
  </si>
  <si>
    <t>DDR48Gb 3200</t>
  </si>
  <si>
    <t>05448</t>
  </si>
  <si>
    <t>06751</t>
  </si>
  <si>
    <t>PLACA DE VÍDEO 4GB DDR3</t>
  </si>
  <si>
    <t>FRITADEIRA ELETRICA AIR FRYER 110V</t>
  </si>
  <si>
    <t>ON-FT105-110V</t>
  </si>
  <si>
    <t>DDR4 16gb 3200</t>
  </si>
  <si>
    <t>Joice</t>
  </si>
  <si>
    <t>TESOURA 3PCS</t>
  </si>
  <si>
    <t>BOM-3301</t>
  </si>
  <si>
    <t>DDR4 8GB NOT KINGSTON</t>
  </si>
  <si>
    <t>FRITADEIRA ELETRICA AIR FRYER 220V</t>
  </si>
  <si>
    <t>ON-FT105-220V</t>
  </si>
  <si>
    <t>ABRACADEIRA DE NYLON 6MMX-300MM</t>
  </si>
  <si>
    <t>BOM-5495</t>
  </si>
  <si>
    <t>Coluna de pedestal para Monitor</t>
  </si>
  <si>
    <t>D-J01-1</t>
  </si>
  <si>
    <t>PIPOQUEIRA ELETRICA</t>
  </si>
  <si>
    <t>ON-PP604/110V</t>
  </si>
  <si>
    <t>LAMINA PARA ESTILETE KIT 18MM-10PCS</t>
  </si>
  <si>
    <t>BOM-5922</t>
  </si>
  <si>
    <t>Teclado para Computador</t>
  </si>
  <si>
    <t>KP-TE148</t>
  </si>
  <si>
    <t>COLETOR DE PÓ FURADEIRA COM NÍVEL LASER PORTÁTIL</t>
  </si>
  <si>
    <t>BOM-6214</t>
  </si>
  <si>
    <t>?</t>
  </si>
  <si>
    <t xml:space="preserve">DDR3 8GB PC </t>
  </si>
  <si>
    <t>Caixa de Som Multimidea</t>
  </si>
  <si>
    <t>POLITRIZ ANGULAR AUTOMOTIVA 110V 600W</t>
  </si>
  <si>
    <t>BOM-9575</t>
  </si>
  <si>
    <t>MONITOR AX24'</t>
  </si>
  <si>
    <t>AX24</t>
  </si>
  <si>
    <t>Tele de Proteção TRIP 180x180</t>
  </si>
  <si>
    <t>9ecort-003</t>
  </si>
  <si>
    <t>DESEMPENADEIRA ELETRICA 127V 1200W</t>
  </si>
  <si>
    <t>G-VR339</t>
  </si>
  <si>
    <t>MONITOR AX22'</t>
  </si>
  <si>
    <t>AX22</t>
  </si>
  <si>
    <t>Placa de Video Delta 8gb DDR5</t>
  </si>
  <si>
    <t>MINI SOPRADOR TURBO COM FUNCAO DE ASPIRACAO</t>
  </si>
  <si>
    <t>CIRCUITO IMPRESSO PLACA PCI-EILHADA</t>
  </si>
  <si>
    <t>KP-T105</t>
  </si>
  <si>
    <t>HD 1TB WD PURPLE</t>
  </si>
  <si>
    <t>Teclado p Computador</t>
  </si>
  <si>
    <t>HD 1TB</t>
  </si>
  <si>
    <t>MOUSE PAD SPEED GAMER EXTRA GRANDE 700X350X3MM - GOKU</t>
  </si>
  <si>
    <t>CABO DE FORÇA P/ MONITOR/GABINETE</t>
  </si>
  <si>
    <t>Caixa de Som Multimideia c 2.0 canais</t>
  </si>
  <si>
    <t>MP-7035C52</t>
  </si>
  <si>
    <t>HD 2TB</t>
  </si>
  <si>
    <t>EXBOM</t>
  </si>
  <si>
    <t>DDR4 2666 8gb</t>
  </si>
  <si>
    <t>07864</t>
  </si>
  <si>
    <t>MOUSE PAD SPEED GAMER EXTRA GRANDE 700X350X3MM - ASSASSINO</t>
  </si>
  <si>
    <t>PLACA MÃE H61 LGA1155 100/1000MBPS</t>
  </si>
  <si>
    <t>MP-7035C06</t>
  </si>
  <si>
    <t>PLACA MAE LGA1151 H510 10/11GEN M.2 SSD</t>
  </si>
  <si>
    <t>G-H61/S</t>
  </si>
  <si>
    <t>ZJ01-1</t>
  </si>
  <si>
    <t>MOUSE PAD SPEED GAMER EXTRA GRANDE 700X350X3MM - AKATSUKI</t>
  </si>
  <si>
    <t>07873</t>
  </si>
  <si>
    <t>MP-7035C37</t>
  </si>
  <si>
    <t>ZJ01-2</t>
  </si>
  <si>
    <t>PLACA MÃE H511 LGA 1200</t>
  </si>
  <si>
    <t>G-H511</t>
  </si>
  <si>
    <t xml:space="preserve">MAQUINA DE SOLDA 220V </t>
  </si>
  <si>
    <t>BOM-9572</t>
  </si>
  <si>
    <t>MOUSE PAD COM BORDA DE LED RGB 12CORES 30X80CM X4MM DRAGÃO</t>
  </si>
  <si>
    <t>MP-LED3080C01</t>
  </si>
  <si>
    <t>07874</t>
  </si>
  <si>
    <t>FECHADURA DIGITAL C/ CAMERA</t>
  </si>
  <si>
    <t>KP-CA609</t>
  </si>
  <si>
    <t>FURADEIRA DE IMPACTO 21V 100 N.M</t>
  </si>
  <si>
    <t>BOM-9975</t>
  </si>
  <si>
    <t>MOUSE PAD COM BORDA DE LED RGB 12CORES 30X80CM X4MM DRAGÃO AZUL</t>
  </si>
  <si>
    <t>MP-LED3080C51</t>
  </si>
  <si>
    <t>COMPUTADOR ALL IN ONE I5-7200U/8GB DDR4/SSD 512GB</t>
  </si>
  <si>
    <t>CORTADOR DE PISO AZULEJO PORCELANATO 120CM</t>
  </si>
  <si>
    <t>AI08</t>
  </si>
  <si>
    <t>BOM-1529</t>
  </si>
  <si>
    <t>MOUSE PAD GAMER SPEED 900X400X3MM PERSONALIZADO BORDA COSTURA EXL - PRETO SEM ESTAMPA</t>
  </si>
  <si>
    <t>MP-9040A025</t>
  </si>
  <si>
    <t>LANTERNA DE CABECA COM RECARREGAVEL USB</t>
  </si>
  <si>
    <t>COMPUTADOR ALL IN ONE.</t>
  </si>
  <si>
    <t>A24I512</t>
  </si>
  <si>
    <t>MOUSE PAD SPEED GAMER EXTRA GRANDE 700X350X3MM - GUERREIRO</t>
  </si>
  <si>
    <t>MP-7035C11</t>
  </si>
  <si>
    <t>CABO CFTV CAT6 10M</t>
  </si>
  <si>
    <t>01466</t>
  </si>
  <si>
    <t>A27I512</t>
  </si>
  <si>
    <t>MULTIMIDIA AUTOMOTIVE</t>
  </si>
  <si>
    <t>VPL-1020</t>
  </si>
  <si>
    <t>IPHONE 14 PRO 128G (CPO) ROXO</t>
  </si>
  <si>
    <t>MOUSE PAD SPEED GAMER EXTRA GRANDE 700X350X3MM - BIJUUS &amp; MESTRE</t>
  </si>
  <si>
    <t>MP-7035C49</t>
  </si>
  <si>
    <t>TORQUEHAMMER</t>
  </si>
  <si>
    <t>A27I508</t>
  </si>
  <si>
    <t>06758</t>
  </si>
  <si>
    <t>MAQUINA AUTOMATICA PARA PROCESSAMENTO DE DADOS</t>
  </si>
  <si>
    <t>A24E99-05</t>
  </si>
  <si>
    <t>MINI PROCESSADOR DE ALIMENTOS</t>
  </si>
  <si>
    <t>CAMERA DE RÉ (BORBOLETA)</t>
  </si>
  <si>
    <t>ON-UD101</t>
  </si>
  <si>
    <t>VPL-3031</t>
  </si>
  <si>
    <t>Cabo USB 2.0A p/ Impressora</t>
  </si>
  <si>
    <t>KP-5001</t>
  </si>
  <si>
    <t>A24E99-07</t>
  </si>
  <si>
    <t xml:space="preserve">MIXER PORTÁTIL </t>
  </si>
  <si>
    <t>ON-UD133</t>
  </si>
  <si>
    <t>Extensor HDMI 60m</t>
  </si>
  <si>
    <t>MHD-1101</t>
  </si>
  <si>
    <t>PLACA MÃE DESK BRAZILPC 1200 BPC-H510PM</t>
  </si>
  <si>
    <t>MINI PROCESSADOR TRITURADOR MIXER ELETRICO</t>
  </si>
  <si>
    <t>OIH-2581</t>
  </si>
  <si>
    <t>SSD  WD GREEN 250G</t>
  </si>
  <si>
    <t>Extensor CGA</t>
  </si>
  <si>
    <t>MTV-704</t>
  </si>
  <si>
    <t>DDR4 16GB 3200MHZ PC</t>
  </si>
  <si>
    <t>SSD KINGSTON 240G</t>
  </si>
  <si>
    <t>KIT 8 LUMINÁRIAS SOLAR DE JARDIM</t>
  </si>
  <si>
    <t>BOM-4620</t>
  </si>
  <si>
    <t>003580</t>
  </si>
  <si>
    <t>SSD KINGSTON 480G</t>
  </si>
  <si>
    <t>MOTOSSERRA A GASOLINA 58CC 20"</t>
  </si>
  <si>
    <t>BOM-9203</t>
  </si>
  <si>
    <t>NOVA STAR VC6 PRO (BR)</t>
  </si>
  <si>
    <t>02637</t>
  </si>
  <si>
    <t>Memoria 8gb DDR3</t>
  </si>
  <si>
    <t>Janiana</t>
  </si>
  <si>
    <t>NOVA STAR</t>
  </si>
  <si>
    <t>SSD KINGSTON 960G</t>
  </si>
  <si>
    <t>BAT UNIP 12v 9 OAH</t>
  </si>
  <si>
    <t>SSD KINGSTON NV3 500G</t>
  </si>
  <si>
    <t>SZ Servicos Comercio</t>
  </si>
  <si>
    <t>BOLSA DE FERRAMENTAS 16"</t>
  </si>
  <si>
    <t>BOM-7710</t>
  </si>
  <si>
    <t>PLUG IN SENDING CARD M09100077</t>
  </si>
  <si>
    <t>02638</t>
  </si>
  <si>
    <t>BAT UNIPOWER 12V 7,0E (UP1270E) R</t>
  </si>
  <si>
    <t>SSD KINGSTON NV3 1TB</t>
  </si>
  <si>
    <t>KIT JOGO DE CHAVES CATRACA SOQUETE 124PÇS</t>
  </si>
  <si>
    <t>REGISTRADOR ELETRÔNICO DE PONTO - CONTROL ID</t>
  </si>
  <si>
    <t>BAT UNIP 12V 9,0AH UP1290</t>
  </si>
  <si>
    <t>REP/671/BIO</t>
  </si>
  <si>
    <t>PLUG IN SENDING CARD M04020051</t>
  </si>
  <si>
    <t>02639</t>
  </si>
  <si>
    <t>CONTROL ID MG</t>
  </si>
  <si>
    <t>LANTERNA TATICA</t>
  </si>
  <si>
    <t>BOM-4327</t>
  </si>
  <si>
    <t>BAT UNIPOWER 12V 12AH</t>
  </si>
  <si>
    <t>CONTROLE AF 433</t>
  </si>
  <si>
    <t>LE-7001</t>
  </si>
  <si>
    <t>PLUG IN SENDING CARD M09100083</t>
  </si>
  <si>
    <t>02640</t>
  </si>
  <si>
    <t>FONTE UNIVERSAL PARA NOTEBOOK</t>
  </si>
  <si>
    <t>FC-11</t>
  </si>
  <si>
    <t>F&amp;L</t>
  </si>
  <si>
    <t>09//07/2026</t>
  </si>
  <si>
    <t>SSD 480 GB FTX 550/470mb/s 2.5</t>
  </si>
  <si>
    <t>ESTAB ES-500VA BM 115V BEM LIGADO CLK</t>
  </si>
  <si>
    <t>PLUG IN SENDING CARD M09090023</t>
  </si>
  <si>
    <t xml:space="preserve">ALICATE AMPERIMETRO DIGITAL </t>
  </si>
  <si>
    <t>02641</t>
  </si>
  <si>
    <t>BOM-6003</t>
  </si>
  <si>
    <t xml:space="preserve">SSD 480Gb Delta </t>
  </si>
  <si>
    <t>KIT RETIFICA ELETRICA 110V 191PÇS</t>
  </si>
  <si>
    <t>SSD 480gb Macrovip MV</t>
  </si>
  <si>
    <t>BOM-9605</t>
  </si>
  <si>
    <t>DDR4 16GB PC 3200MHZ KINGSTON</t>
  </si>
  <si>
    <t xml:space="preserve">SERRA DE CIRCULAR COM GUIA A LASER DE AJUSTE </t>
  </si>
  <si>
    <t>Chave fenda Eletrica 47 pcs</t>
  </si>
  <si>
    <t>MERCADO LIVRE</t>
  </si>
  <si>
    <t>SOQUETE 9PCS CANHAO MAGNETICO 5MM AO 13MM</t>
  </si>
  <si>
    <t>BOM-5509</t>
  </si>
  <si>
    <t>SSD M.2 512GB nvme SATA</t>
  </si>
  <si>
    <t>KP-HD816</t>
  </si>
  <si>
    <t>PEDIDO JOAO BATISTA</t>
  </si>
  <si>
    <t>SSD 120GB CRUCIAL</t>
  </si>
  <si>
    <t>KIT 4PCS GARRA JACARE 30A</t>
  </si>
  <si>
    <t>BOM-5582</t>
  </si>
  <si>
    <t>KIT DE PARAFUSADEIRA 21V COM TELA LCD</t>
  </si>
  <si>
    <t>FECHO DE TRINCO EM ACO INOXIDAVEL 4'</t>
  </si>
  <si>
    <t>BOM-5914</t>
  </si>
  <si>
    <t>VGA PCI EXP. 1GB/64BITS G210 WINNFOX DDR3</t>
  </si>
  <si>
    <t>SERRA CIRCULAR 110OW 110V</t>
  </si>
  <si>
    <t>FECHO DE TRINCO EM ACO INOXIDAVEL 5'</t>
  </si>
  <si>
    <t xml:space="preserve">CAIXA DE SOM PORTATIL BLUETOOTH/USB </t>
  </si>
  <si>
    <t>BOM-5915</t>
  </si>
  <si>
    <t>D-XK102</t>
  </si>
  <si>
    <t>FECHO DE TRINCO EM ACO INOXIDAVEL 2' 2PCS</t>
  </si>
  <si>
    <t>Monitro AXPro 24'</t>
  </si>
  <si>
    <t>CARTÃO DE MEMÓRIA 8GB</t>
  </si>
  <si>
    <t>BOM-5912</t>
  </si>
  <si>
    <t>Monitro AXPro 20'</t>
  </si>
  <si>
    <t>CARTÃO DE MEMÓRIA 16GB</t>
  </si>
  <si>
    <t>EXTENSOR ELASTICO GANCHO 2M</t>
  </si>
  <si>
    <t>BOM-7505</t>
  </si>
  <si>
    <t>Monitro HQ 19'</t>
  </si>
  <si>
    <t>DDR3 8GB 1600 NOTE</t>
  </si>
  <si>
    <t>CARTÃO DE MEMÓRIA 32GB</t>
  </si>
  <si>
    <t>KIT 2PCS CATRACA CINTA DE AMARRACAO 2.5CM*4.5M 700KGS</t>
  </si>
  <si>
    <t>BOM-7431</t>
  </si>
  <si>
    <t>Plca Mae</t>
  </si>
  <si>
    <t>PENDRIVE BIGBLACK 4GB</t>
  </si>
  <si>
    <t>TRINCO FERROLHO CHATO</t>
  </si>
  <si>
    <t>DDR4 8GB 2666 NOTE</t>
  </si>
  <si>
    <t>BOM-2705</t>
  </si>
  <si>
    <t>PENDRIVE BIGBLACK 8GB</t>
  </si>
  <si>
    <t>KIT 4 RODIZIO 2 GIRATORIOS 2 FIXAS GEL RODINHA</t>
  </si>
  <si>
    <t>SSD m.2 NVME 512gb Delta</t>
  </si>
  <si>
    <t>BOM-2765</t>
  </si>
  <si>
    <t>RD Gamer</t>
  </si>
  <si>
    <t>BAT UNIPOWER 12V 12AH (UP12120) R</t>
  </si>
  <si>
    <t>A21 12V 12AH</t>
  </si>
  <si>
    <t>UNIPOWER</t>
  </si>
  <si>
    <t>SUPORTE DE POLIMENTO COM ROSCA M14 115</t>
  </si>
  <si>
    <t>PENDRIVE MINI 4GB PREMIUM</t>
  </si>
  <si>
    <t>BOM-5123</t>
  </si>
  <si>
    <t>Monitor 20</t>
  </si>
  <si>
    <t>Haoking</t>
  </si>
  <si>
    <t>DDR4 8GB.</t>
  </si>
  <si>
    <t>PENDRIVE MINI 8GB PREMIUM</t>
  </si>
  <si>
    <t>Monitor 24</t>
  </si>
  <si>
    <t>MARTELETE DEMOLIDOR 220V 2000W</t>
  </si>
  <si>
    <t>PENDRIVE MINI 16GB PREMIUM</t>
  </si>
  <si>
    <t>ssd M.2 512GB nvme SATA</t>
  </si>
  <si>
    <t>BOM-9636</t>
  </si>
  <si>
    <t>BAT UNIP 12V 5,0AH UP1250 O</t>
  </si>
  <si>
    <t>HD 8TB</t>
  </si>
  <si>
    <t>A21 12V 5AH</t>
  </si>
  <si>
    <t>AHD-P80</t>
  </si>
  <si>
    <t>PENDRIVE MINI 32GB PREMIUM</t>
  </si>
  <si>
    <t>KIT MARTELETE 21V-10BATERIAS</t>
  </si>
  <si>
    <t>BOM-9716</t>
  </si>
  <si>
    <t>Corrente de Motossera</t>
  </si>
  <si>
    <t>07637</t>
  </si>
  <si>
    <t>TESOURA DE COZINHA MULTIFU-NACIONAL C/ CAPA MAGNETICA</t>
  </si>
  <si>
    <t>BOM-1058</t>
  </si>
  <si>
    <t>NOTEBOOK</t>
  </si>
  <si>
    <t>ANT-1582</t>
  </si>
  <si>
    <t>J.BATISTA</t>
  </si>
  <si>
    <t>TESOURA PARA CORTE DE CABELO 6'</t>
  </si>
  <si>
    <t>BOM-1065</t>
  </si>
  <si>
    <t>NOTEBOOK ASUS VIVOBOOK X1404VA</t>
  </si>
  <si>
    <t>JOGO DE SOQUETES 1/2POL. CATRACA REVERSILVEL 22PÇS</t>
  </si>
  <si>
    <t>BOM-5620</t>
  </si>
  <si>
    <t>BOM-3918</t>
  </si>
  <si>
    <t xml:space="preserve">FITA ADESIVA PARA DEMARCACAO E SINALIZACAO </t>
  </si>
  <si>
    <t>BOM-1304</t>
  </si>
  <si>
    <t>NOTEBOOK HP 250 G10</t>
  </si>
  <si>
    <t>17 PRO MAX 512 JP/LARANJA</t>
  </si>
  <si>
    <t>FITA DE SINALIZAÇAO EM PVC</t>
  </si>
  <si>
    <t>BOM-1323</t>
  </si>
  <si>
    <t>MARTELO UNHA 500G</t>
  </si>
  <si>
    <t>BOM-1002</t>
  </si>
  <si>
    <t>CONTROLE REMOTO SANSUNG LCD COM SMART/NETFLIX</t>
  </si>
  <si>
    <t>LE-7028</t>
  </si>
  <si>
    <t>Ddr4 16g3200</t>
  </si>
  <si>
    <t>KIT FITA ISOLANTE 1.7*500CM*3PCS</t>
  </si>
  <si>
    <t>BOM-1303</t>
  </si>
  <si>
    <t>ALICATE DE CORTE ISOLACAO 8"</t>
  </si>
  <si>
    <t>BOM-1644</t>
  </si>
  <si>
    <t>SERROTE CABO 22'</t>
  </si>
  <si>
    <t>CONTROLE REMOTO LG SMART LED TV COM NETFLIX/AMAZON</t>
  </si>
  <si>
    <t>BOM-1532</t>
  </si>
  <si>
    <t>LE-7045</t>
  </si>
  <si>
    <t>X7 5d 12 512 s</t>
  </si>
  <si>
    <t>MACACO HIDRAULICO TIPO JACARE 2T</t>
  </si>
  <si>
    <t>CONTROLE REMOTO LG LCD</t>
  </si>
  <si>
    <t>BOM-1541</t>
  </si>
  <si>
    <t>LE-7055</t>
  </si>
  <si>
    <t>MTA-3005</t>
  </si>
  <si>
    <t>FURADEIRA DE IMPACTO 600W 10MM 110V</t>
  </si>
  <si>
    <t>ALICATE DE CORTE 6'</t>
  </si>
  <si>
    <t>BOM-9669</t>
  </si>
  <si>
    <t>BONVINK</t>
  </si>
  <si>
    <t>FURADEIRA DE IMPACTO PROFISSIONAL 13MM 750W 127V</t>
  </si>
  <si>
    <t>BOM-9671</t>
  </si>
  <si>
    <t>CONTROLE REMOTO RECEPTOR TIGRE 2</t>
  </si>
  <si>
    <t>LE-7115</t>
  </si>
  <si>
    <t>BOM-9573</t>
  </si>
  <si>
    <t>CONTROLE PHILCO 4K/NETFLIX/SMT/YOUTUBE/GLO-PLY/PRIME VIDEO</t>
  </si>
  <si>
    <t>LE-7250</t>
  </si>
  <si>
    <t>FONE DE OUVIDO 50MM</t>
  </si>
  <si>
    <t>F5116</t>
  </si>
  <si>
    <t>BOM-9647</t>
  </si>
  <si>
    <t>SOPRADOR DE FOLHAS BRUSHILESS 21V</t>
  </si>
  <si>
    <t>CONTROLE TCL NETFLIX/VIDEO/GLOBOPLAY/DISNEY+/YOUTUBE/CHANN</t>
  </si>
  <si>
    <t>LE-7354</t>
  </si>
  <si>
    <t>RADIO REPRODUTOR DE SOM</t>
  </si>
  <si>
    <t>LE-662</t>
  </si>
  <si>
    <t>CONTROLE REMOTO TCL COM NETFLIX/GLOBOPLAY/SMART</t>
  </si>
  <si>
    <t>LE-7410-1</t>
  </si>
  <si>
    <t>Adata</t>
  </si>
  <si>
    <t>ThaigoMateus</t>
  </si>
  <si>
    <t>CABO VGA=VGA 1.8M</t>
  </si>
  <si>
    <t>LE-12</t>
  </si>
  <si>
    <t>SUPORTE TIPO CANTONEIRA GAVALNIZADA 13*13M</t>
  </si>
  <si>
    <t>AHD-P20</t>
  </si>
  <si>
    <t>CONTROLE REMOTO TV BOX</t>
  </si>
  <si>
    <t>BOM-5340</t>
  </si>
  <si>
    <t>LE-7490</t>
  </si>
  <si>
    <t>AHD-P40</t>
  </si>
  <si>
    <t>CONTROLE SAMSUNG 4K LED C/NETFLIX/PRIME VIDEO/WWW/SMART/RO</t>
  </si>
  <si>
    <t>LE-7680</t>
  </si>
  <si>
    <t xml:space="preserve">JOGO DE PONTAS MONTADOS 5PCS </t>
  </si>
  <si>
    <t>BOM-5659</t>
  </si>
  <si>
    <t>FONE DE OUVIDO.</t>
  </si>
  <si>
    <t>LE-2406</t>
  </si>
  <si>
    <t>AI16</t>
  </si>
  <si>
    <t>CONTROLE SAMSUNG SMART 4K/NETFLIX/PRIME VIDEOTV/GLOBOPLAY</t>
  </si>
  <si>
    <t>LE-7699</t>
  </si>
  <si>
    <t>LE-2447</t>
  </si>
  <si>
    <t>BICO DE ESGUICHO DE ALTA PRESSAO PARA MANGUEIRA DE LAVAGEM</t>
  </si>
  <si>
    <t>BOM-7615</t>
  </si>
  <si>
    <t>CONTROLE REMOTO BTV-express</t>
  </si>
  <si>
    <t>LE-7747</t>
  </si>
  <si>
    <t>CABO PARA IMPRESSORA 1.8M</t>
  </si>
  <si>
    <t>LE-902</t>
  </si>
  <si>
    <t>HUB USB-C 3.0 COM 4 PORTAS</t>
  </si>
  <si>
    <t>LE-0168</t>
  </si>
  <si>
    <t>IT-BLUE</t>
  </si>
  <si>
    <t>REGISTRO VALVULA DE GAS ESFERICA RETA ROSCA 1/2 MACHO * 3/8</t>
  </si>
  <si>
    <t>BOM-2253</t>
  </si>
  <si>
    <t>HD 500GB WD PURPLE</t>
  </si>
  <si>
    <t>LE-0263</t>
  </si>
  <si>
    <t>HD 500GB</t>
  </si>
  <si>
    <t>AK-1023</t>
  </si>
  <si>
    <t>ALICATE BOMBA DAGUA 12"</t>
  </si>
  <si>
    <t>BOM-1621</t>
  </si>
  <si>
    <t>LE-0268</t>
  </si>
  <si>
    <t>HD 1TB ED PURPLE</t>
  </si>
  <si>
    <t>SRQ-008</t>
  </si>
  <si>
    <t>SUPORTE UNIVERSAL PARA CELULAR</t>
  </si>
  <si>
    <t>LE-020</t>
  </si>
  <si>
    <t>CHAVE EXTRATOR DE CORRENTE</t>
  </si>
  <si>
    <t>BOM-1538</t>
  </si>
  <si>
    <t>HD 8TB ED PURPLE</t>
  </si>
  <si>
    <t>MAZ-119A PIPOQUEIRA</t>
  </si>
  <si>
    <t>LE-023</t>
  </si>
  <si>
    <t>BICO GRAXEIRO APLICADOR DE GRAXA PARA PISTOLA LUBRIFICACAO</t>
  </si>
  <si>
    <t>BOM-1663</t>
  </si>
  <si>
    <t>LE-121</t>
  </si>
  <si>
    <t>MAZ-119B PIPOQUEIRA</t>
  </si>
  <si>
    <t>HD 6TB ED PURPLE</t>
  </si>
  <si>
    <t>HD 6TB</t>
  </si>
  <si>
    <t>MSE-2900B</t>
  </si>
  <si>
    <t>LE-106</t>
  </si>
  <si>
    <t>HD 16TB ED PURPLE</t>
  </si>
  <si>
    <t>HD 16TB</t>
  </si>
  <si>
    <t>CABO C/ MALHA HDTV VERSION 1.4 20M</t>
  </si>
  <si>
    <t>LE-6612</t>
  </si>
  <si>
    <t>SRQ-020</t>
  </si>
  <si>
    <t>HD 18TB ED PURPLE</t>
  </si>
  <si>
    <t>HD 18TB</t>
  </si>
  <si>
    <t>SSD 256GB KEEPDATA</t>
  </si>
  <si>
    <t>I5 - 4670</t>
  </si>
  <si>
    <t>I5-4670</t>
  </si>
  <si>
    <t>SSD256GB MARKVISION</t>
  </si>
  <si>
    <t>MT-1026</t>
  </si>
  <si>
    <t>I5 - 4690</t>
  </si>
  <si>
    <t>I5-4690</t>
  </si>
  <si>
    <t>MAT-A03</t>
  </si>
  <si>
    <t>CARTÃO DE MEMÓRIA 64GB</t>
  </si>
  <si>
    <t>FURADEIRA E MARTELETE COM IMPACTO 800W 220V</t>
  </si>
  <si>
    <t>BOM-9558</t>
  </si>
  <si>
    <t>SP</t>
  </si>
  <si>
    <t>MXG-1002B</t>
  </si>
  <si>
    <t>DNB-5</t>
  </si>
  <si>
    <t xml:space="preserve">TORNEIRA CROMADA DE PAREDE CROMADA </t>
  </si>
  <si>
    <t>BOM-2012</t>
  </si>
  <si>
    <t>MXG-2002B</t>
  </si>
  <si>
    <t>05500</t>
  </si>
  <si>
    <t>PLACA DE VÍDEO GTX750TI 4GB DDR5</t>
  </si>
  <si>
    <t>DELTA-GTX750TI</t>
  </si>
  <si>
    <t>TORNEIRA DE TANQUE CROMADA COM BICO DE PLASTICO</t>
  </si>
  <si>
    <t>BOM-5002</t>
  </si>
  <si>
    <t>BOM-2062</t>
  </si>
  <si>
    <t>003597</t>
  </si>
  <si>
    <t>NOVA STAR ALL IN ONE CONTROLLER VC2(PT)</t>
  </si>
  <si>
    <t>BOM-5658</t>
  </si>
  <si>
    <t>02621</t>
  </si>
  <si>
    <t>COOLER 115X DX C1 DUEX</t>
  </si>
  <si>
    <t>BOM-9501</t>
  </si>
  <si>
    <t>I5 7600 OEM</t>
  </si>
  <si>
    <t>576KBK</t>
  </si>
  <si>
    <t>NOVA STAR VX1000 PRO</t>
  </si>
  <si>
    <t>02622</t>
  </si>
  <si>
    <t>BOM-7510</t>
  </si>
  <si>
    <t>CAMERAS WIFI 2MP</t>
  </si>
  <si>
    <t>SC-B24</t>
  </si>
  <si>
    <t>PLACA MÃE DXMBH110S M2 LGA1151 DDR4 DUEX</t>
  </si>
  <si>
    <t>NOVA STAR H2</t>
  </si>
  <si>
    <t>02624</t>
  </si>
  <si>
    <t>BOM-9563</t>
  </si>
  <si>
    <t>ESGUICHO PINTURA ELETRICA 110V</t>
  </si>
  <si>
    <t>LWJ-ZD119</t>
  </si>
  <si>
    <t>LUATEK</t>
  </si>
  <si>
    <t>PLACA MÃE DUEX INTEL DDR H110ZG M2</t>
  </si>
  <si>
    <t>NOVA STAR MCTRL300</t>
  </si>
  <si>
    <t>02625</t>
  </si>
  <si>
    <t>NOBREAK SMS PRO 1800VA/1260W</t>
  </si>
  <si>
    <t>TERRA ROXA</t>
  </si>
  <si>
    <t>BOM-7613</t>
  </si>
  <si>
    <t>JOGO DE TALHERES INOX 20PCS</t>
  </si>
  <si>
    <t>KA-5512</t>
  </si>
  <si>
    <t>NOVA STAR VX600 PRO</t>
  </si>
  <si>
    <t>02626</t>
  </si>
  <si>
    <t>003598</t>
  </si>
  <si>
    <t>I7 14700 - 33MB</t>
  </si>
  <si>
    <t>MAZER</t>
  </si>
  <si>
    <t>NOVA STAR CVT10-M</t>
  </si>
  <si>
    <t>02627</t>
  </si>
  <si>
    <t>DDR4 16GB 3200 kINGTONS</t>
  </si>
  <si>
    <t>TRICICLO ELETRICO</t>
  </si>
  <si>
    <t>MPE-P6503A</t>
  </si>
  <si>
    <t>MEM8GGBDDR3</t>
  </si>
  <si>
    <t>NOVA STAR VC2000 PRO</t>
  </si>
  <si>
    <t>DISCO LIXA LIXADEIRA 150MM</t>
  </si>
  <si>
    <t>02628</t>
  </si>
  <si>
    <t>BOM-5603</t>
  </si>
  <si>
    <t>MPE-P6504A</t>
  </si>
  <si>
    <t>NOVA STAR T40</t>
  </si>
  <si>
    <t>14/07/2026 - 22/07/2026</t>
  </si>
  <si>
    <t>MPE-P6505</t>
  </si>
  <si>
    <t>02629</t>
  </si>
  <si>
    <t>003599</t>
  </si>
  <si>
    <t>DDR4 8GB 3200 HYPERX</t>
  </si>
  <si>
    <t>NOVA STAR VX400 PRO</t>
  </si>
  <si>
    <t>MPE-P6506</t>
  </si>
  <si>
    <t>BOBINA TÉRMICA 80*80MM*80M</t>
  </si>
  <si>
    <t>MPT-P8080</t>
  </si>
  <si>
    <t>02632</t>
  </si>
  <si>
    <t>NF 3366096</t>
  </si>
  <si>
    <t>PROCESSADOR AMD RYZEN 5 5500 3.6 GHZ</t>
  </si>
  <si>
    <t>MPE-P6507</t>
  </si>
  <si>
    <t>PENDRIVE TWIST PRETO 8GB</t>
  </si>
  <si>
    <t>PD587</t>
  </si>
  <si>
    <t>NOVA STAR TB60</t>
  </si>
  <si>
    <t>02633</t>
  </si>
  <si>
    <t>MPE-P6508A</t>
  </si>
  <si>
    <t>TESOURA AMERICANA PARACORTE DECHAPA 10 POLEGADA</t>
  </si>
  <si>
    <t>NF 3375939</t>
  </si>
  <si>
    <t>BOM-1070</t>
  </si>
  <si>
    <t>MPE-P8007</t>
  </si>
  <si>
    <t>MACACO HIDRAULICO 2T 30CM</t>
  </si>
  <si>
    <t>AMH-2030</t>
  </si>
  <si>
    <t>NOVA STAR TB20 PLUS</t>
  </si>
  <si>
    <t>02634</t>
  </si>
  <si>
    <t>KIT CINTA PARA CARGA</t>
  </si>
  <si>
    <t>ACI-425</t>
  </si>
  <si>
    <t>MPE-P8010A</t>
  </si>
  <si>
    <t xml:space="preserve">ALICATE DECAPADOR </t>
  </si>
  <si>
    <t>BOM-1715</t>
  </si>
  <si>
    <t>NOVA STAR VC4</t>
  </si>
  <si>
    <t>02635</t>
  </si>
  <si>
    <t>KIT JOGO DE CHAVES CATRACA SOQUETE 46PCS</t>
  </si>
  <si>
    <t>BOM-3905</t>
  </si>
  <si>
    <t>BOM-5625</t>
  </si>
  <si>
    <t>CHAVE MAGICA AJUSTAVEL PARA PORCAS PARAFUSOS 8 POLEGADAS</t>
  </si>
  <si>
    <t>NOVA STAR VC4S</t>
  </si>
  <si>
    <t>02636</t>
  </si>
  <si>
    <t>BOM-1203</t>
  </si>
  <si>
    <t>KIT 5 SOQUETES CANHAO MAGNETICO 3/8*65MM</t>
  </si>
  <si>
    <t>BOM-5012</t>
  </si>
  <si>
    <t>BOM-5628</t>
  </si>
  <si>
    <t>CHAVE ESTRELA 6*7MM</t>
  </si>
  <si>
    <t>MONITOR LED 21.5 BRAZILPC 22WR-75 FHD 75HZ PRETO</t>
  </si>
  <si>
    <t>FONTE DE ALIMENTAÇÃO BRONZE 80PLUS 650W</t>
  </si>
  <si>
    <t>BOM-1230</t>
  </si>
  <si>
    <t>F750</t>
  </si>
  <si>
    <t>MINI MOTOSSERRA PORTATIL A BATERIA 6 POLEGATAS</t>
  </si>
  <si>
    <t>BOM-9102</t>
  </si>
  <si>
    <t>OFFICE 2019 PRO PLUS CARTÃO</t>
  </si>
  <si>
    <t>CHAVE ESTRELA 8*9MM</t>
  </si>
  <si>
    <t>BOM-1231</t>
  </si>
  <si>
    <t>LANTERNA DE CABECA COM COB</t>
  </si>
  <si>
    <t>BOM-4002</t>
  </si>
  <si>
    <t>CHAVE ESTRELA 10*11MM</t>
  </si>
  <si>
    <t>BOM-1232</t>
  </si>
  <si>
    <t>NOBREAK.</t>
  </si>
  <si>
    <t>DDR4 8GB 3200MHZ PC</t>
  </si>
  <si>
    <t>NIVELADOR A LASER PROFISSIONAL TRENA</t>
  </si>
  <si>
    <t>BOM-6201</t>
  </si>
  <si>
    <t>CR ENERGIA</t>
  </si>
  <si>
    <t>CHAVE CATRACA 1/2 POLEGADA</t>
  </si>
  <si>
    <t>BOM-1297</t>
  </si>
  <si>
    <t>05522</t>
  </si>
  <si>
    <t xml:space="preserve">NIVEL A LASER COM 2 LINHAS </t>
  </si>
  <si>
    <t>BOM-6210</t>
  </si>
  <si>
    <t>KIT CHAVE DE FENDA PONTA DUPLA MAGNETICA ISOLADA 15EM1</t>
  </si>
  <si>
    <t>BOM-3117</t>
  </si>
  <si>
    <t>TRENA EMBORRACHADA PONTA MAGNETICA 7.5M</t>
  </si>
  <si>
    <t>BOM-6505</t>
  </si>
  <si>
    <t>CABO</t>
  </si>
  <si>
    <t>FONTE LENOVO NOTEBOOK DE-08</t>
  </si>
  <si>
    <t>KAP-UH-037</t>
  </si>
  <si>
    <t>DE-08</t>
  </si>
  <si>
    <t>MOTOSERRA A GASOLINA</t>
  </si>
  <si>
    <t>JULIANA SAM</t>
  </si>
  <si>
    <t>LANTERNA DE CABEÇA COM 3 LEDS</t>
  </si>
  <si>
    <t>BOM-4001</t>
  </si>
  <si>
    <t>KA-1439</t>
  </si>
  <si>
    <t>FONTE LENOVO NOTEBOOK AC-05</t>
  </si>
  <si>
    <t>MOTOSERRA A GASOLINA 40CC 16POLEGADAS</t>
  </si>
  <si>
    <t>AL-05</t>
  </si>
  <si>
    <t>BOM-9209</t>
  </si>
  <si>
    <t>JOGO CHAVE CANHAO CURTA 6MM</t>
  </si>
  <si>
    <t>KA-1109</t>
  </si>
  <si>
    <t>ESMERILHADEIRA ANGULAR 850W 220V</t>
  </si>
  <si>
    <t>BOM-1101</t>
  </si>
  <si>
    <t>BOM-9552</t>
  </si>
  <si>
    <t>FONTE LENOVO NOTEBOOK LE-13</t>
  </si>
  <si>
    <t>LE-13</t>
  </si>
  <si>
    <t>CHAVE AJUSTAVEL 12 POLEGADAS</t>
  </si>
  <si>
    <t>SERRA MARMORE 1200W 220V</t>
  </si>
  <si>
    <t>BOM-1283</t>
  </si>
  <si>
    <t>FONTE LENOVO NOTEBOOK LE-12</t>
  </si>
  <si>
    <t>PROTETOR DE QUINA TRANSPARENTE EM L PARA MOVEIS</t>
  </si>
  <si>
    <t>BOM-1370</t>
  </si>
  <si>
    <t>CABO ACHTADO/MALHA HDTV VERSION 1.4</t>
  </si>
  <si>
    <t>LE-6614-1.8M</t>
  </si>
  <si>
    <t>05535</t>
  </si>
  <si>
    <t>ADESIVO DE VEDACAO PARA RALO 9.2X9.2CM A PROVA DE AGUA E ODORES</t>
  </si>
  <si>
    <t>BOM-1372</t>
  </si>
  <si>
    <t>PARAFUSADEIRA BATERIA 12V</t>
  </si>
  <si>
    <t>LIMPA CONTATOS SPRAY W-MAX 300ML/200G</t>
  </si>
  <si>
    <t>BOM-9960</t>
  </si>
  <si>
    <t>WURTH</t>
  </si>
  <si>
    <t xml:space="preserve">ASPIRADOR PORTATIL </t>
  </si>
  <si>
    <t>BOM-7003</t>
  </si>
  <si>
    <t>JOGO DE BROCAS</t>
  </si>
  <si>
    <t>BOM-5001</t>
  </si>
  <si>
    <t>FITA AMARELA 200M</t>
  </si>
  <si>
    <t>ORGANIZADOR DE FIOS CABOS ESPIRAL</t>
  </si>
  <si>
    <t>BOM-1338</t>
  </si>
  <si>
    <t>BOM-5539</t>
  </si>
  <si>
    <t>CABO VGA+VGA 1.8M</t>
  </si>
  <si>
    <t>TRENA FITA METRICA 2OM FIBRADE VIDROFLEXIVEL PROFISSIONAL</t>
  </si>
  <si>
    <t>BOM-6510</t>
  </si>
  <si>
    <t>CABO CGTV CAT6 20M</t>
  </si>
  <si>
    <t>KIT CHAVES ISOLADAS PARA ELETRICISTA</t>
  </si>
  <si>
    <t>BOM-3110</t>
  </si>
  <si>
    <t>TRENA FITA METRICA 5OM FIBRADE VIDRO FLEXIVEL PROFISSIONAL</t>
  </si>
  <si>
    <t>BOM-6512</t>
  </si>
  <si>
    <t>ABRACADEIRA NYLON ENFORCA GATO 7.6*300M</t>
  </si>
  <si>
    <t>BOM-5508</t>
  </si>
  <si>
    <t>JOGO DE CHAVE FIXA 8A 19MM - 6PCS</t>
  </si>
  <si>
    <t>BOM-3202</t>
  </si>
  <si>
    <t>TRENA FITA METRICA 30M FIBRA VIDRO FLEXIVEL</t>
  </si>
  <si>
    <t>BOM-6511</t>
  </si>
  <si>
    <t>ALICATE AMPERIMETRO DIGITAL</t>
  </si>
  <si>
    <t>PARAFUSADEIRA 12V COM 1 BATERIA</t>
  </si>
  <si>
    <t>BOM-6010</t>
  </si>
  <si>
    <t>BOM-9914</t>
  </si>
  <si>
    <t>SERRA MARMORE</t>
  </si>
  <si>
    <t>MICRO SCANER PARA CABO DE REDE E TELEFONIA</t>
  </si>
  <si>
    <t>BOM-6404</t>
  </si>
  <si>
    <t>VENTOSA SIMPLES</t>
  </si>
  <si>
    <t>BOM-1503</t>
  </si>
  <si>
    <t>MOTOSERRA A GASOLINA 58CC 20'</t>
  </si>
  <si>
    <t>COLHER DE PEDREIRO COM CABO ERGONOMICO 9 POLEGADAS</t>
  </si>
  <si>
    <t>BOM-1564</t>
  </si>
  <si>
    <t>PISTOLA DE COLA QUENTE 40W</t>
  </si>
  <si>
    <t>BOM-9511</t>
  </si>
  <si>
    <t>ALICATE BOMBA DAGUA 10 POLEGADA</t>
  </si>
  <si>
    <t>BOM-1610</t>
  </si>
  <si>
    <t xml:space="preserve">JOGO DE 3 BROCA ESCALONADA </t>
  </si>
  <si>
    <t>BOM-5020</t>
  </si>
  <si>
    <t>KIT DE JOGO DE SOQUETES COM ENCAIXE DE 1/2 DE POLEGADA 12 PEÇAS</t>
  </si>
  <si>
    <t>JOGO DE SOQUETES 1/2POL. REVERSIVEL 37PCS</t>
  </si>
  <si>
    <t>KIT DE CHAVES SOQUETES 40PCS 1/4 E 3/8</t>
  </si>
  <si>
    <t>KIT DE MANICURE COM CORTADOR DE UNHAS 12 PEÇAS</t>
  </si>
  <si>
    <t>TRENA EMBORRACHADA PONTA MAGNETICA 10M</t>
  </si>
  <si>
    <t>BOM-3704</t>
  </si>
  <si>
    <t>CABO CFTV CAT6 30M</t>
  </si>
  <si>
    <t>BOM-6506</t>
  </si>
  <si>
    <t>LE-317</t>
  </si>
  <si>
    <t>JOGO DE FERRAMENTAS 200PCS</t>
  </si>
  <si>
    <t>BOM-3915</t>
  </si>
  <si>
    <t xml:space="preserve">NOBREAK 1B9T - KSB 1500 BS - 1500VA </t>
  </si>
  <si>
    <t xml:space="preserve">SDD 240GB </t>
  </si>
  <si>
    <t>NJS</t>
  </si>
  <si>
    <t xml:space="preserve">NOBREAK 1B6T - KSB 700 BS - 700VA </t>
  </si>
  <si>
    <t>CHAVE DE APERTO MANDRIL 1/2</t>
  </si>
  <si>
    <t>LE-6612-3M</t>
  </si>
  <si>
    <t>BOM-5014</t>
  </si>
  <si>
    <t>NV3 1TB</t>
  </si>
  <si>
    <t>COMPUTADOR ALL IN ONE</t>
  </si>
  <si>
    <t>CABO HDMI 180 GRAUS</t>
  </si>
  <si>
    <t>D-AI14</t>
  </si>
  <si>
    <t>PARAFUSO GANCHO PITAO (N° 8) PACOTE COM 8 PEÇAS</t>
  </si>
  <si>
    <t>LE-6625-5M</t>
  </si>
  <si>
    <t>BOM-5321</t>
  </si>
  <si>
    <t>EXTENSOR CONVERSOR FIBRA OPTICA RJ45 MBPS 20KM</t>
  </si>
  <si>
    <t>PARAFUSOS GANCHO TIPO JCOMBUCHA DE NYLON 10*50MM-8PCS</t>
  </si>
  <si>
    <t>BOM-5342</t>
  </si>
  <si>
    <t>04334</t>
  </si>
  <si>
    <t>LE-0213</t>
  </si>
  <si>
    <t>JOGO DE ESCOVAS DE CARVAO 5*8*17</t>
  </si>
  <si>
    <t>BOM-5801</t>
  </si>
  <si>
    <t>I5 - 4440</t>
  </si>
  <si>
    <t>I5440</t>
  </si>
  <si>
    <t>CONVERSOR HDMI 2AV</t>
  </si>
  <si>
    <t>JOGO DE ESCOVAS DE CARVAO 6*10*16</t>
  </si>
  <si>
    <t>LE-4113</t>
  </si>
  <si>
    <t>BOM-5807</t>
  </si>
  <si>
    <t>I5 - 4460</t>
  </si>
  <si>
    <t>I54460</t>
  </si>
  <si>
    <t>JOGO DE ESCOVAS DE CARVAO 6*9*12</t>
  </si>
  <si>
    <t>ADAPTADOR DISPLAY PARA VGA</t>
  </si>
  <si>
    <t>BOM-5806</t>
  </si>
  <si>
    <t>LE-4117</t>
  </si>
  <si>
    <t>I54570</t>
  </si>
  <si>
    <t>JOGO DE ESCOVAS DE CARVAO 5*11*15 1PCT=10PCS</t>
  </si>
  <si>
    <t>LE-4790</t>
  </si>
  <si>
    <t>BOM-5804</t>
  </si>
  <si>
    <t>08099</t>
  </si>
  <si>
    <t>CAIXA DE SOM MULTIMIDIA 2.0 CANAIS VOLUME</t>
  </si>
  <si>
    <t>KP-RO823</t>
  </si>
  <si>
    <t>07650</t>
  </si>
  <si>
    <t>CONTROLE REMOTO UNIVERSAL LCD C/ REDES SOCIAS</t>
  </si>
  <si>
    <t>LE-7740</t>
  </si>
  <si>
    <t>MESA LATERAL AJUSTÁVEL PRETO</t>
  </si>
  <si>
    <t>ASA-M6040</t>
  </si>
  <si>
    <t>CONTROLE USB P/ COMPUTADOR</t>
  </si>
  <si>
    <t>KAP-2U</t>
  </si>
  <si>
    <t>MESA LATERAL AJUSTÁVEL BRANCO</t>
  </si>
  <si>
    <t>20/03 - 27/03</t>
  </si>
  <si>
    <t>03/04 - 10/04</t>
  </si>
  <si>
    <t>17/04 - 28/04</t>
  </si>
  <si>
    <t>MONITOR LED 23.8 BPC24SADP-100 FHD 100HZ</t>
  </si>
  <si>
    <t>WEBCAM</t>
  </si>
  <si>
    <t>SIGMA-W410</t>
  </si>
  <si>
    <t>FONTE LENOVO NOTEBOOK DE-01</t>
  </si>
  <si>
    <t>DE-01</t>
  </si>
  <si>
    <t>PLACA MAE PC 1155 BPC-H61-ITX-M.2-TG</t>
  </si>
  <si>
    <t>SIGMA-W420</t>
  </si>
  <si>
    <t>ZD108-220</t>
  </si>
  <si>
    <t xml:space="preserve">GAB. MATX BRAZILPC BPC-N110 S/ FONTE </t>
  </si>
  <si>
    <t>SIRENE DE ALARME ELETRÔNICA</t>
  </si>
  <si>
    <t>SIGMA-S212</t>
  </si>
  <si>
    <t>GABINETE PRETO MATX COM COOLERS</t>
  </si>
  <si>
    <t>08135</t>
  </si>
  <si>
    <t>ZD110</t>
  </si>
  <si>
    <t>CAMERA IP WIRELESS 2 ANTENAS 5DBI</t>
  </si>
  <si>
    <t>ADAPTADOR DUPLICADOR REDE RJ45</t>
  </si>
  <si>
    <t>SIGMA-P501</t>
  </si>
  <si>
    <t>ZD119-110</t>
  </si>
  <si>
    <t>JOGO DE FERRAMENTAS C/200 PÇS</t>
  </si>
  <si>
    <t>GABINETE BRANCO MATX COM COOLERS</t>
  </si>
  <si>
    <t>ZD113-110</t>
  </si>
  <si>
    <t>IRRIGADOR ORAL</t>
  </si>
  <si>
    <t>OIH-5418</t>
  </si>
  <si>
    <t>KIT JOGO DE CHAVES CATRACA SOQUETE 46 PCS</t>
  </si>
  <si>
    <t>GABINETE OFFICE - GB1751</t>
  </si>
  <si>
    <t>GB1751</t>
  </si>
  <si>
    <t>PLACA MAE LGA1151 H610 SSD M.2</t>
  </si>
  <si>
    <t>PLACA MAE - H61 - LGA 1155 - DDR3 - 1000MBPS - PLM2300</t>
  </si>
  <si>
    <t>CABO CFTV CAT6 15M</t>
  </si>
  <si>
    <t>LE-315</t>
  </si>
  <si>
    <t>SSD NVME 1TB</t>
  </si>
  <si>
    <t>CPU I3 3220</t>
  </si>
  <si>
    <t>MONITOR 27 FLAT QHD DXPRO27A52RM 180HZ DUEX</t>
  </si>
  <si>
    <t xml:space="preserve">SUPORTE PROJETOR COM GARRA </t>
  </si>
  <si>
    <t>MICROSOFT WINDOWS 11 PRO SELO</t>
  </si>
  <si>
    <t>ALESSANDRA</t>
  </si>
  <si>
    <t>UCB (UNIPOWER)</t>
  </si>
  <si>
    <t>IPHONE 17 PROMAX 256GB LARANJA</t>
  </si>
  <si>
    <t>MICROSOFT WINDOWS 10 PRO SELO</t>
  </si>
  <si>
    <t>PROCESSADOR INTEL I5 3550 OEM</t>
  </si>
  <si>
    <t>LAVADORA DE ALTA PRESSÃO 1600 220V</t>
  </si>
  <si>
    <t>3570 B</t>
  </si>
  <si>
    <t>08236</t>
  </si>
  <si>
    <t>FONTE DE ALIMENTAÇÃO PC 500W</t>
  </si>
  <si>
    <t>KP-522</t>
  </si>
  <si>
    <t>PROCESSADOR INTEL 3570K OEM</t>
  </si>
  <si>
    <t>53570K</t>
  </si>
  <si>
    <t>PLACA MAE H110</t>
  </si>
  <si>
    <t>08304</t>
  </si>
  <si>
    <t>RX - 7600</t>
  </si>
  <si>
    <t>RX-7600</t>
  </si>
  <si>
    <t>PLACA DE VIDEO 6GB DDR6</t>
  </si>
  <si>
    <t>03359</t>
  </si>
  <si>
    <t>PROCESSADOR INTEL I5 6500 OEM</t>
  </si>
  <si>
    <t>55GER</t>
  </si>
  <si>
    <t xml:space="preserve">MONITOR LED 19,5" POLICROMATICO </t>
  </si>
  <si>
    <t>D-MN195</t>
  </si>
  <si>
    <t>RX5600XT</t>
  </si>
  <si>
    <t>PROCESSADOR INTEL 6600 OEM</t>
  </si>
  <si>
    <t>MIGUEL</t>
  </si>
  <si>
    <t>AZUL PAPEL</t>
  </si>
  <si>
    <t>DDR4 8GB 3200MHZ PC HYPERX</t>
  </si>
  <si>
    <t>PLACA MÃE A520</t>
  </si>
  <si>
    <t>A520M2K</t>
  </si>
  <si>
    <t>08364</t>
  </si>
  <si>
    <t>PLACA MÃE RJ45 PC</t>
  </si>
  <si>
    <t>DDR4 16GB 3200MHZ FURY PC</t>
  </si>
  <si>
    <t>CABO RJ45 15M</t>
  </si>
  <si>
    <t>LE-305</t>
  </si>
  <si>
    <t xml:space="preserve">CAMERA IP LAMPADA YOOSEE WI-FI </t>
  </si>
  <si>
    <t>GA-5</t>
  </si>
  <si>
    <t>PROC DESK AMD RYZEN 3.6GHZ CORE OEM</t>
  </si>
  <si>
    <t>7546-0</t>
  </si>
  <si>
    <t>ADAPTADOR WIFI C/4 ANTENA (5G) 1200M</t>
  </si>
  <si>
    <t>KA-T8190</t>
  </si>
  <si>
    <t>PROJETOR BRAZILPC BPC-1080P M-18W 5000 LUMENS PRETO/BRANCO</t>
  </si>
  <si>
    <t>PLACA MAE DESK H61 REVENGER H61-PRO (C/ 1 NGFF)</t>
  </si>
  <si>
    <t>PLACA MAE H610 12/13/14GEN M.2 SSD</t>
  </si>
  <si>
    <t>E2X COMERCIAL</t>
  </si>
  <si>
    <t>7610-0</t>
  </si>
  <si>
    <t>FONTE DE ALIMENTAÇÃO PARA PC</t>
  </si>
  <si>
    <t>KP-CB203</t>
  </si>
  <si>
    <t>MEMÓRIA RAM KINGSTON FURY DDR 5 16GB 5600MHZ</t>
  </si>
  <si>
    <t>NIGHTCMOAMREBO GAMER NIGHTMARE-TECLADO/MOUSE/HEADSET/MOUSEPAD - CLANM</t>
  </si>
  <si>
    <t>CL-CJ01</t>
  </si>
  <si>
    <t>7547-0</t>
  </si>
  <si>
    <t>FONTE DE ALIMENTAÇÃO PARA PC(350W)</t>
  </si>
  <si>
    <t>KP-526</t>
  </si>
  <si>
    <t>RYZEN 5 5500GT</t>
  </si>
  <si>
    <t xml:space="preserve">UD1. PC OFFICE (CORE I5-5TH/8GB/SSD256) C/ FONTE </t>
  </si>
  <si>
    <t>TENDA DOBRAVEL SANFONADA 3M*3M</t>
  </si>
  <si>
    <t>BOM-7740</t>
  </si>
  <si>
    <t>PLACA PCI-EXPRESS PARA REDES SEM FIO</t>
  </si>
  <si>
    <t>KP-T118</t>
  </si>
  <si>
    <t>MEMÓRIA 4GB DDR4 DESK</t>
  </si>
  <si>
    <t>BOM-9969</t>
  </si>
  <si>
    <t>SSD 240 MASTER DRIVE</t>
  </si>
  <si>
    <t>PLACA MÃE H610 PC</t>
  </si>
  <si>
    <t>NEILSON</t>
  </si>
  <si>
    <t>0001</t>
  </si>
  <si>
    <t>LICENÇA WINDOWS 10 PRO SELO</t>
  </si>
  <si>
    <t>DDR4 8G</t>
  </si>
  <si>
    <t>07738</t>
  </si>
  <si>
    <t>DDR4 16G.</t>
  </si>
  <si>
    <t>LICENÇA WINDOWS 11 PRO SELO</t>
  </si>
  <si>
    <t>MONITOR GAMER 34" 2K 165HZ PRO</t>
  </si>
  <si>
    <t>CABO USB X TYPE-C</t>
  </si>
  <si>
    <t>HD EXT. 2TB TOSHIBA CANVIO BASICS 2.5" USB 3.2 PRETO</t>
  </si>
  <si>
    <t>OR-CO17/C</t>
  </si>
  <si>
    <t>CABO USB X LIGHTNING</t>
  </si>
  <si>
    <t>OR-CO17/L</t>
  </si>
  <si>
    <t>HD SATA3 1TB WESTERN DIGITAL WD BLUE 7200RPM 64MB WD10EZEX</t>
  </si>
  <si>
    <t>DDR4 4GB PC</t>
  </si>
  <si>
    <t>GRAVADOR E LEITOR DE CD E DVD - SATA</t>
  </si>
  <si>
    <t>ART SOLUTION</t>
  </si>
  <si>
    <t>SERROTE CABO 22"</t>
  </si>
  <si>
    <t xml:space="preserve">DDR4 8GB 3200MHZ </t>
  </si>
  <si>
    <t>GAB. SLIM MATX Q5M SFF C/ FONTE 300W BOX</t>
  </si>
  <si>
    <t>08072026</t>
  </si>
  <si>
    <t>CORTADOR DE TUBOS PVC MANUAL-42MM</t>
  </si>
  <si>
    <t>BOM-1625</t>
  </si>
  <si>
    <t>MAQUINA DE GELO 220V PRETO 12KG</t>
  </si>
  <si>
    <t>ES POWEREST 300VA 115/115V 4T</t>
  </si>
  <si>
    <t>MXG-2002P</t>
  </si>
  <si>
    <t>TSSHARA</t>
  </si>
  <si>
    <t>CPU I5 10500</t>
  </si>
  <si>
    <t>JOGO DE 3 BROCA ESCALONADA</t>
  </si>
  <si>
    <t>BOM-5021</t>
  </si>
  <si>
    <t>ES POWEREST 300VA 220/220V 4T</t>
  </si>
  <si>
    <t>CPU I5 10505</t>
  </si>
  <si>
    <t>KIT 5 PÇS LAMINA DE SERRA TICO-TICO 152MM</t>
  </si>
  <si>
    <t>BOM-5134</t>
  </si>
  <si>
    <t>ES POWEREST 500VA 115/115V 4T</t>
  </si>
  <si>
    <t>MEMORIA 8/1600 DESK</t>
  </si>
  <si>
    <t>ES POWEREST 500VA BIV/115V 4T</t>
  </si>
  <si>
    <t>SOLDA EM FIO ESTANHO 1MM</t>
  </si>
  <si>
    <t>BOM-5587</t>
  </si>
  <si>
    <t>ES POWERHOM 1500VA 115/115V 6T</t>
  </si>
  <si>
    <t>AFIADOR DE BROCAS TIPO BARRA PARA FURADEIRA 2-12.5MM</t>
  </si>
  <si>
    <t>BOM-5644</t>
  </si>
  <si>
    <t>DDR4 16GB.</t>
  </si>
  <si>
    <t>ES POWERHOM 2000VA BIV/115V 6T</t>
  </si>
  <si>
    <t>FERRO DE SOLDAR 127V-30W</t>
  </si>
  <si>
    <t>BOM-9513</t>
  </si>
  <si>
    <t>ES POWERHOM 2500VA 115/115V 6T</t>
  </si>
  <si>
    <t>CASE 2.5 / 3.0</t>
  </si>
  <si>
    <t>ES POWERLAS 2000VA BIV/115V 1T</t>
  </si>
  <si>
    <t>PINCEL TRINCHA PARA PINTURA PINTAR 3"</t>
  </si>
  <si>
    <t>BOM-7532</t>
  </si>
  <si>
    <t>DDR3 8G1600 NOT</t>
  </si>
  <si>
    <t>FL PDU 10A BIV/BIV 5T</t>
  </si>
  <si>
    <t>DDR4 16G3200 HYPER</t>
  </si>
  <si>
    <t>ESGUICHO PARA MANGUEIRA 5 JATOS</t>
  </si>
  <si>
    <t>BOM-7607</t>
  </si>
  <si>
    <t>FL PDU 20A BIV/BIV 8T</t>
  </si>
  <si>
    <t>MONITOR LED 19 TRS-HK19WY PRETO</t>
  </si>
  <si>
    <t>TORNEIRA PARA TANQUE ALONGADA 15CM INXO</t>
  </si>
  <si>
    <t>FL PDU 20A BIV/BIV 10T</t>
  </si>
  <si>
    <t>BOM-2065</t>
  </si>
  <si>
    <t>MONITOR AX 20'</t>
  </si>
  <si>
    <t>NB MINI 600VA 115V/115V 4+2T</t>
  </si>
  <si>
    <t>FITA ACRILICA DUPLA FACE 1.8*200CM</t>
  </si>
  <si>
    <t>BOM-1301</t>
  </si>
  <si>
    <t>NB MINI 600VA BIV/115V 4+2T</t>
  </si>
  <si>
    <t>CANIVETE SUICO COM 15 FUNCOES</t>
  </si>
  <si>
    <t>BOM-1517</t>
  </si>
  <si>
    <t>CADEIRA GAMER COR PRETO</t>
  </si>
  <si>
    <t>LC-001B</t>
  </si>
  <si>
    <t>NB COMPACT 800VA BIV/BIV 6T</t>
  </si>
  <si>
    <t>PLACA MAE A520M2K</t>
  </si>
  <si>
    <t>NB COMPACT 1000VA BIV/BIV 6T 1EXP12V</t>
  </si>
  <si>
    <t>MANDRIL C/ CHAVE 1/2*20F ROSCA</t>
  </si>
  <si>
    <t>BOM-5016</t>
  </si>
  <si>
    <t>MEM. DDR4 8GB 2666 KEEPDATA/ EASY</t>
  </si>
  <si>
    <t>NB CONCEPT 1200VA BIV/BIV 6T 1EXP12V</t>
  </si>
  <si>
    <t>SSD 240GB KEEPDATA</t>
  </si>
  <si>
    <t>JOGO DE PONTAS PHILLPS PH2 P/ IMPACTO-AÇO S2 10 PÇS</t>
  </si>
  <si>
    <t>BOM-5040</t>
  </si>
  <si>
    <t>NB CONCEPT 1400VA BIV/BIV 6T 1EXP12V</t>
  </si>
  <si>
    <t>CADEIRA DE ESCRITORIO</t>
  </si>
  <si>
    <t>MCC-P021</t>
  </si>
  <si>
    <t>DISCO DE CORTE DE TUNGSTENIO PARA MADEIRA 4.5"</t>
  </si>
  <si>
    <t>BOM-5102</t>
  </si>
  <si>
    <t>NB PROF 1500VA BIV/BIV 8T 2BS 1EXP24V USB</t>
  </si>
  <si>
    <t>MONITOR LED 20' 20WR 75HZ PRETO</t>
  </si>
  <si>
    <t>CALIBRADOR PISTOLA DE PNEUS MANUAL O-220PSI 0-16BAR</t>
  </si>
  <si>
    <t>BOM-8004</t>
  </si>
  <si>
    <t>NB PROF 1800VA BIV/BIV 8T 2BS 1EXP24V USB</t>
  </si>
  <si>
    <t>NOTEBOOK LENOVO I7</t>
  </si>
  <si>
    <t>ROBERTO</t>
  </si>
  <si>
    <t>BOM-9567</t>
  </si>
  <si>
    <t>NB SENOIDAL 1400VA BIV/BIV 6T 1EXP12V</t>
  </si>
  <si>
    <t>PISTOLA DE COLA QUENTE 60W</t>
  </si>
  <si>
    <t>BOM-9512</t>
  </si>
  <si>
    <t>NB SENOIDAL 1500VA BIV/BIV 8T USB 1EXP24V</t>
  </si>
  <si>
    <t>ESGUICHO 8 EM 1 P/ MANGUEIRA C/ RESERVATORIO DE SABAO</t>
  </si>
  <si>
    <t>NB SENOIDAL 1800VA BIV/BIV 8T USB 1EXP24V</t>
  </si>
  <si>
    <t>BOM-7378</t>
  </si>
  <si>
    <t>NB SENOIDAL 2200VA BIV/BIV 8T USB 1EXP24V ROD</t>
  </si>
  <si>
    <t>PROTETOR FACIAL MASCARA</t>
  </si>
  <si>
    <t>BOM-7420</t>
  </si>
  <si>
    <t xml:space="preserve">PROC DESK 1150 I5-4590 </t>
  </si>
  <si>
    <t>NB SENOIDAL 3200VA BIV/BIV 12T USB 2EXP24V ROD</t>
  </si>
  <si>
    <t>PA DOBRAVEL MULTIFUNCIONAL</t>
  </si>
  <si>
    <t>BOM-7602</t>
  </si>
  <si>
    <t>SSD 120GB FNX</t>
  </si>
  <si>
    <t>SUPORTE DE PRATELEIRA P/ BANHEIRO PORTA DE CANTO</t>
  </si>
  <si>
    <t>BOM-2306</t>
  </si>
  <si>
    <t>PLACA MAE DUEX DXMBA320G A320 DDR4</t>
  </si>
  <si>
    <t>26057-2</t>
  </si>
  <si>
    <t>SOPRADOR DE FOLHAS COM ASPIRAÇÃO LEVE 21V</t>
  </si>
  <si>
    <t>FONTE DE ALIMENTAÇÃO PARA PC (500W)</t>
  </si>
  <si>
    <t>BOMBA GRAXA ENGRAXADEIRA MANUAL 400CC</t>
  </si>
  <si>
    <t>BOM-1664</t>
  </si>
  <si>
    <t>PLACA MAE LGA1155 REALTEK 8111E 100/1000MBPS</t>
  </si>
  <si>
    <t>LAVADORA DE PRESSAO PORTATIL 21V</t>
  </si>
  <si>
    <t>CHAVE DE RODA CRUZ 14"</t>
  </si>
  <si>
    <t>BOM-7006</t>
  </si>
  <si>
    <t>BOM-1210</t>
  </si>
  <si>
    <t>PLACA MAE CONTROLADORA PARA COMPUTADOR DESKTOP: G-PC11400H</t>
  </si>
  <si>
    <t>G-PC11400H</t>
  </si>
  <si>
    <t>09120</t>
  </si>
  <si>
    <t>BOMBA DE AR</t>
  </si>
  <si>
    <t>BOM-8813</t>
  </si>
  <si>
    <t>BICICLETA ELETRICA DOBRAVE 450W</t>
  </si>
  <si>
    <t>OIH-6704</t>
  </si>
  <si>
    <t>PLACA MAE CONTROLADORA PARA COMPUTADOR DESKTOP: G-PC11800H</t>
  </si>
  <si>
    <t>G-PC11800H</t>
  </si>
  <si>
    <t>PODADOR MULTIFUNCIONAL PROFISSIONAL 3 EM 1 A GASOLINA 52CC</t>
  </si>
  <si>
    <t>BOM-9215</t>
  </si>
  <si>
    <t>CARRINHO MULTIUSO DOBRAVEL 30KM/H</t>
  </si>
  <si>
    <t>PLACA MAE E PROCESSADOR I5</t>
  </si>
  <si>
    <t>OIH-6720</t>
  </si>
  <si>
    <t>G-PC11500H</t>
  </si>
  <si>
    <t>SERRA DE BANCADA ELETRICA 1800W 127V</t>
  </si>
  <si>
    <t>BOM-9677</t>
  </si>
  <si>
    <t>CARREGADOR PORTATIL POWER BANK ENERGIA SOLAR 10000MAH</t>
  </si>
  <si>
    <t>MAX-0539</t>
  </si>
  <si>
    <t>BOB CABO LAN F/UTP CAT5 4X24 AWG CM 305 M BRE 4X24 AWG DUPLA CAPA E XTERNO 305 M PT</t>
  </si>
  <si>
    <t>CAT5E</t>
  </si>
  <si>
    <t>MEGA CABOS</t>
  </si>
  <si>
    <t>SERRA DE BANCADA ELETRICA 1800W 220V</t>
  </si>
  <si>
    <t>BOM-9678</t>
  </si>
  <si>
    <t>CARREGADOR PORTATIL POWER BANK 10000MAH</t>
  </si>
  <si>
    <t>MAX-0534</t>
  </si>
  <si>
    <t>BOB CABO LAN F/UTP CAT5E 4X24 AWG DUPLA CAPA EXTERNO 500 M PT</t>
  </si>
  <si>
    <t>CORTADORA DE PAREDE 127V PARA CONCRETO-3500W-135MM</t>
  </si>
  <si>
    <t>BOM-9629</t>
  </si>
  <si>
    <t>CARREGADOR PORTATIL POWER BANK WIRELESS 10000MAH</t>
  </si>
  <si>
    <t>MAX-0556</t>
  </si>
  <si>
    <t>CENTRAL ELETRICA PORTATIL 7.5W 5000</t>
  </si>
  <si>
    <t>MAX-0555</t>
  </si>
  <si>
    <t>CX CABO LAN U/UTP CAT6 4X23 AWG CM 305 M BR</t>
  </si>
  <si>
    <t>CAT6</t>
  </si>
  <si>
    <t>BOM-9963</t>
  </si>
  <si>
    <t>CABO CFTV CAT6 5M</t>
  </si>
  <si>
    <t>LE-313</t>
  </si>
  <si>
    <t>FITA ADESIVA BRANCA IMPRESSA-CUIDADO FRAGIL 4.8CM*100M-6PC</t>
  </si>
  <si>
    <t>BOM-1379</t>
  </si>
  <si>
    <t>MCB-1003</t>
  </si>
  <si>
    <t>LANTERNA DE CABEÇA RECARREGAVEL USB</t>
  </si>
  <si>
    <t>CANETA TOUCH SCREEN COM 2 PONTAS</t>
  </si>
  <si>
    <t>MIP-007</t>
  </si>
  <si>
    <t>MEGAFONE</t>
  </si>
  <si>
    <t>MLB-013</t>
  </si>
  <si>
    <t>MICROFONE USB</t>
  </si>
  <si>
    <t>MT-021</t>
  </si>
  <si>
    <t>MONITOR HQ 34" CURVO</t>
  </si>
  <si>
    <t>HQ34"</t>
  </si>
  <si>
    <t>SUPORTE MICROFONE DE MESA</t>
  </si>
  <si>
    <t>MTG-025</t>
  </si>
  <si>
    <t>BOM-5622</t>
  </si>
  <si>
    <t>MESA DIGITALIZADORA</t>
  </si>
  <si>
    <t>MTM-1119</t>
  </si>
  <si>
    <t>BOM-7021</t>
  </si>
  <si>
    <t>DDR3 8GB NOT</t>
  </si>
  <si>
    <t>CARREGADOR PORTATIL POWER BANK 20000MAH ENERGIA SOLAR</t>
  </si>
  <si>
    <t>PARAFUSADEIRA MULTIFUNCIONAL 21V COM 4 CABECOTES INTER.</t>
  </si>
  <si>
    <t>MAX-0540</t>
  </si>
  <si>
    <t>BOM-9749</t>
  </si>
  <si>
    <t>MAX-0560</t>
  </si>
  <si>
    <t>DDR4 16g3200 PC</t>
  </si>
  <si>
    <t>CARREGADOR DE VIAGEM 2 USB 3.1A C/ CABO TIPO C</t>
  </si>
  <si>
    <t>MONITOR LED 19" ENTERPRISE 19EPR-BQ PRETO</t>
  </si>
  <si>
    <t>LE-519FC</t>
  </si>
  <si>
    <t>MONITOR LED 19" TRONOS TRS-HK19WY PRETO</t>
  </si>
  <si>
    <t>GAB. MATX BPC-N11MATX-B M255 C/ FONTE 230W</t>
  </si>
  <si>
    <t>TELA DE PROJEÇÃO 100" 4:3</t>
  </si>
  <si>
    <t>MPR-1100</t>
  </si>
  <si>
    <t>00660</t>
  </si>
  <si>
    <t xml:space="preserve">LUMINÁRIA DE TETO LED </t>
  </si>
  <si>
    <t>HWS-LCD3071-B</t>
  </si>
  <si>
    <t>NEXARA</t>
  </si>
  <si>
    <t>CABO DE SAIDA CC 3 EM 1 (3M)</t>
  </si>
  <si>
    <t>MSL-002</t>
  </si>
  <si>
    <t xml:space="preserve">IMPRESSORA TERMICA </t>
  </si>
  <si>
    <t>OIA-8380</t>
  </si>
  <si>
    <t>MINI CABO DE ALIMENTAÇÃO Á PROVA TIPO C</t>
  </si>
  <si>
    <t>MSL-010</t>
  </si>
  <si>
    <t>06953</t>
  </si>
  <si>
    <t>PAPEL TERMICO 100*150</t>
  </si>
  <si>
    <t>OIA-8400</t>
  </si>
  <si>
    <t>CHALEIRA ELETRICA</t>
  </si>
  <si>
    <t>ON-CL203/110</t>
  </si>
  <si>
    <t>SOUNDBAR 120W</t>
  </si>
  <si>
    <t>MTS-2018</t>
  </si>
  <si>
    <t>MONITOR LED 23.6'</t>
  </si>
  <si>
    <t>D-GR236</t>
  </si>
  <si>
    <t>CAIXA DE SOM SOUNDBAR BLUETOOTH</t>
  </si>
  <si>
    <t>MTS-2033</t>
  </si>
  <si>
    <t>REPETIDOR WIFI</t>
  </si>
  <si>
    <t>KP-RW403/M</t>
  </si>
  <si>
    <t>FONTE DE ALIMENTAÇAO P/ PC ATX 650W</t>
  </si>
  <si>
    <t>SOUNDBAR P/ TV COM SUBWOOFER</t>
  </si>
  <si>
    <t xml:space="preserve">ROTEADOR WIFI DUAL BAND EXTENDER RANGE </t>
  </si>
  <si>
    <t>MTS-2036</t>
  </si>
  <si>
    <t>KP-RW409/AX</t>
  </si>
  <si>
    <t>FONTE DE ALIMENTAÇAO P/ PC ATX 750W</t>
  </si>
  <si>
    <t>REPETIRDOR WIFI</t>
  </si>
  <si>
    <t>KP-RW403/G-BK</t>
  </si>
  <si>
    <t>MTS-2054</t>
  </si>
  <si>
    <t>PROC INTEL CORE I7-12700K 3.6GHZ 25MB LGA1700</t>
  </si>
  <si>
    <t>HANDYTECH</t>
  </si>
  <si>
    <t>ESMERILHADEIRA ANGULAR PROFISSIONAL 7" (180MM) 240W 127V</t>
  </si>
  <si>
    <t>BOM-9691</t>
  </si>
  <si>
    <t>MTS-2055</t>
  </si>
  <si>
    <t xml:space="preserve">FONTE DE ALIMENTAÇAO PRETO PC BIVOLT </t>
  </si>
  <si>
    <t xml:space="preserve">F650 </t>
  </si>
  <si>
    <t>ADAPTADOR MULTIFUNCIONAL 4 IN 1</t>
  </si>
  <si>
    <t>MTV-728</t>
  </si>
  <si>
    <t>06967</t>
  </si>
  <si>
    <t xml:space="preserve">CHURRASQUEIRA DOBRAVEL A CRAVÃO </t>
  </si>
  <si>
    <t>ON-LD042</t>
  </si>
  <si>
    <t>DDR4 8GB 3200 MACROVIP</t>
  </si>
  <si>
    <t>HOVERBOARDS</t>
  </si>
  <si>
    <t>MPE-B6560</t>
  </si>
  <si>
    <t>ON-LD043</t>
  </si>
  <si>
    <t>DDR4 8GB 2666 EASY</t>
  </si>
  <si>
    <t>MPE-B6561</t>
  </si>
  <si>
    <t>FONTE DE ALIMENTAÇAO 12V 2A</t>
  </si>
  <si>
    <t>F212</t>
  </si>
  <si>
    <t>MPE-B6562</t>
  </si>
  <si>
    <t>REPETIDOR DE WIFI</t>
  </si>
  <si>
    <t>KA-X332</t>
  </si>
  <si>
    <t>MEMORIA 8GB DDR4 2666 DESKTOP</t>
  </si>
  <si>
    <t>ANTENA WIFI ADPTADOR WIRELESS USB 1800MBPS</t>
  </si>
  <si>
    <t>MPE-B6565</t>
  </si>
  <si>
    <t>0020</t>
  </si>
  <si>
    <t>DRONE DJI NEO FLY MORE COMBO BR DJI051 CINZA</t>
  </si>
  <si>
    <t>PLACA MAE DESK PC 1200 BPC-H510M.2</t>
  </si>
  <si>
    <t>i7 - 4790</t>
  </si>
  <si>
    <t>i7-4790</t>
  </si>
  <si>
    <t>IPHONE 17 PROMAX 256GB BRANCO</t>
  </si>
  <si>
    <t>BALANÇA DIGITAL</t>
  </si>
  <si>
    <t>SF-400</t>
  </si>
  <si>
    <t>HD 3TB WD PURPLE</t>
  </si>
  <si>
    <t>MONITOR 19' LED VGA+HDMI VX190X 60HZ VXPRO</t>
  </si>
  <si>
    <t>SANDUICHEIRA  127V</t>
  </si>
  <si>
    <t>MAZ-111A</t>
  </si>
  <si>
    <t>FILTRO DE LINHA 04 TOMADAS PR PP CIRCULAR 3X0,75X1,00M</t>
  </si>
  <si>
    <t>PT00 (61)</t>
  </si>
  <si>
    <t>MEGATRON</t>
  </si>
  <si>
    <t>ESPRMEDOR PORTÁTIL 500ML</t>
  </si>
  <si>
    <t>MAZ-103</t>
  </si>
  <si>
    <t>FILTRO DE LINHA 04 TOMADAS BR PP CIRCULAR 3X0,75X1,00M</t>
  </si>
  <si>
    <t>BR00 (249)</t>
  </si>
  <si>
    <t xml:space="preserve">CHALEIRA TÉRMICA </t>
  </si>
  <si>
    <t>FILTRO DE LINHA 05 TOMADAS PR PP CIRCULAR 3X0,75X1,00M</t>
  </si>
  <si>
    <t>PT00 (31)</t>
  </si>
  <si>
    <t>OPAPRO</t>
  </si>
  <si>
    <t>HD 14TB WD PURPLE</t>
  </si>
  <si>
    <t>06//04/2026</t>
  </si>
  <si>
    <t>08520</t>
  </si>
  <si>
    <t>0038</t>
  </si>
  <si>
    <t>BINOCULOS</t>
  </si>
  <si>
    <t>MINI CAIXA DE SOM DIGITAL SPEAKER PORTATIL</t>
  </si>
  <si>
    <t>LK-4103</t>
  </si>
  <si>
    <t>KA-1018</t>
  </si>
  <si>
    <t>DDR4 8GB 3200 PC</t>
  </si>
  <si>
    <t>/</t>
  </si>
  <si>
    <t>IMPRESSORA ELGIN TERMINCA NAO FISCAL I7 PLUS</t>
  </si>
  <si>
    <t>MATHEUS</t>
  </si>
  <si>
    <t>P9139</t>
  </si>
  <si>
    <t>USO/CONSUMO</t>
  </si>
  <si>
    <t>PAUTA</t>
  </si>
  <si>
    <t>LIXADORA ORBITAL 220V</t>
  </si>
  <si>
    <t>BOM-9502</t>
  </si>
  <si>
    <t>MARTELO PERFURADOR E ROMPEDOR 1000W-220V</t>
  </si>
  <si>
    <t>SSD 120GB.</t>
  </si>
  <si>
    <t>BOM-9596</t>
  </si>
  <si>
    <t>BOB. DML 79X040 CX30 BRANCA CUPOM FISCAL</t>
  </si>
  <si>
    <t>MARTELO PERFURADOR E ROMPEDOR 1000W-110V</t>
  </si>
  <si>
    <t>ATL</t>
  </si>
  <si>
    <t>05391</t>
  </si>
  <si>
    <t>I7 - 6700 LGA 1151</t>
  </si>
  <si>
    <t>I7-6700</t>
  </si>
  <si>
    <t>FONTE DE ALIMENTAÇAO P/ PC 650W</t>
  </si>
  <si>
    <t>ESMERILHADEIRA DE BATERIA 21V-125MM</t>
  </si>
  <si>
    <t>BOM-9705</t>
  </si>
  <si>
    <t>05732</t>
  </si>
  <si>
    <t>FONTE DE ALIMENTAÇAO P/ PC 750W</t>
  </si>
  <si>
    <t>CAPA PROTETORA P/ MOTO</t>
  </si>
  <si>
    <t>ACA-MOTO-GP</t>
  </si>
  <si>
    <t>IMPRESSORA TERMICA DE ETIQUETAS 80MM</t>
  </si>
  <si>
    <t>CE-O159R</t>
  </si>
  <si>
    <t>VENTOSA DUPLA</t>
  </si>
  <si>
    <t>BOM-1504</t>
  </si>
  <si>
    <t>COLETEK</t>
  </si>
  <si>
    <t>ADAPTADOR WIFI 600MPS USB 5GHZ</t>
  </si>
  <si>
    <t>CABO TRANSMISSAO DE DADOS CAT6 UPT 23AWG</t>
  </si>
  <si>
    <t>FURUKAWA</t>
  </si>
  <si>
    <t>ALICATE CRIMPAR CABO REDE C/CATRACA</t>
  </si>
  <si>
    <t>BOM-1713</t>
  </si>
  <si>
    <t>ESTAB ES-300VA MONO 115V BEM LIGADO CLK</t>
  </si>
  <si>
    <t>3 PCS TESOURA</t>
  </si>
  <si>
    <t>0088833</t>
  </si>
  <si>
    <t>FONE DE OUVIDO GAMER 7.1 SURROUND</t>
  </si>
  <si>
    <t>BOB CABO LAN F/UTP CAT5 4X24 AWG CM 305 M BR</t>
  </si>
  <si>
    <t>MACARICO PORTIL CULINARIA</t>
  </si>
  <si>
    <t>BOM-1535</t>
  </si>
  <si>
    <t>MICROFONE CONDENSADOR OMNI</t>
  </si>
  <si>
    <t>MT-022</t>
  </si>
  <si>
    <t>CX CABO LAN U/UTP CAT5E 4X24 AWG CM 305 M BR</t>
  </si>
  <si>
    <t>CONJUNTO DE FORMOES 8 POLEGADAS 4 PECAS EM ACO TEMPERADO</t>
  </si>
  <si>
    <t>BOM-3407</t>
  </si>
  <si>
    <t>PRUMO PARA PEDREIRO DE METAL 300G</t>
  </si>
  <si>
    <t>BOM-6806</t>
  </si>
  <si>
    <t>DESEMPENADEIRA ELETRICA 220V PARA REBOCO E PAREDE 1200W</t>
  </si>
  <si>
    <t>BOM-9626</t>
  </si>
  <si>
    <t xml:space="preserve">NEO STANDARD GL </t>
  </si>
  <si>
    <t>NVME 512GB KINGSTON</t>
  </si>
  <si>
    <t>MUNDO DOS DRONES</t>
  </si>
  <si>
    <t xml:space="preserve">MINI 4 PRO FLY MORE COMBO GL </t>
  </si>
  <si>
    <t>CABO CHUPETA TRANSMISSAO 800AMP-2.2M</t>
  </si>
  <si>
    <t>BOM-1802</t>
  </si>
  <si>
    <t>08755</t>
  </si>
  <si>
    <t>LELOG</t>
  </si>
  <si>
    <t>NIVEL A LASER COM 12 LINHAS</t>
  </si>
  <si>
    <t xml:space="preserve">ANTENA DIGITAL </t>
  </si>
  <si>
    <t>MTV-3015</t>
  </si>
  <si>
    <t>FECHADURA INTELIGENTE COM TELA</t>
  </si>
  <si>
    <t>MAQUINA DE SOLDA 110V</t>
  </si>
  <si>
    <t>ALPHA-202</t>
  </si>
  <si>
    <t>I5 - 3470</t>
  </si>
  <si>
    <t>I5-3470</t>
  </si>
  <si>
    <t>COOLER PARA PROCESSADOR INTEL AKFAND85 ARKTEK</t>
  </si>
  <si>
    <t>028504-9</t>
  </si>
  <si>
    <t>0604</t>
  </si>
  <si>
    <t>ROTEADOR WIFI 2.4GHZ 1200MBPS</t>
  </si>
  <si>
    <t>PLACA MÃE VXPRO VXMBH110 LGA1151</t>
  </si>
  <si>
    <t>07805</t>
  </si>
  <si>
    <t>SSD WDGREEN 1B SATA 3</t>
  </si>
  <si>
    <t>PLACA MÃE DUEX DXMBA520G AM4</t>
  </si>
  <si>
    <t>A250</t>
  </si>
  <si>
    <t>08804</t>
  </si>
  <si>
    <t>S10 SMX400 128GB</t>
  </si>
  <si>
    <t>MICROFONE AKG WP300 DUPLO SEM FIO</t>
  </si>
  <si>
    <t>RECEIVER JBL MA510- 5.2CH/100W/8K/BT/WIFI/AIRPLAY</t>
  </si>
  <si>
    <t>MESA DE SOM SOUNDCRAFT MI-12 ANALOGICO C/ 12 CANAIS</t>
  </si>
  <si>
    <t>CORDA PARA BAGAGEM DE 1.55 M - 10PÇS</t>
  </si>
  <si>
    <t>ALTO FALANTE JBL SELENIUM AMBIENTARE C621 BRANCO 50W RMS DE PAREDE</t>
  </si>
  <si>
    <t>ROCADEIRA APARADOR DE GRAMA C/ 2 BATERIAS</t>
  </si>
  <si>
    <t>BOM-9111</t>
  </si>
  <si>
    <t>NIVEL A LASER COM 2 LINHAS</t>
  </si>
  <si>
    <t>PLACA MAE LGA1155.</t>
  </si>
  <si>
    <t>G-B75</t>
  </si>
  <si>
    <t>FURADEIRA DE IMPACTO 220V</t>
  </si>
  <si>
    <t>BOM-9544</t>
  </si>
  <si>
    <t>MOP SPRAY COM RESERVATORIO</t>
  </si>
  <si>
    <t>BOM-7372</t>
  </si>
  <si>
    <t>05620</t>
  </si>
  <si>
    <t>PLACA MAE B250 PARA COMPUTADOR DESKTOP</t>
  </si>
  <si>
    <t>G-B250</t>
  </si>
  <si>
    <t>ASPIRADOR DE PO 12V</t>
  </si>
  <si>
    <t>ADAPTADOR WIFI PC 2.4GHZ 950MBPS</t>
  </si>
  <si>
    <t>BOM-7002</t>
  </si>
  <si>
    <t>KA-1100</t>
  </si>
  <si>
    <t>SOPRADOR AR TURBO 21V</t>
  </si>
  <si>
    <t>BOM-9725</t>
  </si>
  <si>
    <t>IPHONE 17 PROMAX AZ</t>
  </si>
  <si>
    <t>CHAVE DE IMPACTO 21V</t>
  </si>
  <si>
    <t>05131</t>
  </si>
  <si>
    <t>BOM-9966</t>
  </si>
  <si>
    <t>MICROFONE</t>
  </si>
  <si>
    <t>ON-M0014/5M</t>
  </si>
  <si>
    <t xml:space="preserve">MOTO ELETRICA </t>
  </si>
  <si>
    <t>AC-6609</t>
  </si>
  <si>
    <t>ATEC</t>
  </si>
  <si>
    <t>LUMINARIA SOLAR POSTE RUA DE 8 LED</t>
  </si>
  <si>
    <t>BOM-4201</t>
  </si>
  <si>
    <t>05649</t>
  </si>
  <si>
    <t>PLACA MAE H110 PARA COMPUTADOR DESKTOP</t>
  </si>
  <si>
    <t>SERRA CIRCULAR 1100W 110V</t>
  </si>
  <si>
    <t>SSD 1TB GREEN</t>
  </si>
  <si>
    <t>05645</t>
  </si>
  <si>
    <t>PLACA MAE B75 PARA COMPUTADOR DESKTOP</t>
  </si>
  <si>
    <t>01670</t>
  </si>
  <si>
    <t>CABO RJ45 30M</t>
  </si>
  <si>
    <t>LE-307</t>
  </si>
  <si>
    <t>COLUNA DE PEDESTAL PARA MONITOR</t>
  </si>
  <si>
    <t>D-ZJ01-1</t>
  </si>
  <si>
    <t>D-ZJ01-2</t>
  </si>
  <si>
    <t>CAIXA DE SOM X69</t>
  </si>
  <si>
    <t>JOGO DE SOQUETES 1/2POL.COM REVERSIVEL, COMBINADAS-37PCS</t>
  </si>
  <si>
    <t>CABO DE DADOS TYPE-C</t>
  </si>
  <si>
    <t>IMS-X69</t>
  </si>
  <si>
    <t>LE-108</t>
  </si>
  <si>
    <t>IMENSO</t>
  </si>
  <si>
    <t>05217</t>
  </si>
  <si>
    <t>ON-F100</t>
  </si>
  <si>
    <t>JOGO DE BITS PARA IMPACTO COM 36PÇS</t>
  </si>
  <si>
    <t>BOM-5037</t>
  </si>
  <si>
    <t>09642</t>
  </si>
  <si>
    <t xml:space="preserve">ESPELHO LED COM ORGANIZADOR </t>
  </si>
  <si>
    <t>LARA</t>
  </si>
  <si>
    <t>037</t>
  </si>
  <si>
    <t>DDR4 8GB 2666MHZ KINGSTON</t>
  </si>
  <si>
    <t>08942</t>
  </si>
  <si>
    <t>MONITOR GAMER DUEX LED 27' 100HZ 4K</t>
  </si>
  <si>
    <t>DX270Z</t>
  </si>
  <si>
    <t>CAIXA DE SOM</t>
  </si>
  <si>
    <t>IMS-X69-A</t>
  </si>
  <si>
    <t>SUPORTE DE PROJETOR MULTIMIDIA DE GARRA TETO E PAREDE PRETO</t>
  </si>
  <si>
    <t>04296</t>
  </si>
  <si>
    <t>SCOOTER ELETRICA A4 PRETA</t>
  </si>
  <si>
    <t>A4</t>
  </si>
  <si>
    <t>PANDA</t>
  </si>
  <si>
    <t>WINDOWS SERVER 2019 DATACENTER</t>
  </si>
  <si>
    <t>000003</t>
  </si>
  <si>
    <t>SSD MACROVIP 240GB SATA3 BLISTER</t>
  </si>
  <si>
    <t>P240G</t>
  </si>
  <si>
    <t>G F LIMA SERV</t>
  </si>
  <si>
    <t>SCOOTER ELETRICA A4 PRATA</t>
  </si>
  <si>
    <t>SSD MACROVIP 480GB SATA3 BLISTER</t>
  </si>
  <si>
    <t>P480G</t>
  </si>
  <si>
    <t>MEMORIA 4GB DDR4 DESK</t>
  </si>
  <si>
    <t>SCOOTER ELETRICA A4 BRANCO</t>
  </si>
  <si>
    <t>ESMERILHADEIRA ANGULAR 710W 220V</t>
  </si>
  <si>
    <t>BOM-9546</t>
  </si>
  <si>
    <t xml:space="preserve">CONECTOR RJ45 CRISTAL 8P8C CAT5E/6A </t>
  </si>
  <si>
    <t>CONT-RJ45P100</t>
  </si>
  <si>
    <t>07852</t>
  </si>
  <si>
    <t>SWITCH POE 8+2</t>
  </si>
  <si>
    <t>ATS-182</t>
  </si>
  <si>
    <t>I54590</t>
  </si>
  <si>
    <t>KIT JOGO DE FERRAMENTAS COMPLETA 126PCS</t>
  </si>
  <si>
    <t>09035</t>
  </si>
  <si>
    <t>SWITCH POE 16+2+1</t>
  </si>
  <si>
    <t>LIXADEIRA MANUAL DE BATERIA</t>
  </si>
  <si>
    <t>PONTEIRA SEXTAVADA PARA MARTELO DEMOLIDOR AÇO 25*410MM*25MM</t>
  </si>
  <si>
    <t>BOM-1924</t>
  </si>
  <si>
    <t>SOPRADOR E ASPIRADOR ELETRICO 110V 700W</t>
  </si>
  <si>
    <t>BOM-9587</t>
  </si>
  <si>
    <t>DDR4 8GB 3200 FURY COM DISPADOR</t>
  </si>
  <si>
    <t>LAVADORA DE PRESSAO A BATERIA PORTATIL</t>
  </si>
  <si>
    <t>09038</t>
  </si>
  <si>
    <t>CAMERA DE SEGURANÇA IP LENTE DUPLA PROTEÇÃO IP66</t>
  </si>
  <si>
    <t>LB-CA247</t>
  </si>
  <si>
    <t>BOMBA DE AR COMPRESSOR DIGITAL PORTATIL COM LED</t>
  </si>
  <si>
    <t>BOM-8905</t>
  </si>
  <si>
    <t>MONITOR LED 20" ENTERPRISE CORP 20WEV-KAN 75HZ PRETO</t>
  </si>
  <si>
    <t>CAMERA EXTERIOR INTELIGENTE</t>
  </si>
  <si>
    <t>LB-CA244</t>
  </si>
  <si>
    <t>i5 - 13400T</t>
  </si>
  <si>
    <t>i5-13400T</t>
  </si>
  <si>
    <t>ROCADEIRA APARADOR DE GRAMA 2 BATERIAS</t>
  </si>
  <si>
    <t>CONVERSOR DIGITAL TERRESTRE</t>
  </si>
  <si>
    <t>KA-1998</t>
  </si>
  <si>
    <t>03468</t>
  </si>
  <si>
    <t>D-ATX12</t>
  </si>
  <si>
    <t>SERRA MARMORA 1200W 220V</t>
  </si>
  <si>
    <t>I5 - 9400</t>
  </si>
  <si>
    <t>I59400</t>
  </si>
  <si>
    <t>i5 - 7500</t>
  </si>
  <si>
    <t>i5-7500</t>
  </si>
  <si>
    <t>CPU I5 3470</t>
  </si>
  <si>
    <t>05712</t>
  </si>
  <si>
    <t>I5 - 9500</t>
  </si>
  <si>
    <t>I59500</t>
  </si>
  <si>
    <t>PLACA MAE B75 LGA1155</t>
  </si>
  <si>
    <t>SSD KINGSTON 240</t>
  </si>
  <si>
    <t>PLACA MÃE VXPRO VXMBB250 LGA 1151</t>
  </si>
  <si>
    <t>027069-4</t>
  </si>
  <si>
    <t>INTEL CORE I5-3470 QUAD CORE 3.2GHZ LGA1155</t>
  </si>
  <si>
    <t>I53470</t>
  </si>
  <si>
    <t>02522</t>
  </si>
  <si>
    <t>PLACA PCI-EXPRESS.</t>
  </si>
  <si>
    <t>KP-T119</t>
  </si>
  <si>
    <t>TELA INTERATIVA TOUCH DE 98"</t>
  </si>
  <si>
    <t>D-DG98TI</t>
  </si>
  <si>
    <t>INTEL CORE I5-3570 QUAD CORE 3.3GHZ LGA1155</t>
  </si>
  <si>
    <t>I53570</t>
  </si>
  <si>
    <t>SUPORTE DE METAL PARA LOUSA INTERATIVA 60"-150"</t>
  </si>
  <si>
    <t>D-ZJ05</t>
  </si>
  <si>
    <t>INTEL CORE I5-3550 QUAD CORE 3.3GHZ LGA1155</t>
  </si>
  <si>
    <t>I53550</t>
  </si>
  <si>
    <t>PLACA DE VIDEO DDR3 4GB</t>
  </si>
  <si>
    <t>R7 350</t>
  </si>
  <si>
    <t>01748</t>
  </si>
  <si>
    <t>CAIXA DE SOM MULTIMIDEA</t>
  </si>
  <si>
    <t>KP-7024</t>
  </si>
  <si>
    <t>CARTAO DE MEMORIA MICRO SD 128G</t>
  </si>
  <si>
    <t>D-TF128</t>
  </si>
  <si>
    <t>MACHADO COM CABO DE FIBRA 600G</t>
  </si>
  <si>
    <t>OR-C017/L</t>
  </si>
  <si>
    <t>05792</t>
  </si>
  <si>
    <t>PLACA MAE PC 11400H</t>
  </si>
  <si>
    <t>ALICATE UNIVERSAL 8"</t>
  </si>
  <si>
    <t>PC11400H</t>
  </si>
  <si>
    <t>OR-C017/C</t>
  </si>
  <si>
    <t>JOGO DE ACESSORIOS SOQUETES 3 PÇS ENCAIXE 1PCT-3PÇS</t>
  </si>
  <si>
    <t>BOM-3223</t>
  </si>
  <si>
    <t>SSD 960GB LEXAR</t>
  </si>
  <si>
    <t>TECLADO KB110 COM FIO SEM LOGO</t>
  </si>
  <si>
    <t>KIT COM 5 PÇS LAMINA DE SERRA TICO-TICO 152MM</t>
  </si>
  <si>
    <t>MOUSE M365 SEM LOGO OPTICO 3D USB C/ FIO</t>
  </si>
  <si>
    <t>NIVEL MANUAL COM REGUA DE 50 CM E 3 BOLHAS</t>
  </si>
  <si>
    <t xml:space="preserve">TJS </t>
  </si>
  <si>
    <t xml:space="preserve">PROC DESK INTEL 1700 CORE I7-13700F </t>
  </si>
  <si>
    <t>SSD NVME 512GB</t>
  </si>
  <si>
    <t>WALTER COOLER 240</t>
  </si>
  <si>
    <t>SSD NVME 256GB</t>
  </si>
  <si>
    <t>KIT DE REPARO PARA PNEUS 4 PÇS</t>
  </si>
  <si>
    <t>BOM-3630</t>
  </si>
  <si>
    <t>MICROFONE S/ FIO AKG WP 300 DUPLO BASTAO</t>
  </si>
  <si>
    <t>CAIXA DE SOM AMPLIFICADA BLUETOOTH 12480OW</t>
  </si>
  <si>
    <t>HP-480</t>
  </si>
  <si>
    <t>AQUARIO</t>
  </si>
  <si>
    <t>MOUSE PAD</t>
  </si>
  <si>
    <t>KA-1001</t>
  </si>
  <si>
    <t>PAINEL DE LED PLACA 1M X 50CM 3.9 - CASE C/ 6 PLACAS</t>
  </si>
  <si>
    <t>PL-391-OUT</t>
  </si>
  <si>
    <t>CAMILO CRUZ</t>
  </si>
  <si>
    <t>MPE-B6563</t>
  </si>
  <si>
    <t>ADAPTADOR WI-FI PC 2.4GHZ 950MBPS</t>
  </si>
  <si>
    <t>09076</t>
  </si>
  <si>
    <t>CONVERSOR DE FIBRA OPTICA 1000MBPS RJ45</t>
  </si>
  <si>
    <t>KP-AD147</t>
  </si>
  <si>
    <t>MOUSE COM FIO MF100 USB 1200DPI 3BOT COMPACTO 120CM PT</t>
  </si>
  <si>
    <t>JOGO CHAVE CANHAO SOQUETE 7 PEÇAS</t>
  </si>
  <si>
    <t>MO300</t>
  </si>
  <si>
    <t>BOM-3220</t>
  </si>
  <si>
    <t>09095</t>
  </si>
  <si>
    <t>IMPRESSORA TERMICA PARA ETIQUETAS</t>
  </si>
  <si>
    <t>KP-IM608</t>
  </si>
  <si>
    <t>CAPACETE M</t>
  </si>
  <si>
    <t>MCP-001-B1 M</t>
  </si>
  <si>
    <t>JOGO DE CHAVE COMBINADA CATRACA 7 PEÇAS</t>
  </si>
  <si>
    <t>BOM-3213</t>
  </si>
  <si>
    <t>MOTOSERRA A GASOLINA 58CC 20"</t>
  </si>
  <si>
    <t>CAPACETE G</t>
  </si>
  <si>
    <t>MCP-001-B1 G</t>
  </si>
  <si>
    <t>09459</t>
  </si>
  <si>
    <t>09178</t>
  </si>
  <si>
    <t>PLACA MÃE B75 PC</t>
  </si>
  <si>
    <t>KIT DE JOGO DE SOQUETES COM ENCAIXE DE 1/2 POLEGADA 12PE</t>
  </si>
  <si>
    <t>09185</t>
  </si>
  <si>
    <t>PLACA MÃE H61 PC</t>
  </si>
  <si>
    <t>G-H61/K</t>
  </si>
  <si>
    <t>GAB. MATX BRAZIL PC BPC-N110MATX-B C/ FONTE</t>
  </si>
  <si>
    <t xml:space="preserve">LAVADORA DE ALTA PRESSÃO WAP WL 220V </t>
  </si>
  <si>
    <t>CONJUNTO DE TARRAXAS E MACHOS 8 PÇS</t>
  </si>
  <si>
    <t>BOM-3230</t>
  </si>
  <si>
    <t>ESTILETE PROFISSIONAL COM 5 LAMINAS</t>
  </si>
  <si>
    <t>BOM-3308</t>
  </si>
  <si>
    <t>06054</t>
  </si>
  <si>
    <t>TEMPORIZADOR TIMER MECANICO BIVOLT 110V/220V</t>
  </si>
  <si>
    <t>FONTE PC 500W</t>
  </si>
  <si>
    <t>BOM-6310</t>
  </si>
  <si>
    <t>JOGO DE MACHOS VIRA-MACHO M3 A M12 C/ 8 PÇS</t>
  </si>
  <si>
    <t>BOM-3231</t>
  </si>
  <si>
    <t>BOM-8917</t>
  </si>
  <si>
    <t>SMART TV HQ FHD 43"</t>
  </si>
  <si>
    <t>ALICATE HIDRAULICO PRENSA CRIMPA TERMINAL 10 / 300MM</t>
  </si>
  <si>
    <t>BOM-3629</t>
  </si>
  <si>
    <t>BELMICRO</t>
  </si>
  <si>
    <t>MOTOSSERRA ELETRICA 3200W 20 POLEGADAS 110V</t>
  </si>
  <si>
    <t>BOM-9593</t>
  </si>
  <si>
    <t xml:space="preserve">DDR4 8GB 3200 NOT </t>
  </si>
  <si>
    <t>SERRA CIRCULAR DE BATERIA</t>
  </si>
  <si>
    <t>BOM-9706</t>
  </si>
  <si>
    <t>KIT SACA PARAFUSOS 6 PÇS</t>
  </si>
  <si>
    <t>BOM-5204</t>
  </si>
  <si>
    <t>DDR4 8GB 3200 PC (FURY</t>
  </si>
  <si>
    <t>TRENA FITA METRICA DIGITAL COM NIVEL A LASER 40M</t>
  </si>
  <si>
    <t>BOM-6544</t>
  </si>
  <si>
    <t>ABRACADEIRA NYLON 4.8MM X 400MM TIPO ENFORCA GATO 100 PÇS</t>
  </si>
  <si>
    <t>BOM-5498</t>
  </si>
  <si>
    <t>LE-902-1.8M</t>
  </si>
  <si>
    <t>ASPIRADOR DE PO MULTIFUNCIONAL 4 EM 1</t>
  </si>
  <si>
    <t>BOM-7020</t>
  </si>
  <si>
    <t>MASCARA FACIAL TRANSPARENTE</t>
  </si>
  <si>
    <t>BOM-7422</t>
  </si>
  <si>
    <t>BOMBA PULVERIZADOR MANUAL</t>
  </si>
  <si>
    <t>BOM-7608</t>
  </si>
  <si>
    <t xml:space="preserve">PISTOLA DE PINTURA 110V </t>
  </si>
  <si>
    <t>CABO PARA IMPRESSORA 3M</t>
  </si>
  <si>
    <t>LE-902-3M</t>
  </si>
  <si>
    <t>09247</t>
  </si>
  <si>
    <t>PALINA ELETRICA 800W 127V</t>
  </si>
  <si>
    <t>BOM-9637</t>
  </si>
  <si>
    <t>BOM-9571</t>
  </si>
  <si>
    <t>TRENA METRICA 7.5M</t>
  </si>
  <si>
    <t>BOM-6509</t>
  </si>
  <si>
    <t>01725</t>
  </si>
  <si>
    <t>CAMERA DE RÉ BORBOLETA</t>
  </si>
  <si>
    <t>SOPRADOR E ASPIRADOR ELETRICO 220V 700W</t>
  </si>
  <si>
    <t>BOM-9588</t>
  </si>
  <si>
    <t>TRENA METRICA 5M</t>
  </si>
  <si>
    <t>BOM-6508</t>
  </si>
  <si>
    <t xml:space="preserve">SCANNER EPSON WORKFORCE ES-400 </t>
  </si>
  <si>
    <t>CABO HDTV 4 EM 1</t>
  </si>
  <si>
    <t>FERRO DE SOLDAR 127-40W</t>
  </si>
  <si>
    <t>BOM-9514</t>
  </si>
  <si>
    <t>09931</t>
  </si>
  <si>
    <t>PLACA DE VIDEO PCYES RADEON RX 550 4GB GDDR5 HDMI/DP/DVI AMD</t>
  </si>
  <si>
    <t>01MAS</t>
  </si>
  <si>
    <t>MACUMBA</t>
  </si>
  <si>
    <t>ESPELHO COM LUZ LED</t>
  </si>
  <si>
    <t>OIH-5259</t>
  </si>
  <si>
    <t>I7 - 4790</t>
  </si>
  <si>
    <t>PLACA DE VIDEO PCYES NVIDIA GEFORCE RTX 3050 6GB GDDR6 96BIT</t>
  </si>
  <si>
    <t>02KSD</t>
  </si>
  <si>
    <t>10 PÇS ISAAC</t>
  </si>
  <si>
    <t>MAQUINA DE GELO 127V</t>
  </si>
  <si>
    <t>OIH-5522</t>
  </si>
  <si>
    <t xml:space="preserve"> </t>
  </si>
  <si>
    <t>06081</t>
  </si>
  <si>
    <t>PLACA DE VIDEO GEFORCE RTX 5060 8GB MSI SHADOW 2X OC</t>
  </si>
  <si>
    <t>DDR4 8GB DESK KEEP 8/2666</t>
  </si>
  <si>
    <t>03LSD</t>
  </si>
  <si>
    <t>CAMERA WIFI SMART PTZ</t>
  </si>
  <si>
    <t>ML-220 PRO</t>
  </si>
  <si>
    <t>30 PÇS ISAAC</t>
  </si>
  <si>
    <t>PLACA DE VIDEO PCYES GTX 1660 SUPER 6GB GDDR6 DUAL FAN</t>
  </si>
  <si>
    <t>04JKM</t>
  </si>
  <si>
    <t>2 PÇS YHAN</t>
  </si>
  <si>
    <t>MU-002</t>
  </si>
  <si>
    <t>PLACA DE VIDEO NVIDIA PCYES GEFORCE G210 1GB DDR3 QUAD HD HDMI DVI VGA</t>
  </si>
  <si>
    <t>05HJN</t>
  </si>
  <si>
    <t>HD 500GB SEAGATE</t>
  </si>
  <si>
    <t>HD 500 GB</t>
  </si>
  <si>
    <t>COPO ELETRICO PORTATIL PARA SUCO</t>
  </si>
  <si>
    <t>MAZ-131</t>
  </si>
  <si>
    <t>PLACA DE VIDEO GIGABYTE GEOFORCE RTX 5060 TI WINDFORCE, 8GB, GDDR7,128-BIT,GV-N506TWF2-8GD</t>
  </si>
  <si>
    <t>06KLM</t>
  </si>
  <si>
    <t>5 PÇS YHAN</t>
  </si>
  <si>
    <t>MAQUINA DE PIPOCA 127V</t>
  </si>
  <si>
    <t>MZ-117A</t>
  </si>
  <si>
    <t>MICROFONE DE LAPELA TIPO-C</t>
  </si>
  <si>
    <t>MT-222OC</t>
  </si>
  <si>
    <t>IPHONE 17 PROMAX 256GB AZUL</t>
  </si>
  <si>
    <t>10 PÇS YHAN</t>
  </si>
  <si>
    <t>DDR5 16GB 4800 NOTE</t>
  </si>
  <si>
    <t>SUPORTE FIXO PARA TV</t>
  </si>
  <si>
    <t>MT-12</t>
  </si>
  <si>
    <t>11 PÇS YHAN</t>
  </si>
  <si>
    <t>HD 1TB SEAGATE</t>
  </si>
  <si>
    <t>SSD 480GB KINGSTON</t>
  </si>
  <si>
    <t>SUPORTE ARTICULADO</t>
  </si>
  <si>
    <t>MT-17</t>
  </si>
  <si>
    <t>PLACA VIDEO DDR3 64B</t>
  </si>
  <si>
    <t>RTX 3050</t>
  </si>
  <si>
    <t>HD 4TB</t>
  </si>
  <si>
    <t>KIT CHURRASCO EM AÇO INOX 4 PEÇAS</t>
  </si>
  <si>
    <t>KA-6428</t>
  </si>
  <si>
    <t>COMBO NIGHTCMOAMREBO GAMER NIGHTMARE - TECLADO/MOUSE/HEADSET/MOUSEPAD - CLANM</t>
  </si>
  <si>
    <t>CL-C-J01</t>
  </si>
  <si>
    <t>01825</t>
  </si>
  <si>
    <t>D-ATX15</t>
  </si>
  <si>
    <t>CAIXA DE SOM IMENSO X41 PRO</t>
  </si>
  <si>
    <t>X41PRO</t>
  </si>
  <si>
    <t>CHAVE TIGRE</t>
  </si>
  <si>
    <t>BOM-1201</t>
  </si>
  <si>
    <t>PLACA DE VIDEO PCYES NVIDIA GEFORCE RTX 3050 6GB GDDR6  96BIT</t>
  </si>
  <si>
    <t>34 PÇS GUILHERME</t>
  </si>
  <si>
    <t>01826</t>
  </si>
  <si>
    <t>BICICLETA ELETRICA</t>
  </si>
  <si>
    <t>BK001</t>
  </si>
  <si>
    <t>KIT DE FERRAMENTAS COMPLETA 126PCS</t>
  </si>
  <si>
    <t>MONITOR LED 19 TRONOS TRS-HK19WY PRETO</t>
  </si>
  <si>
    <t>50 PÇS GUILHERME</t>
  </si>
  <si>
    <t>CANCELADO</t>
  </si>
  <si>
    <t>01831</t>
  </si>
  <si>
    <t>D-ATX05</t>
  </si>
  <si>
    <t>ESMERILHADEIRA ANGULAR 220V</t>
  </si>
  <si>
    <t>MONITOR LED 21.5 ENTERPRISE EPR22WR-75 FHD 75HZ PRETO</t>
  </si>
  <si>
    <t>06097</t>
  </si>
  <si>
    <t>02614</t>
  </si>
  <si>
    <t>PLACA MAE H310 PC</t>
  </si>
  <si>
    <t>SOPRADOR TERMICO 220V</t>
  </si>
  <si>
    <t>ALL IN ONE AOC A24E99-05 I5 124OP 16GB DDR4 512GB SSD</t>
  </si>
  <si>
    <t>BOM-9560</t>
  </si>
  <si>
    <t>PLACA DE VÍDEO DX RX580-8GD5HA DUEX</t>
  </si>
  <si>
    <t>IPHONE 17 PRO MAX 256GB LARANJA</t>
  </si>
  <si>
    <t>PLACA MÃE ASUS PRIME B550M-K ARGB DDR4 AM4</t>
  </si>
  <si>
    <t>IPHONE 17PRO 256GB AZUL</t>
  </si>
  <si>
    <t>MOP SPRAY COM RESERVATÓRIO</t>
  </si>
  <si>
    <t>I5 - 2400</t>
  </si>
  <si>
    <t>BOM- 7372</t>
  </si>
  <si>
    <t>06230</t>
  </si>
  <si>
    <t>PLACA MÃE ASUS PRIME A520M-R DDR4 AM4</t>
  </si>
  <si>
    <t>FECHADURA SMART FACIAL</t>
  </si>
  <si>
    <t>ALPHA-210</t>
  </si>
  <si>
    <t>I5 - 3570</t>
  </si>
  <si>
    <t>MANGUEIRA MAGICA JARDIM 22.5M</t>
  </si>
  <si>
    <t>PLACA MÃE ASUS PRIME B550M-A AC WIFI DDR4 AM4</t>
  </si>
  <si>
    <t>BOM- 7611</t>
  </si>
  <si>
    <t>CAIXA DE SOM AMPLIFICADA BLUETOOTH 15 900W</t>
  </si>
  <si>
    <t>HP-900</t>
  </si>
  <si>
    <t>PLACA MÃE ASUS TUF GAMING B850-E WIFI DDR5  AM5 WIFI190MB1L20-M0EAY0</t>
  </si>
  <si>
    <t>06098</t>
  </si>
  <si>
    <t>BOM-4222</t>
  </si>
  <si>
    <t>COOLER PARA GABINETE E CPU 1100 RPM</t>
  </si>
  <si>
    <t>G-VR309</t>
  </si>
  <si>
    <t>06123</t>
  </si>
  <si>
    <t>PENDRIVE CHAVEIRO 8GB PREMIUM</t>
  </si>
  <si>
    <t>ROTEADOR DE SINAL WI-FI</t>
  </si>
  <si>
    <t>KP-RW403</t>
  </si>
  <si>
    <t>MULTÍMETRO DIGITAL</t>
  </si>
  <si>
    <t>DDR4 8GB 2666 MHZ PC CLANM</t>
  </si>
  <si>
    <t>PENDRIVE CHAVEIRO 16GB PREMIUM</t>
  </si>
  <si>
    <t>SWITCH 16 PORTAS</t>
  </si>
  <si>
    <t>KP-PW005</t>
  </si>
  <si>
    <t>PENDRIVE CHAVEIRO 32GB PREMIUM</t>
  </si>
  <si>
    <t>09314</t>
  </si>
  <si>
    <t>ETIQUETAS ADESIVAS PARA IMPRESSÃO TERMICA</t>
  </si>
  <si>
    <t>KP-PP01</t>
  </si>
  <si>
    <t>09206</t>
  </si>
  <si>
    <t>08070</t>
  </si>
  <si>
    <t>SOFÁ POLTRONA INFLAVEL</t>
  </si>
  <si>
    <t>MC-53</t>
  </si>
  <si>
    <t>GT2000 - BICICLETA ELETRICA COM BATERIA DE IONS E MOTOR 1000W</t>
  </si>
  <si>
    <t>PRD03401</t>
  </si>
  <si>
    <t>06167</t>
  </si>
  <si>
    <t>08053</t>
  </si>
  <si>
    <t>FERRO DE SOLDAR 220V-30W</t>
  </si>
  <si>
    <t>BOM-9516</t>
  </si>
  <si>
    <t>06168</t>
  </si>
  <si>
    <t>CARREGADOR AUTOMOTIVO SMART 7KW 110V</t>
  </si>
  <si>
    <t>ALPHA-1307</t>
  </si>
  <si>
    <t>TRICICLO ELETRICO DESMONTADO, MODELO WSD-U1S TRICICLO</t>
  </si>
  <si>
    <t>193-WSD-U1S</t>
  </si>
  <si>
    <t>CARREGADOR AUTOMOTIVO SMART 22KW 250V</t>
  </si>
  <si>
    <t>ALPHA-1322</t>
  </si>
  <si>
    <t>SCOOTER ELETRICA PRETA</t>
  </si>
  <si>
    <t>03545</t>
  </si>
  <si>
    <t>TELA INTERATIVA TOUCH DE 75"</t>
  </si>
  <si>
    <t>D-DG75TI</t>
  </si>
  <si>
    <t>KAP-1001</t>
  </si>
  <si>
    <t>SCOOTER ELETRICA VERDE</t>
  </si>
  <si>
    <t>SUPORTE DE METAL PARA TELA INTERATIVA 60" - 86"</t>
  </si>
  <si>
    <t>D-ZJ04</t>
  </si>
  <si>
    <t>ADAPTADOR USB WIFI 802 , UB-06</t>
  </si>
  <si>
    <t>UB-06</t>
  </si>
  <si>
    <t>FONTE DE ALIMENTAÇÃO 12V PARA PARAFUSADEIRA BIVOLT</t>
  </si>
  <si>
    <t>BOM-5590</t>
  </si>
  <si>
    <t>SCOOTER ELETRICA BRANCA</t>
  </si>
  <si>
    <t>FERRO DE SOLDAR 220V-40W</t>
  </si>
  <si>
    <t>BOM-9517</t>
  </si>
  <si>
    <t>MISTURADOR DE TINTA 60*400MM</t>
  </si>
  <si>
    <t>BOM-5044</t>
  </si>
  <si>
    <t>DDR3 8GB NOT KINGSTON</t>
  </si>
  <si>
    <t>SUPORTE MESA P/ MONITOR ATE 26</t>
  </si>
  <si>
    <t>ISM-2026-B</t>
  </si>
  <si>
    <t>JOGO DE CHAVE CANHÃO SOQUETE 7 PÇS</t>
  </si>
  <si>
    <t>CHALEIRA TÉRMICA</t>
  </si>
  <si>
    <t>AVATRON</t>
  </si>
  <si>
    <t>KIT SERRA COPO 6 PÇS</t>
  </si>
  <si>
    <t>ASPIRADOR DE PO E AGUA 1400W 15 LITROS 220V</t>
  </si>
  <si>
    <t>BOM-7016</t>
  </si>
  <si>
    <t>PONTEIRA PROFISSIONAL IMANTADA COM LIMITADOR E METAL REFO</t>
  </si>
  <si>
    <t>PROJETOR BRAZILPC BPC-1080P M18-W 5000 LUMENS</t>
  </si>
  <si>
    <t>I5 - 10500</t>
  </si>
  <si>
    <t>06154</t>
  </si>
  <si>
    <t>DDR4 16GB 3200mhz BK PC - C/ DISSIPADOR DE CALOR PRETO - CLANM</t>
  </si>
  <si>
    <t>DDR4 8GB 3200mhz BK PC - C/ DISSIPADOR DE CALOR PRETO - CLANM</t>
  </si>
  <si>
    <t>DDR4 8GB 2666 FURY</t>
  </si>
  <si>
    <t>G-VR304</t>
  </si>
  <si>
    <t>DDR5 16GB 6000XMP PC - C/ DISSIPADOR DE CALOR BRANCO - CLANM</t>
  </si>
  <si>
    <t>08088</t>
  </si>
  <si>
    <t>MESA GAMER</t>
  </si>
  <si>
    <t>DELTA-M1203Y</t>
  </si>
  <si>
    <t>CORTADOR DE CERCA-VIVA 21V</t>
  </si>
  <si>
    <t>BOM-9113</t>
  </si>
  <si>
    <t>SCOOTER R13 PRETA</t>
  </si>
  <si>
    <t>R13</t>
  </si>
  <si>
    <t>ESTILETE DOBRAVEL</t>
  </si>
  <si>
    <t>BOM-3303</t>
  </si>
  <si>
    <t>04625</t>
  </si>
  <si>
    <t>PLACA MAE H610 LGA1151 M.2 SSD 12/13/14GEN</t>
  </si>
  <si>
    <t>MINI SOPRADOR TURBO COM FUNÇÃO DE ASPIRAÇÃO</t>
  </si>
  <si>
    <t>BOM-9729</t>
  </si>
  <si>
    <t>LANTERNA DE CABEÇA</t>
  </si>
  <si>
    <t>BOM-4004</t>
  </si>
  <si>
    <t>ABRACADEIRA NYLON ENFORCA GATO 7.6*400MM</t>
  </si>
  <si>
    <t>BOM-5510</t>
  </si>
  <si>
    <t>BOM-6541</t>
  </si>
  <si>
    <t>FILTRO DE LINHA PREMIUM 6 TOMADAS PRETO</t>
  </si>
  <si>
    <t>JOGO DE CHAVE FIXA 8 A 19MM 6PÇS</t>
  </si>
  <si>
    <t>ELETRO G2</t>
  </si>
  <si>
    <t>ABRACADEIRA NYLON ENFORCA GATO 7.6*350MM</t>
  </si>
  <si>
    <t>06282</t>
  </si>
  <si>
    <t>JOGO DE FERRAMENTAS C/ 200 PÇS</t>
  </si>
  <si>
    <t>CAMERA PRO IP PTZ EXTERNA</t>
  </si>
  <si>
    <t>ALPHA-1122</t>
  </si>
  <si>
    <t>ABRACADEIRA NYLON ENFORCA GATO 4.8*200MM BRANCO</t>
  </si>
  <si>
    <t>BOM-5503</t>
  </si>
  <si>
    <t>BOM-6543</t>
  </si>
  <si>
    <t>MOTOSERRA A GASOLINA 40CC 16"</t>
  </si>
  <si>
    <t>ABRACADEIRA NYLON ENFORCA GATO 2.5*100MM PRETO</t>
  </si>
  <si>
    <t>BOM-5502</t>
  </si>
  <si>
    <t>SERRA MARMORE 1200W 110V</t>
  </si>
  <si>
    <t>MEDIDOR DIGITAL DE PROFUNDIDADE DE SULCO DE PNEU</t>
  </si>
  <si>
    <t>BOM-6519</t>
  </si>
  <si>
    <t>ABRACADEIRA DE NYLON 4.8MMx500MM ENFORCA GATO 100PÇS</t>
  </si>
  <si>
    <t>BOM-5499</t>
  </si>
  <si>
    <t>DDR4 16GB 3200MHZ - CLANM</t>
  </si>
  <si>
    <t>KIT DE CHAVES SOQUETES 40PÇS 1/4 E 3/8</t>
  </si>
  <si>
    <t>GRAMPEADOR PNEUMÁTICO PROFISSIONAL 10 A 22MM</t>
  </si>
  <si>
    <t>BOM-8011</t>
  </si>
  <si>
    <t>ABRACADEIRA DE NYLON 4.8MMx400MM ENFORCA GATO 100PÇS</t>
  </si>
  <si>
    <t>BOMBA DEAR COMPRESSOR DIGITAL PORTATIL COM LED E POWERBANK</t>
  </si>
  <si>
    <t>BOM-8906</t>
  </si>
  <si>
    <t>TORNEIRA MISTURADOR MONOCOMANDO COM BICA EXTENSIVEL 1/2"</t>
  </si>
  <si>
    <t>MÁQUINA DE SOLDA 110A INVERSORA 220V</t>
  </si>
  <si>
    <t>BOM-2024</t>
  </si>
  <si>
    <t>09559</t>
  </si>
  <si>
    <t>ROTEADOR ROUTER BOARD E50UG HEX - MIKROTIK</t>
  </si>
  <si>
    <t>PIPOQUEIRA ELETRICA 110V</t>
  </si>
  <si>
    <t>USO E CONSUMO</t>
  </si>
  <si>
    <t>ON-PP601</t>
  </si>
  <si>
    <t>06180</t>
  </si>
  <si>
    <t>09546</t>
  </si>
  <si>
    <t>TABLET RG-TB08</t>
  </si>
  <si>
    <t>RG-TB08</t>
  </si>
  <si>
    <t>DISCO DE ARMAZENAMENTO DE DADOS 500GB</t>
  </si>
  <si>
    <t>ON-FT103</t>
  </si>
  <si>
    <t>KP-HD830</t>
  </si>
  <si>
    <t xml:space="preserve">NVME 512GB </t>
  </si>
  <si>
    <t>ALL IN ONE 7013 CONCÓRDIA I3 10105, 8GB, 256 SSD, WIFI</t>
  </si>
  <si>
    <t>TRIANGULAÇÃO</t>
  </si>
  <si>
    <t>CONCÓRDIA</t>
  </si>
  <si>
    <t>FURADEIRA DE IMPACTO 21V 50 N.M</t>
  </si>
  <si>
    <t>BOM-9974</t>
  </si>
  <si>
    <t>SSD120GB</t>
  </si>
  <si>
    <t>ALL IN ONE 7013 CONCÓRDIA I3 10105, 8GB, 256 SSD, WIFI, PRETO</t>
  </si>
  <si>
    <t>I5 - 10400</t>
  </si>
  <si>
    <t>MAQUINA DE SOLDA 220V</t>
  </si>
  <si>
    <t>BOM-9574</t>
  </si>
  <si>
    <t>ANTIVIRUS MCAFEE 1 PC LICENÇA FULL 1 ANO MAB11BNR1 - CONCÓRDIA</t>
  </si>
  <si>
    <t>I5 - 10505</t>
  </si>
  <si>
    <t>LIMPA CONTATO</t>
  </si>
  <si>
    <t>W-MAS</t>
  </si>
  <si>
    <t>I5 - 10600</t>
  </si>
  <si>
    <t>MOUSE LED COM FIO RESOLUÇÃO 800/1200/1600 CABO1.2M</t>
  </si>
  <si>
    <t>KA-642</t>
  </si>
  <si>
    <t>02583</t>
  </si>
  <si>
    <t>PELICULA NANOTECH HD NEW EDITION 3 GERAÇÃO 180X120MM</t>
  </si>
  <si>
    <t>RADIO PORTATIL BLUETOOTH/USB</t>
  </si>
  <si>
    <t>D-X011</t>
  </si>
  <si>
    <t>AMET</t>
  </si>
  <si>
    <t>SSD 1TB MACROVIP</t>
  </si>
  <si>
    <t>HD SSD</t>
  </si>
  <si>
    <t>PELICULA NANOTECH MATTE NEW EDITION 3 GERAÇÃO 180X120MM</t>
  </si>
  <si>
    <t>KIT DE FERRAMENTAS 182 PÇS C/ MALA DE FERRAMENTAS</t>
  </si>
  <si>
    <t>BOM-3929</t>
  </si>
  <si>
    <t>SSD 1TB GENERICO</t>
  </si>
  <si>
    <t>PELICULA XTREME PRIVACIDADE 180X120MM</t>
  </si>
  <si>
    <t>SABRE DE MOTOSSERRA</t>
  </si>
  <si>
    <t>BOM-5635</t>
  </si>
  <si>
    <t>MINI MOTOSSERRA PORTATIL A BATERIA 6"</t>
  </si>
  <si>
    <t>LICENÇA ETIQUETA WINDOWS 11 PRO 64BITS FQC-10520</t>
  </si>
  <si>
    <t>01883</t>
  </si>
  <si>
    <t>09599</t>
  </si>
  <si>
    <t>GABINETE &amp; PC</t>
  </si>
  <si>
    <t>D-PC5301</t>
  </si>
  <si>
    <t>TECNOLOGIA EM COMUNICAÇÃO E ENTRETERIMENTO</t>
  </si>
  <si>
    <t>RG-TB08-V2</t>
  </si>
  <si>
    <t>TONER COMPATÍVEL TI-410X 6K P3010 M7200 600P M6700D PRETO</t>
  </si>
  <si>
    <t>01919</t>
  </si>
  <si>
    <t>DDR5 16GB 6000XMP BK RGB PC</t>
  </si>
  <si>
    <t>DDR5 16GB BK</t>
  </si>
  <si>
    <t>KIT FAN P/ GABINETE</t>
  </si>
  <si>
    <t>G-VR346</t>
  </si>
  <si>
    <t>MULTIFUNCIONAL EPSON ECOTANK L3250</t>
  </si>
  <si>
    <t>PC DDR4 16GB 3200 BK MEMORIA RAM - PC DDR4 16GB 3200mhz BK CALOR PRETO - CLANM</t>
  </si>
  <si>
    <t xml:space="preserve">DDR3 1600 8GB </t>
  </si>
  <si>
    <t>DDR5 16GB 6000XMP WT RGB PC</t>
  </si>
  <si>
    <t>DDR5 16GB WT</t>
  </si>
  <si>
    <t>PC DDR4 16GB 3200 WT MREGMBORIA RAM - PC DDR4 16GB 3200mhz DE CALOR BRANCO RGB - CLANM</t>
  </si>
  <si>
    <t>PC DDR4 8GB 3200 BK MEMORIA RAM - PC DDR4 8GB 3200mhz BK CALOR PRETO - CLANM</t>
  </si>
  <si>
    <t>HD 1TB PURPLE</t>
  </si>
  <si>
    <t>00698</t>
  </si>
  <si>
    <t>HWS-LCD3146-B</t>
  </si>
  <si>
    <t>PC DDR5 16GB 6000 WTMEMORIA RAM - PC DDR5 16GB 6000XMP CALOR BRANCO - CLANM</t>
  </si>
  <si>
    <t>HD 8TB PURPLE</t>
  </si>
  <si>
    <t>MEMÓRIA DDR4 32GB</t>
  </si>
  <si>
    <t>XD-04</t>
  </si>
  <si>
    <t>DDR4 32GB</t>
  </si>
  <si>
    <t>FÁBIO PIA</t>
  </si>
  <si>
    <t>MEMÓRIA DDR4 16GB</t>
  </si>
  <si>
    <t>LE-610</t>
  </si>
  <si>
    <t>LE-2442</t>
  </si>
  <si>
    <t>NVME 1TB</t>
  </si>
  <si>
    <t>08175</t>
  </si>
  <si>
    <t>LE-0262</t>
  </si>
  <si>
    <t>SOPRADOR A GASOLINA 58CC</t>
  </si>
  <si>
    <t>BOM-9218</t>
  </si>
  <si>
    <t>CABO DE FORÇA P/ RADIO/TV</t>
  </si>
  <si>
    <t>LE-26</t>
  </si>
  <si>
    <t>SERRA DE ROLOS DE BANCADA 300MM 120W BIVOLT</t>
  </si>
  <si>
    <t>BOM-9756</t>
  </si>
  <si>
    <t>PILHA COMUM AA R06 EM CX C/36 TUBOS 60PCS</t>
  </si>
  <si>
    <t>LE-7999-1</t>
  </si>
  <si>
    <t>PLAINA DESEMPENADEIRA ELETRICA P/ MADEIRA 13" 2300W 127V</t>
  </si>
  <si>
    <t>BOM-9675</t>
  </si>
  <si>
    <t>FITA AMARELA 300M</t>
  </si>
  <si>
    <t>BOM-1339</t>
  </si>
  <si>
    <t>PILHA COMUM AAA R03 EM CX C/36 TUBOS 60PÇS</t>
  </si>
  <si>
    <t>LE-7999-2</t>
  </si>
  <si>
    <t>KIT RETIFICA ELETRICA 110V 44PÇS</t>
  </si>
  <si>
    <t>BOM-9603</t>
  </si>
  <si>
    <t>TRIPE DE NIVEL 1.5M</t>
  </si>
  <si>
    <t>BOM-6805</t>
  </si>
  <si>
    <t>SC-B17</t>
  </si>
  <si>
    <t>PLAINA DESEMPENADEIRA ELETRICA DE BANCADA C/ BASE 8" 2000W 127V</t>
  </si>
  <si>
    <t>BOM-9673</t>
  </si>
  <si>
    <t>VALVULA DE ESCOAMENTO PARA LAVATORIO 7/8" SEM LADAO</t>
  </si>
  <si>
    <t>BOM-2356</t>
  </si>
  <si>
    <t>CARREGADOR VEICULAR 1 USB PD 48W</t>
  </si>
  <si>
    <t>LE-535</t>
  </si>
  <si>
    <t>FORMAO SDS PLUS 14MM*250MM</t>
  </si>
  <si>
    <t>BOM-1252</t>
  </si>
  <si>
    <t>CORTADORA DE CONCRETO A GASOLINA 74CC</t>
  </si>
  <si>
    <t>BOM-9261</t>
  </si>
  <si>
    <t>CONVERSOR HUB USB 3.0 C/ ENTRADA 4 PORTAS</t>
  </si>
  <si>
    <t>LE-4052</t>
  </si>
  <si>
    <t>06319</t>
  </si>
  <si>
    <t>SERRA DE ESQUADRIA 1250W 210MM 110V</t>
  </si>
  <si>
    <t>BOM-9639</t>
  </si>
  <si>
    <t>MACACO MECANICO MANUAL 2T 95-387MM</t>
  </si>
  <si>
    <t>BOM-1543</t>
  </si>
  <si>
    <t>04721</t>
  </si>
  <si>
    <t>KIT DE ADAPTADORES PARA MANDRIL E FURADEIRA DE IMPACTO 4PÇS</t>
  </si>
  <si>
    <t>BOM-5026</t>
  </si>
  <si>
    <t>09621</t>
  </si>
  <si>
    <t>SWITCH 5 PORTAS</t>
  </si>
  <si>
    <t>SACA ROLAMENTO DE 3 GARRAS 6"</t>
  </si>
  <si>
    <t xml:space="preserve">GUILHERME </t>
  </si>
  <si>
    <t>KP-SW105</t>
  </si>
  <si>
    <t>BOM-5928</t>
  </si>
  <si>
    <t>04012</t>
  </si>
  <si>
    <t>GATILHO PARA DUCHA HIGIENICA 1/2</t>
  </si>
  <si>
    <t>SWITCH 8 PORTAS</t>
  </si>
  <si>
    <t>KP-916</t>
  </si>
  <si>
    <t>KP-SW106</t>
  </si>
  <si>
    <t>BOM-2174</t>
  </si>
  <si>
    <t xml:space="preserve">LAVADORA DE PRESSAO PORTATIL A BATERIA </t>
  </si>
  <si>
    <t>CABO CONVERSOR HDMI X 3 RCA 1.5M</t>
  </si>
  <si>
    <t>KP-YP5022 1.5</t>
  </si>
  <si>
    <t>YBF</t>
  </si>
  <si>
    <t>KP-RW406G</t>
  </si>
  <si>
    <t>PLACA DE VÍDEO GT730 - 4GB</t>
  </si>
  <si>
    <t>G-GT730/4G</t>
  </si>
  <si>
    <t>MINI IMPRESSORA TERMICA PORTATIL USB</t>
  </si>
  <si>
    <t>KP-1025</t>
  </si>
  <si>
    <t>FIRE TV STICK 4K MAX 16GB WIFI 6E</t>
  </si>
  <si>
    <t>MANDRIL C/ CHAVE 3/8*24F ROSCA</t>
  </si>
  <si>
    <t>LENA WJR</t>
  </si>
  <si>
    <t>BOM-5017</t>
  </si>
  <si>
    <t>BASE PARA NOTEBOOK DE PLASTICO</t>
  </si>
  <si>
    <t>OR-9012 (6G)</t>
  </si>
  <si>
    <t>SSD SATA 240GB PATRIOT</t>
  </si>
  <si>
    <t>LUMINARIA JARDIM COM PLACA SOLAR ESPETO (1PCT C/ 6PCS)</t>
  </si>
  <si>
    <t>SUPORTE AUTOMOTIVO PARA SMARTPHONE</t>
  </si>
  <si>
    <t>OR-SP21 (6G)</t>
  </si>
  <si>
    <t>I7 - 2600</t>
  </si>
  <si>
    <t>SSD SATA 1.92GB PATRIOT</t>
  </si>
  <si>
    <t>DOCKSTANTION VERTICAL PARA HDS DE 2,5 E 3,5 USB 2.0</t>
  </si>
  <si>
    <t>KP-HD819</t>
  </si>
  <si>
    <t>SSD NVME 500GB LEXAR NM610 PRO</t>
  </si>
  <si>
    <t>MONITOR LED 20' TRONOS TRS-20WV 75HZ PRETO</t>
  </si>
  <si>
    <t>DOCKSTANTION VERTICAL PARA HDS DE 2,5 E 3,5 USB 3.0</t>
  </si>
  <si>
    <t>KP-HD820</t>
  </si>
  <si>
    <t>FONTE DE ALIMENTAÇÃO P/ PC (ATX 1000W)</t>
  </si>
  <si>
    <t>FO-MAX10 (6G)</t>
  </si>
  <si>
    <t>PLACA MAE DESK 1150 BPC-H81-ITX-M.2</t>
  </si>
  <si>
    <t>KP-S03</t>
  </si>
  <si>
    <t>06436</t>
  </si>
  <si>
    <t xml:space="preserve">LANTERNA DE TRABALHO RECARREGAVEL COM BASE MAGNETICA </t>
  </si>
  <si>
    <t>BOM-4236</t>
  </si>
  <si>
    <t>ADAPTADOR WIRELESS USB DUAL BAND</t>
  </si>
  <si>
    <t>KP-AW161</t>
  </si>
  <si>
    <t>06355</t>
  </si>
  <si>
    <t xml:space="preserve">CAIXA DE SOM COMPUTADOR </t>
  </si>
  <si>
    <t>ACS-4511</t>
  </si>
  <si>
    <t>KIT COM 100PCS - PINOS DE 42MM COM ARRUELA PARA PISTOLA DE FIXACAO A PINO</t>
  </si>
  <si>
    <t>BOM-5372</t>
  </si>
  <si>
    <t>AUXILIAR DE PARTIDA E COMPRESSOR PORTATIL VEICULAR</t>
  </si>
  <si>
    <t>BOM-8910</t>
  </si>
  <si>
    <t>DDR4 8GB 3200MHZ</t>
  </si>
  <si>
    <t>FONTE DE ALIMENTAÇAO 21V PARA PARAFUSADEIRA BIVOLT</t>
  </si>
  <si>
    <t>BOM-5591</t>
  </si>
  <si>
    <t>082026</t>
  </si>
  <si>
    <t>PLACA MÃE B450M2K</t>
  </si>
  <si>
    <t>DELTA-B450M2K</t>
  </si>
  <si>
    <t>BATERIA DE IONS DE LITIO PARA FERRAMENTAS ELETRICAS 1.5AH 21V - 5CELULAS</t>
  </si>
  <si>
    <t>BOM-5595</t>
  </si>
  <si>
    <t>03617</t>
  </si>
  <si>
    <t xml:space="preserve">NIVEL A LASER COM 12 LINHAS </t>
  </si>
  <si>
    <t>D-ATX09</t>
  </si>
  <si>
    <t>D-MATX10</t>
  </si>
  <si>
    <t>PLACA MÃE H511 LGA1200</t>
  </si>
  <si>
    <t xml:space="preserve">SWITCH HUB 8 PORTAS </t>
  </si>
  <si>
    <t>KP-E08B</t>
  </si>
  <si>
    <t>06334</t>
  </si>
  <si>
    <t>FONTE ALIMENTAÇÃO P/ NOTEBOOK (CARREGADOR)</t>
  </si>
  <si>
    <t>KP-525A+</t>
  </si>
  <si>
    <t>PLACA DE VÍDEO GT705 PC (2GB/64BIT)</t>
  </si>
  <si>
    <t>GT705/2G</t>
  </si>
  <si>
    <t>08218</t>
  </si>
  <si>
    <t>KA-8502</t>
  </si>
  <si>
    <t>UB-5G</t>
  </si>
  <si>
    <t>06512</t>
  </si>
  <si>
    <t>06607</t>
  </si>
  <si>
    <t>06359</t>
  </si>
  <si>
    <t>06551</t>
  </si>
  <si>
    <t>SSD 128GB 2-5</t>
  </si>
  <si>
    <t>KP-SS128</t>
  </si>
  <si>
    <t>09670</t>
  </si>
  <si>
    <t>CABO USB 2.0 AXB P/ IMPRESSORA 3M</t>
  </si>
  <si>
    <t>KP-5001 3M</t>
  </si>
  <si>
    <t>SSD 256GB 2-5</t>
  </si>
  <si>
    <t>MINI MOTOSSERRA PORTATIL A BATERIA 4"</t>
  </si>
  <si>
    <t>KP-SS256</t>
  </si>
  <si>
    <t>02650</t>
  </si>
  <si>
    <t>SSD 512G</t>
  </si>
  <si>
    <t>MONITOR LED 19" RESOLUÇÃO 1140*900</t>
  </si>
  <si>
    <t>KP-SS512</t>
  </si>
  <si>
    <t>D-MN002</t>
  </si>
  <si>
    <t>i7 - 12700</t>
  </si>
  <si>
    <t>i7-12700</t>
  </si>
  <si>
    <t>DDR4 8GB 26666MHZ MEMORIA RAM</t>
  </si>
  <si>
    <t>KP-HD817</t>
  </si>
  <si>
    <t>MONITOR LED 21.5" RESOLUÇÃO 1920*1080</t>
  </si>
  <si>
    <t>D-MN003</t>
  </si>
  <si>
    <t>i7 - 12700K</t>
  </si>
  <si>
    <t>i7-12700K</t>
  </si>
  <si>
    <t>MONITOR LED 24" RESOLUÇÃO 1920*1080</t>
  </si>
  <si>
    <t>D-MN004</t>
  </si>
  <si>
    <t>PROCESSADOR AMD RYZEN 5 5500 3.6 GHZ (4.2 GHZ) 6 NUCLEOS 19MB AM4 COM COOLER</t>
  </si>
  <si>
    <t>44016/1</t>
  </si>
  <si>
    <t>FITA COB IP20 127V ROLO 10M 127 V SEM FONTE BQ</t>
  </si>
  <si>
    <t>JKTC (LED)</t>
  </si>
  <si>
    <t>09813</t>
  </si>
  <si>
    <t>CADEIRA DE ESCRITÓRIO</t>
  </si>
  <si>
    <t>DDR5 16GB 6000XMP BK RGB PC - C/ DISSIPADOR DE CALOR PRETO RGB - CLANM</t>
  </si>
  <si>
    <t>HD 500GB US PC</t>
  </si>
  <si>
    <t>AMANDA (CRIATIVA)</t>
  </si>
  <si>
    <t>DDR5 16GB 6000XMP WT RGB PC - C/ DISSIPADOR DE CALOR BRANCO RGB - CLANM</t>
  </si>
  <si>
    <t>HD 1TB US PC</t>
  </si>
  <si>
    <t>04811</t>
  </si>
  <si>
    <t>FONTE DE ALIMENTAÇAO 80PLUS BRONZE AUTOMATICO 550W</t>
  </si>
  <si>
    <t>5200/2573</t>
  </si>
  <si>
    <t>DELTA-F550</t>
  </si>
  <si>
    <t>JBLBANDBOXTRIOBR</t>
  </si>
  <si>
    <t>06585</t>
  </si>
  <si>
    <t>PLACA MÃE B550</t>
  </si>
  <si>
    <t>G-B550</t>
  </si>
  <si>
    <t>FO-MAX08</t>
  </si>
  <si>
    <t>FO-MAX10</t>
  </si>
  <si>
    <t>JOGO DE SOQUETES 1/2" C/ REVERSIVEL COMBINADAS 37PÇS</t>
  </si>
  <si>
    <t>PIPOQUEIRA 127V</t>
  </si>
  <si>
    <t xml:space="preserve">CABO DE VIDEO VGA X VGA 1.8M </t>
  </si>
  <si>
    <t>KP-YP5002</t>
  </si>
  <si>
    <t>PLACA T118 PCI-EXPRESS PARA REDE SEM FIO</t>
  </si>
  <si>
    <t>CABO CHUPETA TRANSMISSÃO 800AMP 2.2M</t>
  </si>
  <si>
    <t>04884</t>
  </si>
  <si>
    <t>ADAPTADOR WIFI+BLUETOOTH USB HQ</t>
  </si>
  <si>
    <t>VIDEO BALUN</t>
  </si>
  <si>
    <t>SIGMA-P101</t>
  </si>
  <si>
    <t xml:space="preserve">LICENÇA WINDOWS 11 PRO SELO  </t>
  </si>
  <si>
    <t>04886</t>
  </si>
  <si>
    <t>03658</t>
  </si>
  <si>
    <t>MÁQUINA AUTOMATICA PARA PROCESSAMENTO DE DADOS</t>
  </si>
  <si>
    <t>06644</t>
  </si>
  <si>
    <t>04883</t>
  </si>
  <si>
    <t>KIT DE JOGO DE SOQUETES C/ ENCAIXE DE 1/2" 12PE</t>
  </si>
  <si>
    <t>MONITOR LED 21.5 22WR-75 FHD 75HZ PRETO</t>
  </si>
  <si>
    <t>LUMINÁRIA JARDIM COM PLACA SOLAR ESPETO (1PCT=6PCS)</t>
  </si>
  <si>
    <t>JOGO DE SOQUETES 1/2" CATRACA REVERSIVEL 22PÇS</t>
  </si>
  <si>
    <t>06659</t>
  </si>
  <si>
    <t xml:space="preserve">LANTERNA DE CABECA COB RECARREGAVEL USB </t>
  </si>
  <si>
    <t>BOM-4005</t>
  </si>
  <si>
    <t>KIT DE SERRA MARMORE E ESMERILHADEIRA 220V 650/900W 2EM1</t>
  </si>
  <si>
    <t>BOM-9602</t>
  </si>
  <si>
    <t>09908</t>
  </si>
  <si>
    <t>TRENA FITA MÉTRICA DIGITAL COM NÍVEL A LASER</t>
  </si>
  <si>
    <t>CASE SATA HD (3.5)</t>
  </si>
  <si>
    <t>KP-HD002</t>
  </si>
  <si>
    <t>TRENA FITA METRICA DIGITAL C/ NIVEL A LASER 40M</t>
  </si>
  <si>
    <t>UNIDADE DE CONVERSÃO DE SINAIS USB 3.0 (3.5)</t>
  </si>
  <si>
    <t>KP-HD004</t>
  </si>
  <si>
    <t>UNIDADE DE CONVERSÃO DE SINAIS USB 3.0 (2.5)</t>
  </si>
  <si>
    <t>KP-HD003</t>
  </si>
  <si>
    <t>MOUSE C/ FIO LED 1,2M RESOLUÇÃO 800/1200/1600/2400</t>
  </si>
  <si>
    <t>DISCO REBOLO DESBASTE DIAMANTADO TURBO CONCRETO 115MM</t>
  </si>
  <si>
    <t>KA-643</t>
  </si>
  <si>
    <t>BOM-5120</t>
  </si>
  <si>
    <t>JOAO BATISTA</t>
  </si>
  <si>
    <t>00723</t>
  </si>
  <si>
    <t>LUMINÁRIA DE PAREDE</t>
  </si>
  <si>
    <t>HF-BD0017</t>
  </si>
  <si>
    <t>SÁVIO</t>
  </si>
  <si>
    <t>TERMOMETRO DIGITAL INFRAVERMELHO MIRA LASER</t>
  </si>
  <si>
    <t>REPRESENTANTE JOÃO B. FICARÁ COM 4 UNIDADES</t>
  </si>
  <si>
    <t>BOM-6701</t>
  </si>
  <si>
    <t>MINI CAIXA DE SOM BLUETOOTH</t>
  </si>
  <si>
    <t>HF-BD0027</t>
  </si>
  <si>
    <t>DETECTOR DE METAIS 5 EM 1</t>
  </si>
  <si>
    <t>BOM-6816</t>
  </si>
  <si>
    <t>TECLADO BLUETOOTH 28,5*18CM</t>
  </si>
  <si>
    <t>KA-690A</t>
  </si>
  <si>
    <t>HF-BD0003</t>
  </si>
  <si>
    <t>TRANSFORMADOR 2000VA BIVOLT</t>
  </si>
  <si>
    <t>BOM-9303</t>
  </si>
  <si>
    <t>TECLADO BLUETOOTH DOBRAVEL</t>
  </si>
  <si>
    <t>KA-690K</t>
  </si>
  <si>
    <t>HF-BD0016</t>
  </si>
  <si>
    <t>TRANSFORMADOR 5000VA BIVOLT</t>
  </si>
  <si>
    <t>BOM-9305</t>
  </si>
  <si>
    <t>TECLADO DOBRÁVEL E MOUSE S/ FIO BT</t>
  </si>
  <si>
    <t>HF-BD0021</t>
  </si>
  <si>
    <t>KA-668C</t>
  </si>
  <si>
    <t>HF-BD0007</t>
  </si>
  <si>
    <t>CONVERSOR VGA-HDMI</t>
  </si>
  <si>
    <t>KPA-V078</t>
  </si>
  <si>
    <t>HF-BD0001</t>
  </si>
  <si>
    <t>PENDRIVE USB DE 16GB COM INTERFACE DUPLA</t>
  </si>
  <si>
    <t>KA-R-16</t>
  </si>
  <si>
    <t xml:space="preserve">CABO VGA+VGA 1.8M </t>
  </si>
  <si>
    <t>LE-12-2</t>
  </si>
  <si>
    <t>KIT SACA PARAFUSOS 5PÇS</t>
  </si>
  <si>
    <t>BOM-5203</t>
  </si>
  <si>
    <t>PENDRIVE USB DE 8GB COM INTERFACE DUPLA</t>
  </si>
  <si>
    <t>KA-R-8</t>
  </si>
  <si>
    <t>MINI LASER PROJETOR P/ FESTA C/ 6 TROCA IMAGEM</t>
  </si>
  <si>
    <t>KA-1039</t>
  </si>
  <si>
    <t xml:space="preserve">FONTE DE ALIMENTAÇÃO REGULADA UNIVERSAL </t>
  </si>
  <si>
    <t>KAP-C115</t>
  </si>
  <si>
    <t>06744</t>
  </si>
  <si>
    <t xml:space="preserve">CADEADO DE AÇO DE 30MM </t>
  </si>
  <si>
    <t>H2741</t>
  </si>
  <si>
    <t>05596</t>
  </si>
  <si>
    <t>06657</t>
  </si>
  <si>
    <t>BOMBA ELETRICA RECARREGAVEL P/ GALÕES DE AGUA</t>
  </si>
  <si>
    <t>ON-TA04</t>
  </si>
  <si>
    <t>MOTOSSERRA ELETRIC DE 12"</t>
  </si>
  <si>
    <t>BOM-9104</t>
  </si>
  <si>
    <t>KIT DE UTENSILIOS DE SILICONE PARA COZINHA</t>
  </si>
  <si>
    <t>ON-LD004</t>
  </si>
  <si>
    <t>BOM-8923</t>
  </si>
  <si>
    <t>LU</t>
  </si>
  <si>
    <t>08421</t>
  </si>
  <si>
    <t>VARAL DE LUZES DE LED SOLAR</t>
  </si>
  <si>
    <t>LAMINA DE CORTE (IMP)</t>
  </si>
  <si>
    <t>ON-LU118</t>
  </si>
  <si>
    <t>06671</t>
  </si>
  <si>
    <t>PLACA MÃE B250 PC DESKTOP</t>
  </si>
  <si>
    <t>ON-CL200/110</t>
  </si>
  <si>
    <t>MOTOSSERRA ELETRIC DE 12'</t>
  </si>
  <si>
    <t>GARRAFA TÉRMICA</t>
  </si>
  <si>
    <t>ON-LD045</t>
  </si>
  <si>
    <t>i3 - 3220 DUAL-CORE 3.3GHZ LGA 1155</t>
  </si>
  <si>
    <t>i3-3220</t>
  </si>
  <si>
    <t>02668</t>
  </si>
  <si>
    <t>APARELHO RECPTOR DE RADIO DIFUSÃO</t>
  </si>
  <si>
    <t>D-3204</t>
  </si>
  <si>
    <t>i3 - 8100</t>
  </si>
  <si>
    <t>i3-8100</t>
  </si>
  <si>
    <t>HD 4TB PURPLE</t>
  </si>
  <si>
    <t>RADIO PORTATIL FM/AM/USB</t>
  </si>
  <si>
    <t>01990</t>
  </si>
  <si>
    <t>D-1602</t>
  </si>
  <si>
    <t xml:space="preserve">i5 - 8500 DESKTOP </t>
  </si>
  <si>
    <t>D-MATX07</t>
  </si>
  <si>
    <t>i7 - 4790 QUAD CORE 3.4GHZ LGA 1150</t>
  </si>
  <si>
    <t>MONITOR LED 15,6" POTENCIA 10W/12V</t>
  </si>
  <si>
    <t>D-TELA03</t>
  </si>
  <si>
    <t>077498</t>
  </si>
  <si>
    <t>i3 - 3220 INTEL CORE</t>
  </si>
  <si>
    <t>D-Y03</t>
  </si>
  <si>
    <t>MOUSE GAMER START - 1200 DPI - COM FIO</t>
  </si>
  <si>
    <t>015-0086</t>
  </si>
  <si>
    <t>i3 - 8100 INTEL CORE LGA 1151</t>
  </si>
  <si>
    <t>D-X612</t>
  </si>
  <si>
    <t>i5 - 8500 LGA 1151</t>
  </si>
  <si>
    <t>D-G228</t>
  </si>
  <si>
    <t>i7 - 6700 LGA 1151</t>
  </si>
  <si>
    <t>015-0079</t>
  </si>
  <si>
    <t>i7-6700</t>
  </si>
  <si>
    <t>D-G700</t>
  </si>
  <si>
    <t>ASPIRADOR PORTATIL</t>
  </si>
  <si>
    <t>D-K003</t>
  </si>
  <si>
    <t>KIT JOGO DE FERRAMENTAS 148 PCS</t>
  </si>
  <si>
    <t>BOM-3916</t>
  </si>
  <si>
    <t>MUSICAL LED LAMP</t>
  </si>
  <si>
    <t>PROTETOR ABAFADOR DE RUÍDOS TIPO CONCHA</t>
  </si>
  <si>
    <t>D-LY06</t>
  </si>
  <si>
    <t>BOM-7411</t>
  </si>
  <si>
    <t>NIVEL DIGITAL COM LASER E MEDIDOR DE ANGULO</t>
  </si>
  <si>
    <t>BOM-6817</t>
  </si>
  <si>
    <t>TRINCO FERROLHO REDONDO DE AÇO 4"</t>
  </si>
  <si>
    <t>MONITOR LED 19" BRAZIL PC BPC-19WE02-B PRETO</t>
  </si>
  <si>
    <t>BOM-2707</t>
  </si>
  <si>
    <t>TRIPE DE NIVEL 1.2M</t>
  </si>
  <si>
    <t>BOM-6804</t>
  </si>
  <si>
    <t>CHAVE AJUSTAVEL 10"</t>
  </si>
  <si>
    <t>BOM-1286</t>
  </si>
  <si>
    <t>PELÍCULA NANOTECH HD NEW EDITION 3 GERAÇÃO 180X120MM</t>
  </si>
  <si>
    <t>LUCI</t>
  </si>
  <si>
    <t>BINÁRIO</t>
  </si>
  <si>
    <t>KIT CHAVE TORX 12PCS PARA CELULAR</t>
  </si>
  <si>
    <t>BOM-3113</t>
  </si>
  <si>
    <t>DDR4 16GB 3200mhz WT RGB PC - C/ DISSIPADOR DE CALOR BRANCO RGB - CLANM</t>
  </si>
  <si>
    <t>08448</t>
  </si>
  <si>
    <t>DDR4 8GB 2666MHZ DESK</t>
  </si>
  <si>
    <t>PLACA DE VÍDEO RX560 XT 6GB DDR6</t>
  </si>
  <si>
    <t>09831</t>
  </si>
  <si>
    <t>JOSE AUGUSTO</t>
  </si>
  <si>
    <t>DELTA-RX560XT</t>
  </si>
  <si>
    <t>PEDIDO LUCI FUNCIONÁRIA</t>
  </si>
  <si>
    <t>KIT DE CHAVES SOQUETES C/ 40PÇS 1/4 E 3/8</t>
  </si>
  <si>
    <t>CAIXA DE SOM 200W</t>
  </si>
  <si>
    <t>IMS-X73</t>
  </si>
  <si>
    <t>CAMISETA SELEÇÃO BRASILEIRA</t>
  </si>
  <si>
    <t xml:space="preserve">SMARTWATCH </t>
  </si>
  <si>
    <t>IMS-757-A</t>
  </si>
  <si>
    <t>SMARTWATCH LARANJ</t>
  </si>
  <si>
    <t>BOM-9968</t>
  </si>
  <si>
    <t>IMS-753LAR</t>
  </si>
  <si>
    <t>SMARTWATCH PRETO</t>
  </si>
  <si>
    <t>IMS-753PRE</t>
  </si>
  <si>
    <t>MONITOR GAMER HQ 34' CURVO 1MS 165HZ HQ34C16</t>
  </si>
  <si>
    <t>SMARTWATCH 3 PULSEIRAS</t>
  </si>
  <si>
    <t>IMS-751-A</t>
  </si>
  <si>
    <t>CABO Y USB 9 PINOS INTERNO PLACA MÃE DIVISOR 2 PORTAS JUSB</t>
  </si>
  <si>
    <t>ELIACA122</t>
  </si>
  <si>
    <t>RURT STORE LTDA</t>
  </si>
  <si>
    <t xml:space="preserve">FONE BLUETOOTH DE GANCHO </t>
  </si>
  <si>
    <t>02000</t>
  </si>
  <si>
    <t>IMS-817-A</t>
  </si>
  <si>
    <t>06792</t>
  </si>
  <si>
    <t>G-VR300</t>
  </si>
  <si>
    <t>04997</t>
  </si>
  <si>
    <t>CAIXA DE SOM 10W</t>
  </si>
  <si>
    <t>IMS-X03-A</t>
  </si>
  <si>
    <t>09854</t>
  </si>
  <si>
    <t>BASE P/ NOTBOOK DE PLÁSTICO</t>
  </si>
  <si>
    <t>CAIXA DE SOM 8W</t>
  </si>
  <si>
    <t>OR-9012</t>
  </si>
  <si>
    <t>IMS-X22-A</t>
  </si>
  <si>
    <t>04996</t>
  </si>
  <si>
    <t>COOLER GABINETE KIT 3PÇS</t>
  </si>
  <si>
    <t>DELTA-C1263B</t>
  </si>
  <si>
    <t>CAIXA DE SOM 20W</t>
  </si>
  <si>
    <t>IMS-X05-B</t>
  </si>
  <si>
    <t>DELTA-C1293</t>
  </si>
  <si>
    <t>CAIXA DE SOM Á PROVA D'ÁGUA 20W</t>
  </si>
  <si>
    <t>IMS-X34-C</t>
  </si>
  <si>
    <t>KIT TECLADO E MOUSE GAMER</t>
  </si>
  <si>
    <t>DELTA-K1756</t>
  </si>
  <si>
    <t xml:space="preserve">ANTENA DIGITAL HDTV INTERNA E EXTERNA </t>
  </si>
  <si>
    <t>OR-MI802/5M</t>
  </si>
  <si>
    <t>KIT TECLADO E MOUSE GAMER AURA SYNC</t>
  </si>
  <si>
    <t>DELTA-VK0301</t>
  </si>
  <si>
    <t>CHUVEIRO ELETRICO C/ DUCHA 6000W 110V</t>
  </si>
  <si>
    <t>ASP-F80</t>
  </si>
  <si>
    <t>HDMI SPLITER 1X4</t>
  </si>
  <si>
    <t>MTV-114</t>
  </si>
  <si>
    <t>CHUVEIRO ELETRICO C/ DUCHA 6000W 220V</t>
  </si>
  <si>
    <t>CABO DE REDE CAT6 1GB 28 AWG 2M</t>
  </si>
  <si>
    <t>MCB-1002</t>
  </si>
  <si>
    <t>SERRA CIRCULAR C/ GUIAMENTO A LASER 1350W 110V</t>
  </si>
  <si>
    <t>BOM-9579</t>
  </si>
  <si>
    <t>CADEIRA DE ESCRITÓRIO BASE CROMADA FORTT PT1050</t>
  </si>
  <si>
    <t>PISTOLA DE PINTURA PILVERIZADA ELETRICA 127V 800W</t>
  </si>
  <si>
    <t>CABO DE REDE CAT6 1GB 28 AWG 3M</t>
  </si>
  <si>
    <t>BOM-9643</t>
  </si>
  <si>
    <t>CABO DE REDE CAT6 1GB 28 AWG 5M</t>
  </si>
  <si>
    <t>MCB-1005</t>
  </si>
  <si>
    <t xml:space="preserve">COMPRESSOR DE AR PORTÁTIL DIGITAL </t>
  </si>
  <si>
    <t>BOM-8903</t>
  </si>
  <si>
    <t>CADEIRA DE ESCRITÓRIO BASE PRETA FORTT PUT UT-J03</t>
  </si>
  <si>
    <t>CABO DE REDE CAT6 1GB 28 AWG 15M</t>
  </si>
  <si>
    <t>MCB-1015</t>
  </si>
  <si>
    <t>05006</t>
  </si>
  <si>
    <t>PURIFICADOR DE AGUA P/ TORNEIRA</t>
  </si>
  <si>
    <t>PLACA DE VIDEO RX580 DDR5 8GB</t>
  </si>
  <si>
    <t>DELTA-RX580</t>
  </si>
  <si>
    <t>CABO DE REDE CAT6 1GB 28 AWG 20M</t>
  </si>
  <si>
    <t>BOM-2509</t>
  </si>
  <si>
    <t>MCB-1020</t>
  </si>
  <si>
    <t>02004</t>
  </si>
  <si>
    <t>MERCADORIA NÃO RETIRADA</t>
  </si>
  <si>
    <t>D-MATX03</t>
  </si>
  <si>
    <t>CABO DE REDE CAT6 1GB 28 AWG 30M</t>
  </si>
  <si>
    <t>MCB-1030</t>
  </si>
  <si>
    <t>LUMINARIA DE JARDIM C/ PLACA SOLAR ESPETO 8 LEDS</t>
  </si>
  <si>
    <t>BOM-4606</t>
  </si>
  <si>
    <t>D-MATX04</t>
  </si>
  <si>
    <t>BASE MÓVEL COM VENTOSA</t>
  </si>
  <si>
    <t>MTG-282</t>
  </si>
  <si>
    <t>KIT 8 LUMINARIAS SOLAR DE JARDIM</t>
  </si>
  <si>
    <t>D-MATX12</t>
  </si>
  <si>
    <t>CONTROLE REMOTO LASER</t>
  </si>
  <si>
    <t>MCT-105</t>
  </si>
  <si>
    <t>08461</t>
  </si>
  <si>
    <t>PLACA DE VÍDEO GT740 4GB DDR5</t>
  </si>
  <si>
    <t>DELTA-GT740</t>
  </si>
  <si>
    <t>D-MATX05</t>
  </si>
  <si>
    <t>KIT 6 LUMINARIAS SOLAR DE JARDIM 98*98*405</t>
  </si>
  <si>
    <t>08465</t>
  </si>
  <si>
    <t>AKT-G1713</t>
  </si>
  <si>
    <t>BATERIA DE IONS DE LITIO PARA FERRAMENTAS ELETRICAS 4.0AH 21V - 10 CELULAS</t>
  </si>
  <si>
    <t>MOUSE GAMER 1000DPI</t>
  </si>
  <si>
    <t>AMO-61003</t>
  </si>
  <si>
    <t>PONTAS DE PROVA</t>
  </si>
  <si>
    <t>BOM-6000</t>
  </si>
  <si>
    <t xml:space="preserve">NIVEL A LASER C/ 16 LINHAS </t>
  </si>
  <si>
    <t>TECLADO GAMER</t>
  </si>
  <si>
    <t>BOM-6213</t>
  </si>
  <si>
    <t>ATE-G107</t>
  </si>
  <si>
    <t>GAB. SLIM MATX TFX Q5M SFF C/ FONTE 300W BOX</t>
  </si>
  <si>
    <t>TELA DE PROJEÇÃO 100" 16:9</t>
  </si>
  <si>
    <t>MPR-100A</t>
  </si>
  <si>
    <t>PROJETOR BRAZILPC BPC-1080P M-18W 500 LUMENS PRETO/BRANCO</t>
  </si>
  <si>
    <t>PARAFUSADEIRA BRUSHLESS 21V</t>
  </si>
  <si>
    <t>BOM-9973</t>
  </si>
  <si>
    <t>ADAPTADOR WIFI C/4 ANTENA 5G 1200M</t>
  </si>
  <si>
    <t>SOPRADOR DE AR TURBO 21V COM LUZ LED MULTIFUNÇÃO</t>
  </si>
  <si>
    <t>BOM-9741</t>
  </si>
  <si>
    <t>PISTOLA DE PINTURA PILVERIZADORA ELETRICA 127V 800W</t>
  </si>
  <si>
    <t>08474</t>
  </si>
  <si>
    <t>09866</t>
  </si>
  <si>
    <t>MONITOR GAMER 34" 2K 165HZ</t>
  </si>
  <si>
    <t>DELTA-M3422AUC PRO</t>
  </si>
  <si>
    <t>SWITCH POE 8 PORTAS</t>
  </si>
  <si>
    <t>KP-PW004</t>
  </si>
  <si>
    <t>CONVERSION VGA 2HDMI</t>
  </si>
  <si>
    <t>LE-4114</t>
  </si>
  <si>
    <t>06829</t>
  </si>
  <si>
    <t>SWITCH POE 16 PORTAS</t>
  </si>
  <si>
    <t>02009</t>
  </si>
  <si>
    <t>ALL-IN-ONE 23.8 AOC I5-124' 16G DDR4 SSD 512G</t>
  </si>
  <si>
    <t>GABINETE GAMER PRETO</t>
  </si>
  <si>
    <t>GB1790</t>
  </si>
  <si>
    <t>06842</t>
  </si>
  <si>
    <t>0002</t>
  </si>
  <si>
    <t>HD 500 GB DESK SEAGATE</t>
  </si>
  <si>
    <t>KIT JOGO DE FERRAMENTAS COM 148 PÇS</t>
  </si>
  <si>
    <t>06453</t>
  </si>
  <si>
    <t>LAVADORA DE PRESSÃO PORTATIL 21V</t>
  </si>
  <si>
    <t>04306</t>
  </si>
  <si>
    <t>ESCOVA DE LIMPEZA ELETRICA 9 EM 1</t>
  </si>
  <si>
    <t>BOM-7377</t>
  </si>
  <si>
    <t>ON-FN639</t>
  </si>
  <si>
    <t>AUXILIAR DE PARTIDA ECOMPRESSOR PORTATIL VEICULAR</t>
  </si>
  <si>
    <t>MISTURADOR ELETRICO PARA ARGAMASSA E TINTA 1300W 220V</t>
  </si>
  <si>
    <t>BOM-9600</t>
  </si>
  <si>
    <t>CARREGADOR UNIVERSAL LCD P/ CELULAR</t>
  </si>
  <si>
    <t>LE-U300</t>
  </si>
  <si>
    <t>BOM-5008</t>
  </si>
  <si>
    <t>FONE DE OUVIDO SEM FIO</t>
  </si>
  <si>
    <t>ON-FN636</t>
  </si>
  <si>
    <t>CABO RJ45 10M</t>
  </si>
  <si>
    <t>LE-304</t>
  </si>
  <si>
    <t>ON-FN650</t>
  </si>
  <si>
    <t>CARREGADOR DE VIAGEM 2 USB 5.1A</t>
  </si>
  <si>
    <t>LE-258</t>
  </si>
  <si>
    <t xml:space="preserve">CADEIRA PRESIDENTE PRETA PVC BASE CROMADA FORTT </t>
  </si>
  <si>
    <t>CARREGADOR VEICULAR 1 USB 1 TIPO-C 3.4A</t>
  </si>
  <si>
    <t>LE-531</t>
  </si>
  <si>
    <t>HD 4TB US</t>
  </si>
  <si>
    <t>CARREGADOR VEICULAR 1 USB 1PD 48W</t>
  </si>
  <si>
    <t>JOGO CHAVE CANHAO SOQUETE 7 PECAS</t>
  </si>
  <si>
    <t>LE-536</t>
  </si>
  <si>
    <t>02033</t>
  </si>
  <si>
    <t>MONITOR LED 27' RESOLUÇÃO 1920*1080</t>
  </si>
  <si>
    <t>CHAVE DE GRIFO 14 POLEGADAS 30.8*7.5CM</t>
  </si>
  <si>
    <t>BOM-1290</t>
  </si>
  <si>
    <t>LE-650</t>
  </si>
  <si>
    <t>02035</t>
  </si>
  <si>
    <t>CHAVE DE CATRACA PARA MACACO AUTOMOTIVO</t>
  </si>
  <si>
    <t>BOM-1496</t>
  </si>
  <si>
    <t>FLASH LIGHT</t>
  </si>
  <si>
    <t>LE-8345</t>
  </si>
  <si>
    <t>05051</t>
  </si>
  <si>
    <t>ARCO SERRA 12POLEGADA</t>
  </si>
  <si>
    <t>LE-8306</t>
  </si>
  <si>
    <t>ALICATE DE BICO 8 POLEGADAS</t>
  </si>
  <si>
    <t>MONITOR LED 19' PRETO BRASIL PC BPC-19WE02-B</t>
  </si>
  <si>
    <t>BOM-1604</t>
  </si>
  <si>
    <t>MONITOR LED 20' PRETO BRASIL PC 20WR 75HZ</t>
  </si>
  <si>
    <t>LE-8347</t>
  </si>
  <si>
    <t>05055</t>
  </si>
  <si>
    <t>PLACA MÃE REF: G-B550 (6G/FL)</t>
  </si>
  <si>
    <t>TECLADO MECANICO PRETO 111KEYS</t>
  </si>
  <si>
    <t xml:space="preserve">GUILHERME VAI COLETAR - ESTOQUE SP </t>
  </si>
  <si>
    <t>DELTA-TM1111</t>
  </si>
  <si>
    <t>02045</t>
  </si>
  <si>
    <t xml:space="preserve">PROTETOR DE SURTO DPS 2P+T1 2 TOMADAS </t>
  </si>
  <si>
    <t>SL6022</t>
  </si>
  <si>
    <t>MONITOR LED 23,6'</t>
  </si>
  <si>
    <t xml:space="preserve">CONTROLE PARA VIDEO GAME </t>
  </si>
  <si>
    <t>KP-CN701/S-6G</t>
  </si>
  <si>
    <t>CABO COMUN 4P CAT6 CX 305M VM</t>
  </si>
  <si>
    <t>FIRE TV STIC SELECT 8GB WI-FI 5</t>
  </si>
  <si>
    <t>MPR-2009A</t>
  </si>
  <si>
    <t>JORGE</t>
  </si>
  <si>
    <t>HD 1TB TOSHIBA</t>
  </si>
  <si>
    <t>MDK-2500</t>
  </si>
  <si>
    <t>DDR5 16GB 4800XMP BK PC - C/ DISSIPADOR DE CALOR PRETO - CLANM</t>
  </si>
  <si>
    <t>DDR5 16GB</t>
  </si>
  <si>
    <t>VENTOSA DE SUCCAO A VACUO PARA PISO 210KG</t>
  </si>
  <si>
    <t>HD 2TB TOSHIBA</t>
  </si>
  <si>
    <t>BOM-1511</t>
  </si>
  <si>
    <t>JOAO B.</t>
  </si>
  <si>
    <t>CASADA/ESTOQUE</t>
  </si>
  <si>
    <t>09922</t>
  </si>
  <si>
    <t>PC DDR4 16GB 3200 WT 10 477,83 4.778,26 UN MEMORIA RAM - PC DDR4 16GB 3200mhz WT - C/ DISSIPADOR DE CALOR BRANCO - CLANM</t>
  </si>
  <si>
    <t>PROC. AMD ATHLON 3000G AM4 3.5GHZ/5MB C/ COOLER</t>
  </si>
  <si>
    <t>ENTREGA NA JORADO</t>
  </si>
  <si>
    <t>09970</t>
  </si>
  <si>
    <t>10 VOL</t>
  </si>
  <si>
    <t>02050</t>
  </si>
  <si>
    <t>CARREGADOR/AMPAINHA/RADIOREPRODUTOR/CONTROLE REOO/PILHA/ILHA/NES/CABO DE FORÇA</t>
  </si>
  <si>
    <t>MAX-0568/SD173ALE-610/LE-7679/LE-7999-2/LE-7999-1</t>
  </si>
  <si>
    <t>CASADO</t>
  </si>
  <si>
    <t>VAI RETIRAR EM SP E COLOCAR NA TRANSPORTADORA</t>
  </si>
  <si>
    <t>05081</t>
  </si>
  <si>
    <t>FONTE DE ALIMENTAÇÃO PRETO 80 PLUS 650W BRONZE</t>
  </si>
  <si>
    <t>DELTA-F650</t>
  </si>
  <si>
    <t>09969</t>
  </si>
  <si>
    <t>09977</t>
  </si>
  <si>
    <t>FO-MAX03RGB</t>
  </si>
  <si>
    <t>SMARTWATCH</t>
  </si>
  <si>
    <t>RG-W90</t>
  </si>
  <si>
    <t>MÁQUINA DE SOLDA 220V</t>
  </si>
  <si>
    <t>RELOGIO ESPORTIVO</t>
  </si>
  <si>
    <t>RG-SW35</t>
  </si>
  <si>
    <t xml:space="preserve">DDR3 8GB 1600MHZ </t>
  </si>
  <si>
    <t>MOTOCICLETA ELETRICA GRAY LUZ</t>
  </si>
  <si>
    <t>AC-6608</t>
  </si>
  <si>
    <t>04364</t>
  </si>
  <si>
    <t>06531</t>
  </si>
  <si>
    <t>KP-489</t>
  </si>
  <si>
    <t>PLACA DE VÍDEO RX550 4GB DDR5</t>
  </si>
  <si>
    <t>DELTA-RX560</t>
  </si>
  <si>
    <t>07127</t>
  </si>
  <si>
    <t>ADAPTADOR USB 3.0 P/ RJ45 10/100/1000</t>
  </si>
  <si>
    <t>LT-1168</t>
  </si>
  <si>
    <t>DISCO FISICO DE ARMAZENAMENTO DE DADOS 500GB</t>
  </si>
  <si>
    <t>DISCO FISICO DE ARMAZENAMENTO DE DADOS 1TB</t>
  </si>
  <si>
    <t>KP-HD831</t>
  </si>
  <si>
    <t>07130</t>
  </si>
  <si>
    <t>02755</t>
  </si>
  <si>
    <t>TELA INTERATIVA TOUCH 98"</t>
  </si>
  <si>
    <t>SUPORTE DE METAL PARA TELA INTERATIVA 60"-150"</t>
  </si>
  <si>
    <t>DISPOSITIVO DE ARMAZENAMENTO SSD 2.5 256GB</t>
  </si>
  <si>
    <t>ETIQUETA TÉRMICA 5000*2</t>
  </si>
  <si>
    <t>MPT-10M</t>
  </si>
  <si>
    <t>MEMORIA RAM DDR4 3200MHZ 8GB</t>
  </si>
  <si>
    <t>KP-HD835</t>
  </si>
  <si>
    <t>COMBO GAMER NIGHTMARE - TECLADO/MOUSE/HEADSET/MOUSEPAD - CLANM</t>
  </si>
  <si>
    <t>BOBINA TÉRMICA 57*15MM</t>
  </si>
  <si>
    <t>MPT-P5838</t>
  </si>
  <si>
    <t>09983</t>
  </si>
  <si>
    <t>CONTROLE DE VÍDEO GAME</t>
  </si>
  <si>
    <t>KP-3124</t>
  </si>
  <si>
    <t>CONTROLE DE MÃO P/ VIDRO ELÉTRICO</t>
  </si>
  <si>
    <t>KP-GM033</t>
  </si>
  <si>
    <t>CONTROLE DE JOGOS JOYPAD, TIPO MANETE</t>
  </si>
  <si>
    <t>KP-GM036</t>
  </si>
  <si>
    <t>CASE SSD M.2</t>
  </si>
  <si>
    <t>KP-HD829/N</t>
  </si>
  <si>
    <t>ADAPTADOR WIFI C/ 4 ANTENAS (5G) 1200M</t>
  </si>
  <si>
    <t>PLACA MÃE H61 LGA1155 REALTEK 8111E 100/1000MBPS</t>
  </si>
  <si>
    <t>SMART TV HQ QLED UHD 55"</t>
  </si>
  <si>
    <t>MONITOR LED 19" TRONOS TRS-HK19WY PRETO VESA WIDESCREEN</t>
  </si>
  <si>
    <t>ABATER</t>
  </si>
  <si>
    <t>FILTRO DE LINHA 04 TOMADAS PR PP CIRCULAR 3X0 75X1,00M SACO PLASTICO</t>
  </si>
  <si>
    <t>FILTRO DE LINHA 06 TOMADAS PT PP CIRCULAR 3X0 75X3,00M SACO</t>
  </si>
  <si>
    <t>FILTRO DE LINHA 05 TOMADAS PR PP CIRCULAR 3X0, 75X1,00M SACO PLASTICO</t>
  </si>
  <si>
    <t>PLACA DE VÍDEO GTX1050TI 4GB DDR5 ABIT</t>
  </si>
  <si>
    <t>NIVEL MANUAL COM REGUA DE 50CM E 3 BOLHAS P/ CONTRUÇÃO</t>
  </si>
  <si>
    <t>NIVEL MANUAL COM REGUA DE 30CM E 3 BOLHAS P/ CONSTRUÇÃO</t>
  </si>
  <si>
    <t>JOGO DE SOQUETES 1/2" COM REVERSIVEL COMBINADAS 37PÇS</t>
  </si>
  <si>
    <t>KIT JOGO DE CHAVES CATRACA SOQUETE 124 PÇS</t>
  </si>
  <si>
    <t>MAÇARICO PORTIL CULINARIA</t>
  </si>
  <si>
    <t>DDR5 16GB 6000XMP BK PC - C/ DISSIPADOR DE CALOR PRETO - CLANM</t>
  </si>
  <si>
    <t>PROCESSADOR AMD RYZEN 5 5500 BOX</t>
  </si>
  <si>
    <t>457BOX</t>
  </si>
  <si>
    <t>FADUNDEZ</t>
  </si>
  <si>
    <t xml:space="preserve">PLACA MÃE BPC-H81 PC BRAZILPC 1150 </t>
  </si>
  <si>
    <t>CABO DE FORÇA P/ MONITOR/GABINETE OEM</t>
  </si>
  <si>
    <t>FONTE ATX PS3 230W TRONOS TRS-230V1.2 24 PINOS OEM</t>
  </si>
  <si>
    <t>GAB. MATX BRAZILPC BPC-N114MATX M255 S/BAIXA</t>
  </si>
  <si>
    <t>06571</t>
  </si>
  <si>
    <t>PLACA DE VÍDEO GT730 4GB DDR3</t>
  </si>
  <si>
    <t>DELTA-GT730</t>
  </si>
  <si>
    <t>06594</t>
  </si>
  <si>
    <t>FONTE DE NOTEBOOK 72W</t>
  </si>
  <si>
    <t>ATF-120</t>
  </si>
  <si>
    <t>PLACA MÃE H81 PC</t>
  </si>
  <si>
    <t>G-H81/M</t>
  </si>
  <si>
    <t>PLACA MÃE B75 LGA1155</t>
  </si>
  <si>
    <t>G-B75/S</t>
  </si>
  <si>
    <t>SUPORTE DOBRAVEL PARA SMARTPHONES</t>
  </si>
  <si>
    <t>OR-SP46</t>
  </si>
  <si>
    <t>INVERSOR DE POTENCIA 24VDC 110V/2000W</t>
  </si>
  <si>
    <t>KP-551</t>
  </si>
  <si>
    <t>INVERSOR DE POTENCIA 12V/110V 1000W</t>
  </si>
  <si>
    <t>PAR ESPELHO RETROVISOR</t>
  </si>
  <si>
    <t>CX CABO LAN U/UTP CAT5E 4X24 AWG CMX INT/EXT 305 M PT</t>
  </si>
  <si>
    <t>C0305PT00</t>
  </si>
  <si>
    <t>BOB CABO LAN F/UTP CAT5E 4X24 AWG DUPLA CAPA EXTERNO 305 M PT</t>
  </si>
  <si>
    <t>B0305PT00</t>
  </si>
  <si>
    <t>HD 12TB WD PURPLE</t>
  </si>
  <si>
    <t>HD 12TB</t>
  </si>
  <si>
    <t>CONTROLE PARA VÍDEO GAME USB</t>
  </si>
  <si>
    <t>KP-CN701/S</t>
  </si>
  <si>
    <t>MADRIL C/ CHAVE 1/2*20F ROSCA</t>
  </si>
  <si>
    <t>MONITOR DELL 24" FULL HD IPS, 144HZ, 2HDMI</t>
  </si>
  <si>
    <t>KABUM</t>
  </si>
  <si>
    <t>CARREGADOR P/ PILHA</t>
  </si>
  <si>
    <t>KP-512BB</t>
  </si>
  <si>
    <t xml:space="preserve">TRIPE PROFISSIONAL </t>
  </si>
  <si>
    <t>OR-PL2606</t>
  </si>
  <si>
    <t>SUPORTE PARA ETIQUETAS TERMICAS</t>
  </si>
  <si>
    <t>KP-IMS607</t>
  </si>
  <si>
    <t>TRANSMISSOR HDMI</t>
  </si>
  <si>
    <t>KP-AW180</t>
  </si>
  <si>
    <t>PLACA PCI-EXPRESS</t>
  </si>
  <si>
    <t>PLACA DE VÍDEO GT610 2GB PC</t>
  </si>
  <si>
    <t>G-GT610/2G</t>
  </si>
  <si>
    <t>FURADEIRA E MARTELETE C/ IMPACTO 800W 220V</t>
  </si>
  <si>
    <t>KIT DE JOGO DE CHAVES CATRACA SOQUETE 95PÇS</t>
  </si>
  <si>
    <t xml:space="preserve">PERFURADOR DE SOLO A GASOLINA </t>
  </si>
  <si>
    <t>BOM-9213</t>
  </si>
  <si>
    <t>JOGO DE CHAVE COMBINADA 6 A 22MM 12PÇS</t>
  </si>
  <si>
    <t>BOM-3203</t>
  </si>
  <si>
    <t>MISTURADOR ELETRICO PARA ARGAMASSA E TINTA 1300W 110V</t>
  </si>
  <si>
    <t>BOM-9599</t>
  </si>
  <si>
    <t>KIT PINTURA PAREDE ROLO DELA 10PÇS</t>
  </si>
  <si>
    <t>BOM-3610</t>
  </si>
  <si>
    <t>KIT COM 3 BROCAS E 1 HASTE PARA PERFURADOR DE SOLO</t>
  </si>
  <si>
    <t>BOM-9214</t>
  </si>
  <si>
    <t>02888</t>
  </si>
  <si>
    <t xml:space="preserve">COOLER PARA PROCESSADOR </t>
  </si>
  <si>
    <t>G-VR357</t>
  </si>
  <si>
    <t>MARTELETE ELETRICO 1800W 127V</t>
  </si>
  <si>
    <t>BOM-9633</t>
  </si>
  <si>
    <t>06706</t>
  </si>
  <si>
    <t>COOLER CPU GAMER</t>
  </si>
  <si>
    <t>DELTA-C6220</t>
  </si>
  <si>
    <t>DELTA-C4218</t>
  </si>
  <si>
    <t>DRIVE EXTERNO GRAVADOR DE CD DVD CONEXAO ENTRADA USB</t>
  </si>
  <si>
    <t>KP-LE303</t>
  </si>
  <si>
    <t xml:space="preserve">PROJETOR </t>
  </si>
  <si>
    <t>KP-PJ012</t>
  </si>
  <si>
    <t>SCOOTER ELETRICA PRATA</t>
  </si>
  <si>
    <t>S10 LITE 5M X 400 128/6 109</t>
  </si>
  <si>
    <t>ECHO SHOW 5º</t>
  </si>
  <si>
    <t>PROCESSADOR INTEL CORE I5 14400 BOX (LGA 1700/10 CORES / 3.5 GHZ)</t>
  </si>
  <si>
    <t>I5 14400</t>
  </si>
  <si>
    <t>ASPIRADOR DE PÓ E ÁGUA 1400W 15 LITROS 220V</t>
  </si>
  <si>
    <t>KIT PINTURA PAREDE ROLO DELA 6PÇS</t>
  </si>
  <si>
    <t>BOM-3609</t>
  </si>
  <si>
    <t xml:space="preserve">MINI MARTELO </t>
  </si>
  <si>
    <t>BOM-1003</t>
  </si>
  <si>
    <t>JOGO DE GRAMPOS COM NIVEL 4 PÇS PARA MARCENARIA</t>
  </si>
  <si>
    <t>BOM-3138</t>
  </si>
  <si>
    <t>ABRAÇADEIRA NYLON ENFORCA GATO 8. 8*450M 1 PCT-100PÇS</t>
  </si>
  <si>
    <t>BOM-5491</t>
  </si>
  <si>
    <t>ABRAÇADEIRA NYLON ENFORCA GATO 7.6*400MM</t>
  </si>
  <si>
    <t>ESCOVAS AÇO CIRCULAR 6"</t>
  </si>
  <si>
    <t>TRENA FITA MÉTRICA 50M FIBRA DE VIDRO FLEXÍVEL PROFISSIONAL</t>
  </si>
  <si>
    <t>SOBRADOR A GASOLINA 26CC</t>
  </si>
  <si>
    <t xml:space="preserve">TRENA EMBORRACHADA PONTA MAGNÉTICA 5M </t>
  </si>
  <si>
    <t>05981</t>
  </si>
  <si>
    <t>CHURRASQUEIRA DOBRAVÉL A CARVÃO</t>
  </si>
  <si>
    <t>TAPETE DIATOMACEOUS</t>
  </si>
  <si>
    <t>ON-SM038</t>
  </si>
  <si>
    <t>SECADOR DE CABELO</t>
  </si>
  <si>
    <t>ON-CF04/127</t>
  </si>
  <si>
    <t>ON-FN629</t>
  </si>
  <si>
    <t>ON-490</t>
  </si>
  <si>
    <t>DDR4 8GB 2666mhz PC - CLANM</t>
  </si>
  <si>
    <t>DDR4 8GB 2666mhz  PC- CLANM</t>
  </si>
  <si>
    <t xml:space="preserve">MINI SELADORA </t>
  </si>
  <si>
    <t>OIH-2701</t>
  </si>
  <si>
    <t>ESPELHO COM LUZ</t>
  </si>
  <si>
    <t>OIH-5262</t>
  </si>
  <si>
    <t>AQUECEDOR</t>
  </si>
  <si>
    <t>RABI</t>
  </si>
  <si>
    <t>CARREGADOR DE VIAGEM 2 USB 5.1A (200PÇS)</t>
  </si>
  <si>
    <t>LE-295</t>
  </si>
  <si>
    <t>PILHA ALCALINA AAA LR 6/1.5V/4UND 1 CAIXA C/ 12 CARTELAS</t>
  </si>
  <si>
    <t>LE-7999-3</t>
  </si>
  <si>
    <t>PILHA ALCALINA AAA LR 03/1.5V/4UND 1 CAIXA C/12 CARTELAS</t>
  </si>
  <si>
    <t>LE-7999-6</t>
  </si>
  <si>
    <t>PILHA ALCALINA AA LR/1.5V/2UND 1 CAIXA C/ 12 CARTELAS</t>
  </si>
  <si>
    <t>LE-7999-5</t>
  </si>
  <si>
    <t>PILHA ALCALINA AAA LR03/1.5V/2UND 1 CAIXA C/12 CARTELAS</t>
  </si>
  <si>
    <t>LE-7999-4</t>
  </si>
  <si>
    <t>PROCESSADOR INTEL OEM</t>
  </si>
  <si>
    <t>VGA PCI EXP. 6GB/192BITS GTX1660 SUPER *OEM</t>
  </si>
  <si>
    <t xml:space="preserve"> TORNEIRA CROMADA DE PAREDE CROMADA</t>
  </si>
  <si>
    <t>BOMBA DE PRESSURIZAÇÃO DE ÁGUA 120W-220V</t>
  </si>
  <si>
    <t>BOM-8708</t>
  </si>
  <si>
    <t>CONTROLE DE JOGOS USB P/ PC</t>
  </si>
  <si>
    <t>KP-GM018</t>
  </si>
  <si>
    <t>BOMBA SUBMERSA PARA AQUARIO COM 4 LEDS BIVOLT 110-220V</t>
  </si>
  <si>
    <t>BOM-8702</t>
  </si>
  <si>
    <t>CONTROLE PARA VIDEO GAME</t>
  </si>
  <si>
    <t>KP-CN701S(6G/FL)</t>
  </si>
  <si>
    <t>ALERTA DE TENSÃO</t>
  </si>
  <si>
    <t>BOM-6401</t>
  </si>
  <si>
    <t xml:space="preserve">PLACA MAE GA1200 </t>
  </si>
  <si>
    <t>G-H511 (6G/FL)</t>
  </si>
  <si>
    <t>ESTOQUE SP</t>
  </si>
  <si>
    <t>CHAVE DE FENDA ELÉTRICA 47 PÇS 3.6V</t>
  </si>
  <si>
    <t>BOM-9912</t>
  </si>
  <si>
    <t>V8 PRO</t>
  </si>
  <si>
    <t>DETECTOR DE METAIS PORTATIL COM TELA LCD</t>
  </si>
  <si>
    <t>BOM-6815</t>
  </si>
  <si>
    <t>VAI DESCER PELA JORADO</t>
  </si>
  <si>
    <t>1/31</t>
  </si>
  <si>
    <t>06799</t>
  </si>
  <si>
    <t>MONITOR GAMER 34P 2K 165HZ PRO</t>
  </si>
  <si>
    <t>DELTA-M3445AUC</t>
  </si>
  <si>
    <t>PROCESSADOR INTEL CORE I7-12700 S1700 2.1GHZ 25 MB BOX</t>
  </si>
  <si>
    <t xml:space="preserve">FONTE DE ÁGUA PARA PETS 2200ML </t>
  </si>
  <si>
    <t>OIP-0104</t>
  </si>
  <si>
    <t xml:space="preserve">PROCESSADOR INTEL CORE I5 14400 S1700 2.5GHZ 20MB OEM </t>
  </si>
  <si>
    <t>PIPOQUEIRA ELÉTRICA 110W/220V</t>
  </si>
  <si>
    <t>MAZ-119B</t>
  </si>
  <si>
    <t xml:space="preserve">PROCESSADOR AMD RYZEN R7-5700G AM4 4.6GHZ 20MB 3.8GHZ BASE C/ COOLER </t>
  </si>
  <si>
    <t xml:space="preserve">APONTADOR DE LÁPIS ELÉTRICO USB </t>
  </si>
  <si>
    <t>26160</t>
  </si>
  <si>
    <t>5 VOL</t>
  </si>
  <si>
    <t xml:space="preserve">MIXER BEBIDA WHEY FOUET PORTÁTIL 2 PONTEIRAS C/ SUPORTE </t>
  </si>
  <si>
    <t>ALICATE - FERRO DE SOLDAR - LAVADORA DE PRESSAO - KIT RETIFICA ELETRICA - MINI SOPRADOR TURBO COM FUNÇÃO ASPIRAÇÃO</t>
  </si>
  <si>
    <t>BOM-6003/BOM-9516/OM-7006/BOM-9603/BOM-9726</t>
  </si>
  <si>
    <t>CANETA TOUCH SREEN COM DUAS PONTAS</t>
  </si>
  <si>
    <t>DELTA-C1293 COOLER BINETE KIT DE 3PÇS</t>
  </si>
  <si>
    <t xml:space="preserve">RETIRA SP E ENTREGA SP </t>
  </si>
  <si>
    <t>25882</t>
  </si>
  <si>
    <t>QUIOSQUE PUBLICITÁRIO</t>
  </si>
  <si>
    <t>LE-1078</t>
  </si>
  <si>
    <t>P/ SHOWROOM</t>
  </si>
  <si>
    <t>IT BLUE-LELONG</t>
  </si>
  <si>
    <t>PLACA MAE LGA1151 H310 678GEN M2</t>
  </si>
  <si>
    <t>DELTA-H310M2K</t>
  </si>
  <si>
    <t>4029</t>
  </si>
  <si>
    <t xml:space="preserve">KIT GABINETE OFFICE SLIM MN98 + FONTE OFFICE TFX 200W MONOCRON </t>
  </si>
  <si>
    <t>MN98</t>
  </si>
  <si>
    <t>GUILHEME</t>
  </si>
  <si>
    <t xml:space="preserve"> GABINETE OFFICE MN1684 - MONOCRON </t>
  </si>
  <si>
    <t>CABO DE CHUPETA TRANSMISSÃO 800AMP 2.2M</t>
  </si>
  <si>
    <t>MN1684</t>
  </si>
  <si>
    <t>19436</t>
  </si>
  <si>
    <t>MCT-105 BT CONTROLE MOUSE</t>
  </si>
  <si>
    <t xml:space="preserve">PLACA MAE GA1155 REALTEK 8111E 100/1000MBPS </t>
  </si>
  <si>
    <t>MEMORIA DDR4 16GB PC 3200</t>
  </si>
  <si>
    <t>BIRDTECH/GABITECH</t>
  </si>
  <si>
    <t>GUILHERME VAI PEGAR NA JORADO</t>
  </si>
  <si>
    <t>BIRDTECH/GABI TECH</t>
  </si>
  <si>
    <t>KIT JOGO DE CHAVES CATRACA SOQUETE 95PÇS</t>
  </si>
  <si>
    <t>26254</t>
  </si>
  <si>
    <t>19.7 VOL</t>
  </si>
  <si>
    <t>PONTAS DE PROVA, ADESIVO DE VEDAÇÃO, ESPATULA, JOGO DE SERRA, JOGO DE ESCOVAS, ESCOVAS, NIVEL, MOTOSERRA, LUZ DE EMERGENCIA, PARAFUSADEIRA, CHAVE MULTIFUNCIONAL E ETC</t>
  </si>
  <si>
    <t>BOM-6000 BOM-1372 BOM-1012 BOM-5656 BOM-6520 BOM-9203 BOM-4232 BOM-9970 BOM-3205 BOM-5659 BOM-5022 BOM-5120 BOM-6506 BOM-3911 BOM-7</t>
  </si>
  <si>
    <t>RETIRA SP E ENVIA P/ TRANSPORTADORA</t>
  </si>
  <si>
    <t>26374</t>
  </si>
  <si>
    <t>27 VOL</t>
  </si>
  <si>
    <t xml:space="preserve">BOLSA - KIT JOGO DE CHAVES - KIT MANICURE - LANTERNA - SERRA MARMORE - SOPRADOR - KIT OFICINA - JOGO DE SOQUETES </t>
  </si>
  <si>
    <t>BOM-7710 BOM-3911 BOM-3912 BOM-3710 BOM-4326 BOM-9549 BOM-9725 BOM-9709 BOM-9908 BOM-3921</t>
  </si>
  <si>
    <t>VENDA DIRETA</t>
  </si>
  <si>
    <t>26083</t>
  </si>
  <si>
    <t>SUPORTE MOVEL PARA TV 32-75 OLEGADAS ATE 50KG</t>
  </si>
  <si>
    <t>LE-3422</t>
  </si>
  <si>
    <t>ITBLUE/LELONG</t>
  </si>
  <si>
    <t>PELIC. NANOTECH HD G3 180X120MM</t>
  </si>
  <si>
    <t xml:space="preserve">ENTREGA DIRETO NA LOJA DO GUILHERME </t>
  </si>
  <si>
    <t>19548</t>
  </si>
  <si>
    <t>TELA</t>
  </si>
  <si>
    <t>NIVEL A LASER C/ 12 LINHAS</t>
  </si>
  <si>
    <t>DDR 16G</t>
  </si>
  <si>
    <t>VECCHI</t>
  </si>
  <si>
    <t xml:space="preserve">FONTE DE ALIMENTAÇÃO PARA PC 350W </t>
  </si>
  <si>
    <t>SERRA CIRCULAR 1100W 220V</t>
  </si>
  <si>
    <t>BOM-9578</t>
  </si>
  <si>
    <t>i5-12500T</t>
  </si>
  <si>
    <t>I7-14700</t>
  </si>
  <si>
    <t xml:space="preserve">17 PROMAX 256GB BRANCO E AZUL </t>
  </si>
  <si>
    <t>VAIEVEM</t>
  </si>
  <si>
    <t>26504</t>
  </si>
  <si>
    <t>7 VOL</t>
  </si>
  <si>
    <t>TRENA FITA MÉTRICA DIGITAL COM NIVEL A LASER 40M</t>
  </si>
  <si>
    <t>CHAVE BIELA-DISCOFLAP-KIT5PÇS LAMINADE-PARAFUSOS-KITPAAFUSO</t>
  </si>
  <si>
    <t>BOM-1464 BOM-5111 BOM-5130 BOM-5315 BOM-5314 BOM-5316 BOM-5302</t>
  </si>
  <si>
    <t>JOAO REP.</t>
  </si>
  <si>
    <t>26503</t>
  </si>
  <si>
    <t>9 VOL</t>
  </si>
  <si>
    <t>KIT 12 LUMINÁRIAS SOLAR DE JARDIM 4 5*4 5*29 5</t>
  </si>
  <si>
    <t>MACACO-ALICATES-TRANSFORMADOR-PISTOLA-PARAFUSADEIRA</t>
  </si>
  <si>
    <t>BOM-4609</t>
  </si>
  <si>
    <t>BOM-1544 BOM-1701 BOM-1703 BOM-1710 BOM-1713 BOM-1714 BOM-9301 BOM-1371 BOM-9969</t>
  </si>
  <si>
    <t>26502</t>
  </si>
  <si>
    <t>4 VOL</t>
  </si>
  <si>
    <t>ESTILETE-KIT JOGO-TRENA-BICO</t>
  </si>
  <si>
    <t>BOM-3304 BOM-5922 BOM-6507 BOM-2506</t>
  </si>
  <si>
    <t>BOM-4610</t>
  </si>
  <si>
    <t>16012</t>
  </si>
  <si>
    <t>FONTE DE NOTEBOOK 100AC-05 100LZ-12 200DZ-08 15LZ-02 50DZ-09  50DZ-05 50SA-03</t>
  </si>
  <si>
    <t>KIT 8 LUMINÁRIAS SOLAR DE JARSIM 7*7*40</t>
  </si>
  <si>
    <t>BOM-4611</t>
  </si>
  <si>
    <t>SAM</t>
  </si>
  <si>
    <t>26375</t>
  </si>
  <si>
    <t>21 VOL</t>
  </si>
  <si>
    <t>SOPRADOR-MOTOSERR-ESCOVA-LUZ DE TRABALHO-MISTURADORSERRA-MAQUINA DE SOLDA-AUXILIAR</t>
  </si>
  <si>
    <t>BOM-9206 BOM-9203 BOM-7377 BOM-4229 BOM-9599 BOM-9667 BOM-9508 BOM-8923</t>
  </si>
  <si>
    <t xml:space="preserve">ESTOQUE SP - MANDAR PELA TRANSPORTADORA </t>
  </si>
  <si>
    <t>ik08778</t>
  </si>
  <si>
    <t>KIT 4 LUMINÁRIAS SOLAR DE JARDIM 6 3*6 3*20</t>
  </si>
  <si>
    <t>BOM-4613</t>
  </si>
  <si>
    <t>DELTA-B75M2K PLACA MAE LGA1155 B75 3GEN M.2 SSD</t>
  </si>
  <si>
    <t xml:space="preserve">CLIENTE EM SP MESMO </t>
  </si>
  <si>
    <t>ik08784</t>
  </si>
  <si>
    <t>LUMINÁRIA DE JARDIM COM PLACA SOLAR ESPETO E 10 LEDS</t>
  </si>
  <si>
    <t>BOM-4607</t>
  </si>
  <si>
    <t>DELTA-H310M2K PLACA MAE LGA 1151 H310 6789GEN M.2 SSD</t>
  </si>
  <si>
    <t>H310M2K</t>
  </si>
  <si>
    <t>8460</t>
  </si>
  <si>
    <t>COOLER BRAZIL PC CL-823 65W P/ INTEL/AMD</t>
  </si>
  <si>
    <t>AMD RYZEN 7 1700</t>
  </si>
  <si>
    <t>RYZEN 7 1700</t>
  </si>
  <si>
    <t>IPHONE 17 256 PRETO</t>
  </si>
  <si>
    <t>PLANETA CEL</t>
  </si>
  <si>
    <t xml:space="preserve">10CXS </t>
  </si>
  <si>
    <t xml:space="preserve">PELÍCULA NANOTECH PRIVACIDADE MATTE NEW EDITION 3 GERAÇÃO 180X120MM e PELÍCULA XTREME HD 180X120MM </t>
  </si>
  <si>
    <t>GAB. SLIM MATX TFX Q5M SFF 2XUSB 3.0 C/ FONTE 3000W BOX</t>
  </si>
  <si>
    <t>MAÇARICO, TALHADEIRA, KIT 5000 GRAMPOS, ESCOVAS, MOTOSSERRA, CUBA, MÁQUINA, LATERNA</t>
  </si>
  <si>
    <t>BOM1540 BOM1915 BOM5574 BOM5658 BOM9204 BOM2336 BOM9721 BOM4327</t>
  </si>
  <si>
    <t>ik08818</t>
  </si>
  <si>
    <t xml:space="preserve">SIGMA-W780M WEBCAM 8MP 4K FOCO MANUAL </t>
  </si>
  <si>
    <t>W780M</t>
  </si>
  <si>
    <t>PEDIDO FATURADO P/ MAMUTH</t>
  </si>
  <si>
    <t>B75M2K</t>
  </si>
  <si>
    <t>RETIRA SP ENTREGA SP</t>
  </si>
  <si>
    <t>HD DESK SATA3 4TB TOSHIBA (DELL)</t>
  </si>
  <si>
    <t>5.182</t>
  </si>
  <si>
    <t>GT2000</t>
  </si>
  <si>
    <t>PANDA/FUBAVON</t>
  </si>
  <si>
    <t>FU-A4–SCOOTER ELÉTRICA FU-A4SCOOTER ELÉTRICA AUTOPROPULSADA</t>
  </si>
  <si>
    <t>YHAN/NETO/PATRICIA/OSMAR</t>
  </si>
  <si>
    <t xml:space="preserve">i5 4570S </t>
  </si>
  <si>
    <t xml:space="preserve">HD DESK SATA3 8TB TALOREM </t>
  </si>
  <si>
    <t xml:space="preserve">FOI COBRADO 60,00 TOTAL PARA ENTREGAR NA JORADO </t>
  </si>
  <si>
    <t>NEXTPC</t>
  </si>
  <si>
    <t>26467</t>
  </si>
  <si>
    <t>CABO CFTV CAT6 20M: LE-316</t>
  </si>
  <si>
    <t>MONITOR LED 19 BRAZIL PC BPC-19WE02-B PRETO</t>
  </si>
  <si>
    <t>16843</t>
  </si>
  <si>
    <t>UNIDADE DE CONVERSÃO DE SINAIS INTERFACE</t>
  </si>
  <si>
    <t>KP-HD001</t>
  </si>
  <si>
    <t>MONITOR LED 19 TRONOS TRS-HK19WY PRETO VESA WIDESCREEN BOX</t>
  </si>
  <si>
    <t>I5 4570T</t>
  </si>
  <si>
    <t>CASE SATA HD</t>
  </si>
  <si>
    <t>KP-HD010</t>
  </si>
  <si>
    <t>DELTA-GT740 4GB DDR5</t>
  </si>
  <si>
    <t>16847</t>
  </si>
  <si>
    <t xml:space="preserve">MEMORIA RAM PARA DESKTOP DDR4 </t>
  </si>
  <si>
    <t>KP-HD862</t>
  </si>
  <si>
    <t>07/08//2026</t>
  </si>
  <si>
    <t>02675</t>
  </si>
  <si>
    <t>DISCO PARA ARMAZENAMENTO 25GB TAMANHO 2.5 KP-HD808</t>
  </si>
  <si>
    <t>MULTIMIDIA AUTOMOTIVE MP10</t>
  </si>
  <si>
    <t>VPL-1026</t>
  </si>
  <si>
    <t>VGA PCI EXP. 1GB/64BITS G210 WINNFOX</t>
  </si>
  <si>
    <t>23354</t>
  </si>
  <si>
    <t>BATERIA JBR 12V 4AH ALARME</t>
  </si>
  <si>
    <t>BATERIA JBR 12V 4AH</t>
  </si>
  <si>
    <t>FLYTEC</t>
  </si>
  <si>
    <t>KIT 14 UNIDADES GARRA CLAMP GANCHO ILUMINAÇÃO 2" Q30</t>
  </si>
  <si>
    <t>ISACABOS</t>
  </si>
  <si>
    <t xml:space="preserve">BATERIA  JBR 12V 7AH NOBREAK </t>
  </si>
  <si>
    <t>JBRBAT12V7AH</t>
  </si>
  <si>
    <t>1094</t>
  </si>
  <si>
    <t>GABINETE MATX BRAZIL PC 1 BAIA (2XUSB/AUDIO) C/ FONTE 230W BOX</t>
  </si>
  <si>
    <t>PROCESSADOR I5 4590</t>
  </si>
  <si>
    <t xml:space="preserve">BPC-C5041 </t>
  </si>
  <si>
    <t>I5 4590</t>
  </si>
  <si>
    <t>ik-08860</t>
  </si>
  <si>
    <t>DELTA-RX5600XT MKII PLACA DE VIDEO 6GB DDR6</t>
  </si>
  <si>
    <t>29814</t>
  </si>
  <si>
    <t>26949</t>
  </si>
  <si>
    <t>CABO HDTV VERSION 1.4 LE-6613 1.8M</t>
  </si>
  <si>
    <t>LE-6613</t>
  </si>
  <si>
    <t xml:space="preserve">CORRENTES DE MOTOSSERAS </t>
  </si>
  <si>
    <t>BOM-5628 BOM-5626 BOM-5622</t>
  </si>
  <si>
    <t>VOLANTE GAMER</t>
  </si>
  <si>
    <t>KP-5818</t>
  </si>
  <si>
    <t>CNPJ NINJA</t>
  </si>
  <si>
    <t>27059</t>
  </si>
  <si>
    <t>78</t>
  </si>
  <si>
    <t>31 VOL</t>
  </si>
  <si>
    <t>PARAFUSADEIRA, SERRA CIRCULAR, CABO CHUPETA, ESCOVA DE LIMPEZA, AUXILIAR DE PARTIDA, ESMERILHADEIRA, FURADEIRA, JOGO E SOQUETES, PARAFUSADEIRA, SERRA DE MARMORE, PISTOLA</t>
  </si>
  <si>
    <t>BOM-9970 BOM-9579 BOM-1802 BOM-7377 BOM-8923 BOM-9545 BOM-9546 BOM-9669 BOM-9670 BOM-3917 BOM-9961 BOM-9549 BOM-9550 BOM-9570</t>
  </si>
  <si>
    <t>KP-5817</t>
  </si>
  <si>
    <t>RETIRA SP E ENVIA DIRETO PELA TRANSPORTADORA</t>
  </si>
  <si>
    <t>JAVA</t>
  </si>
  <si>
    <t>17496</t>
  </si>
  <si>
    <t>POWER BANK</t>
  </si>
  <si>
    <t>OR-PB11</t>
  </si>
  <si>
    <t>CARTAO DE MEMORIA 64GB, 32GB, 16GB, 8GB, PENDRIVE MINI GB PREMIUM E 16GB</t>
  </si>
  <si>
    <t xml:space="preserve">ESTOQUE SP </t>
  </si>
  <si>
    <t xml:space="preserve">MASTERDRIVE </t>
  </si>
  <si>
    <t>27089</t>
  </si>
  <si>
    <t>NIVELADOR, ESMERILHADEIRA, PARAFUSADEIRA, JOGO DE CHAVE, LAMINA</t>
  </si>
  <si>
    <t>OR-B12</t>
  </si>
  <si>
    <t>BOM-6202 BOM-9545 BOM-9961 BOM-3213 BOM-5132</t>
  </si>
  <si>
    <t>CASADDA/ESTOQUE</t>
  </si>
  <si>
    <t>27108</t>
  </si>
  <si>
    <t>09/09/0226</t>
  </si>
  <si>
    <t>PARAFUSADEIRA, KIT JOGO DE FERRAMENTAS, CONJUNTO DE CHAVE DE FENDA, KIT CHAVES ISOLADAS</t>
  </si>
  <si>
    <t>BOM-9960, BOM-3907, BOM-3127, BOM-3110</t>
  </si>
  <si>
    <t>22384</t>
  </si>
  <si>
    <t xml:space="preserve">25CXS </t>
  </si>
  <si>
    <t>MHD-414A MAZ-119A 127V PIPOQUEIRA MAZ-007 COPO MLG-087 BASTAO DE LUZ RGB MTS-3005 MDK-102S ÇEITOR DE CODIGO 2D</t>
  </si>
  <si>
    <t>KP-PJ013</t>
  </si>
  <si>
    <t xml:space="preserve">NV3 1TB KINGSTON </t>
  </si>
  <si>
    <t xml:space="preserve">NJS </t>
  </si>
  <si>
    <t>IK-08952</t>
  </si>
  <si>
    <t>PROJETOR DE IMAGENS MULTIMIDIA (10-9*27-8*24-4CM)</t>
  </si>
  <si>
    <t>WEBCAM 8P 4K FOCO MANUAL</t>
  </si>
  <si>
    <t>KP-J005</t>
  </si>
  <si>
    <t>DELTA-W880A</t>
  </si>
  <si>
    <t>30201</t>
  </si>
  <si>
    <t>27 CXS</t>
  </si>
  <si>
    <t>SOPRADOR, ASPIRADOR DE PO, MOTOSSERRA, ESCOVA DE LIMPEZA ELETRICA</t>
  </si>
  <si>
    <t>BOM-9206 BOM-7015 BOM-9204 BOM-7377</t>
  </si>
  <si>
    <t>231956</t>
  </si>
  <si>
    <t>PLACA MAE - B 75 - LGA 1155 - DDR3 - 1000MBPS PLM2301</t>
  </si>
  <si>
    <t>PLACA DE VIDEO RX550 4GB</t>
  </si>
  <si>
    <t>PLM2301</t>
  </si>
  <si>
    <t>G-RX550/4G</t>
  </si>
  <si>
    <t>GUILHERME/YHAN</t>
  </si>
  <si>
    <t xml:space="preserve">ATRASADO </t>
  </si>
  <si>
    <t>17333</t>
  </si>
  <si>
    <t xml:space="preserve">PLACA DE REDE WI-FI PCI-E </t>
  </si>
  <si>
    <t>KP-T136</t>
  </si>
  <si>
    <t>MONITOR LED 20" TRONOS CORP TRS-20WV 75HZ PRETO</t>
  </si>
  <si>
    <t xml:space="preserve">PLACA DE VIDEO RX580 </t>
  </si>
  <si>
    <t>YHAN/ISAAC</t>
  </si>
  <si>
    <t>HAOQUINQ</t>
  </si>
  <si>
    <t>17332</t>
  </si>
  <si>
    <t>9.95 CXS</t>
  </si>
  <si>
    <t>PLACA MAE CONTROLADORA PARA COMPUTADOR DESKTOP G-A320</t>
  </si>
  <si>
    <t>30211</t>
  </si>
  <si>
    <t>2CXS</t>
  </si>
  <si>
    <t xml:space="preserve">CORRENTE DE MOTOSSERRA </t>
  </si>
  <si>
    <t>IK-09012</t>
  </si>
  <si>
    <t>ATB-1046</t>
  </si>
  <si>
    <t xml:space="preserve">17 PRO MX 256GB LARANJA </t>
  </si>
  <si>
    <t>09926</t>
  </si>
  <si>
    <t xml:space="preserve">2 CXS </t>
  </si>
  <si>
    <t>MONITOR GAMER 24P CURVO E TECLADO MECANICO PRETO 107KEYS</t>
  </si>
  <si>
    <t>DELTA-M2410AC E TM1071</t>
  </si>
  <si>
    <t>17 PRO MAX 256GB SILVER</t>
  </si>
  <si>
    <t>5913</t>
  </si>
  <si>
    <t>HDMI 5M 4K BLINDADO</t>
  </si>
  <si>
    <t>FL1231</t>
  </si>
  <si>
    <t>17 PRO MAX 256GB BRANCO</t>
  </si>
  <si>
    <t>GUILHERME VAI RETIRAR</t>
  </si>
  <si>
    <t>17423</t>
  </si>
  <si>
    <t xml:space="preserve">PLACA DE VIDEO </t>
  </si>
  <si>
    <t>03018</t>
  </si>
  <si>
    <t>1681</t>
  </si>
  <si>
    <t>RÁDIO PORTÁTIL BLUETOOH/USB</t>
  </si>
  <si>
    <t>17413</t>
  </si>
  <si>
    <t>D-XK421</t>
  </si>
  <si>
    <t>11VOL</t>
  </si>
  <si>
    <t>ADICIONAR 30,00 QUE O FORNECEDOR CORBROU P/ DEIXAR NA JORADO</t>
  </si>
  <si>
    <t>CASE SATA HD - MINI CAIXA ACUSTICA - UNIDADE DE CONVERSAO DE SINAIS - ADAPTADOR - MOUSE PARA COMPUTADOR - CARREGADOR P/ NOTEBOOK -  FONTE DE ALIMENTAÇÃO - SUPORTE DE MESA</t>
  </si>
  <si>
    <t>KP-HD002 KP603 KP-HD003 KP-7023 HB-T130 KP-MU021 KP-536 KP-CB202 OR-SP207 OR-SP</t>
  </si>
  <si>
    <t>17414</t>
  </si>
  <si>
    <t>12VOL</t>
  </si>
  <si>
    <t>DDR4 16GB 3200mhz WT PC - C/ DISSIPADOR DE CALOR BRANCO - CLANM</t>
  </si>
  <si>
    <t>MINI ALTOFALANTE E PLACA PCI</t>
  </si>
  <si>
    <t>PLACA MAE CONTROLADORA PARA COMPUTADOR DESKTOP H610</t>
  </si>
  <si>
    <t>KP-600 KP-609 KP-PL906</t>
  </si>
  <si>
    <t>17415</t>
  </si>
  <si>
    <t>14VOL</t>
  </si>
  <si>
    <t>UNIDADE DE CONVERSÃO , MOUSEPAD, ADAPTADOR, TECLADO, CABO, CASE, SWITCH, MOUSE, CARREGADOR, CAMPAINHA SEM FIO</t>
  </si>
  <si>
    <t>KP-HD004 KP-S04 SL6001 KP-2048 KP-3456 KP-3465 KP-3466 KP-YP5028 KP-HD009 KP-SW106 KP-MU009 KP-512BB KP-CA323</t>
  </si>
  <si>
    <t>CABO ADAPTADOR DP PARA HDMI</t>
  </si>
  <si>
    <t>MCB-4018</t>
  </si>
  <si>
    <t>LEITOR DE CODIGO DE BARRAS COM FIO</t>
  </si>
  <si>
    <t>KP-1027</t>
  </si>
  <si>
    <t>17416</t>
  </si>
  <si>
    <t>3 VOL</t>
  </si>
  <si>
    <t>JOYSTICK, FONE DE OUVIDO, SUPORTE VEICULAR</t>
  </si>
  <si>
    <t>KP-5815A KP-313 OR-SP009</t>
  </si>
  <si>
    <t>CABO DP 4K 60HZ 3M</t>
  </si>
  <si>
    <t>20109</t>
  </si>
  <si>
    <t>MCB-4003</t>
  </si>
  <si>
    <t xml:space="preserve">LEITOR DE CODIGO DE BARRAS SEM FIO </t>
  </si>
  <si>
    <t>03926</t>
  </si>
  <si>
    <t>D-ATX13(TTD)</t>
  </si>
  <si>
    <t>CABO DP PARA DP 4K 60HZ</t>
  </si>
  <si>
    <t>MCB-4001</t>
  </si>
  <si>
    <t>HDMI 10M 4K BLINDADO</t>
  </si>
  <si>
    <t>FL1106</t>
  </si>
  <si>
    <t xml:space="preserve">KIT GABINETE OFFICE MN168 + FONTE OFFICE GREY 200W MONOCRON </t>
  </si>
  <si>
    <t>MN168</t>
  </si>
  <si>
    <t xml:space="preserve">CHEGOU 651 UNDADES </t>
  </si>
  <si>
    <t>SUPORTE PARA DVD E PROJETOR</t>
  </si>
  <si>
    <t>MTD-31</t>
  </si>
  <si>
    <t>20301</t>
  </si>
  <si>
    <t xml:space="preserve">HDMI 15M 4K BLINDADO </t>
  </si>
  <si>
    <t>MICROFONE PROFISSIONAL DE MESA</t>
  </si>
  <si>
    <t>KIT TECLADO COM MOUSE KP-TE127</t>
  </si>
  <si>
    <t>FL1232</t>
  </si>
  <si>
    <t>KP-TE127</t>
  </si>
  <si>
    <t>MT-3502</t>
  </si>
  <si>
    <t xml:space="preserve">HDMI 20M 4K BLINDADO </t>
  </si>
  <si>
    <t>ESCANER DE CÓDIGO DE BARRAS 2D</t>
  </si>
  <si>
    <t>FL1233</t>
  </si>
  <si>
    <t>MDK-102</t>
  </si>
  <si>
    <t>PLACA MAE CONTROLADORA PARA COMPUTADOR G-A520</t>
  </si>
  <si>
    <t>G-A520</t>
  </si>
  <si>
    <t xml:space="preserve">HDMI 25M 4K BINDADO </t>
  </si>
  <si>
    <t>FL1260</t>
  </si>
  <si>
    <t>SUPORTE LEITOR DE CÓDIGO DE BARRAS</t>
  </si>
  <si>
    <t>2 CXS</t>
  </si>
  <si>
    <t>MDK-S01</t>
  </si>
  <si>
    <t>UNIDADE DE CONVERSAO DE SINAIS KP-HD001 KP-HD013</t>
  </si>
  <si>
    <t>KP-HD001 KP-HD013</t>
  </si>
  <si>
    <t>FURADEIRA, PARAFUSADEIRA, ESMERILHADEIRA, KIT DE NIVEL</t>
  </si>
  <si>
    <t>BOM-9543 BOM-9961 BOM-9704 BOM-6215</t>
  </si>
  <si>
    <t>PLATAFORMA DE ESCANEAMENTO 2D E 1D</t>
  </si>
  <si>
    <t>MDK-104</t>
  </si>
  <si>
    <t>MOUSE COM FIO PARA COMPUTADOR KP-MU008</t>
  </si>
  <si>
    <t>KP-MU008</t>
  </si>
  <si>
    <t xml:space="preserve">MONITOR 19 BPC </t>
  </si>
  <si>
    <t>BPC-19WE02-B</t>
  </si>
  <si>
    <t>ESTOQUE NINJA</t>
  </si>
  <si>
    <t>VAI RETIRAR</t>
  </si>
  <si>
    <t>SOPRADOR E ASPIRADOR ELETRICO 220V 950W</t>
  </si>
  <si>
    <t>BOM-9528</t>
  </si>
  <si>
    <t xml:space="preserve">MONITOR 19 TRONOS </t>
  </si>
  <si>
    <t>TRS-HK19WY</t>
  </si>
  <si>
    <t>PLACA DE REDE WIFI PCI-E KP-T136</t>
  </si>
  <si>
    <t>03025</t>
  </si>
  <si>
    <t>D-AI17</t>
  </si>
  <si>
    <t xml:space="preserve">TECNOLOGIA EM COMUNICAÇÃO E ENTRETERIMENTO </t>
  </si>
  <si>
    <t>TB711 V1</t>
  </si>
  <si>
    <t>JORADO</t>
  </si>
  <si>
    <t>D-AI18</t>
  </si>
  <si>
    <t>PLACA DE VIDEO PARA COMPUTADOR G-GT610/2G</t>
  </si>
  <si>
    <t>MONITOR 21,5 TRONOS</t>
  </si>
  <si>
    <t>TRS22WR-75</t>
  </si>
  <si>
    <t>BICICLETA ELETRICA MODELO MODELO S73 PRETO</t>
  </si>
  <si>
    <t>CONVERSÃO DE SINAIS INTERFACE</t>
  </si>
  <si>
    <t>PRD7707</t>
  </si>
  <si>
    <t>KP-HD001/B</t>
  </si>
  <si>
    <t xml:space="preserve">14 CXS </t>
  </si>
  <si>
    <t>CABO CHUPETA, ESMERILHADEIRA ANGULAR, KIT JOGO DE CHAVES, KIT JOGO DE FERRAMENTAS, SERRA TICO TICO, NIVE A LASER, PARAFUSADEIRA, AUXILIAR DE PARTIDA</t>
  </si>
  <si>
    <t>BOM1802 BOM9545 BOM3912 BOM3916 BOM9667 BOM9668 BOM6212 BOM9961 BOM8923</t>
  </si>
  <si>
    <t>100 wi-fi dual Band bluetooth 5g</t>
  </si>
  <si>
    <t>MINI ALTO FALANTE PARA PC (1CX-100PÇS)</t>
  </si>
  <si>
    <t>KP-609</t>
  </si>
  <si>
    <t>GUILHERME RETIROU</t>
  </si>
  <si>
    <t>HAOQUING</t>
  </si>
  <si>
    <t>ADAPTADOR ETHERNET SIGMA-P1000</t>
  </si>
  <si>
    <t>SIGMA-P1000</t>
  </si>
  <si>
    <t>JAVATECH</t>
  </si>
  <si>
    <t>KP-S02</t>
  </si>
  <si>
    <t>PLACA MAE LGA1151 H510 10/11GEN M.2 SSD DELTA-H510M2K</t>
  </si>
  <si>
    <t>DELTA-H510M2K</t>
  </si>
  <si>
    <t>FONTE ALIMENTAÇÃO PARA NOTEBOOK</t>
  </si>
  <si>
    <t>MEMORIA 16GB 3200MHZ  DRR4 CRUCIAL</t>
  </si>
  <si>
    <t>KP-525</t>
  </si>
  <si>
    <t>FONTE AS-06 MARCA ASUS</t>
  </si>
  <si>
    <t xml:space="preserve">YHAN </t>
  </si>
  <si>
    <t>ADICIONAR 80,00 FRETE QUE COBROU PARA DEIXAR NA JORADO</t>
  </si>
  <si>
    <t>CHAVE DE IMPACTO, KIT DE SERRA COPO, JOGO DE BITS, SOPRADOR</t>
  </si>
  <si>
    <t>ETIQUETA PARA IMPRESSÃO TÉRMICA</t>
  </si>
  <si>
    <t>BOM-9966 BOM-5206 BOM-5037 BOM-9581</t>
  </si>
  <si>
    <t>KP-PP06</t>
  </si>
  <si>
    <t>ik-09117</t>
  </si>
  <si>
    <t>3VOL</t>
  </si>
  <si>
    <t>5 CXS</t>
  </si>
  <si>
    <t>KIT 4 PÇS GARRA JACARE, PODADOR DE GALHOS TELESCOPIO, ESMERILHADEIRA ANGULAR, SOPRADOR TERMICO</t>
  </si>
  <si>
    <t>BOM5581 BOM9105 BOM9546 BOM9560 BOM9545</t>
  </si>
  <si>
    <t>EXTENSÃO RETRATIL COM 3 TOMADAS</t>
  </si>
  <si>
    <t>JOAO</t>
  </si>
  <si>
    <t>SL05-5M</t>
  </si>
  <si>
    <t>APPLE WATCH 11 ROSE 42M</t>
  </si>
  <si>
    <t xml:space="preserve">FILTRO DE LINHA COM 6 TOMADAS </t>
  </si>
  <si>
    <t>ik-09119</t>
  </si>
  <si>
    <t xml:space="preserve">FONTES CHAVEADAS </t>
  </si>
  <si>
    <t>CONVERSOR DIGITAL COM RESOLUCAO FULL HD RESOLUCOES COMPATIVEIS: KA-1998</t>
  </si>
  <si>
    <t>SL7606-3M</t>
  </si>
  <si>
    <t>F3012 F2012 F1012 F0512 F512 F112</t>
  </si>
  <si>
    <t>ik-09121</t>
  </si>
  <si>
    <t>1 CX</t>
  </si>
  <si>
    <t>EXTENSÃO ELÉTRICA COM CABO DE ALIMENTAÇÃO</t>
  </si>
  <si>
    <t>4CXS</t>
  </si>
  <si>
    <t>BX2205</t>
  </si>
  <si>
    <t>ML-212</t>
  </si>
  <si>
    <t>FORMAO PARA MADEIRA, LAMPADA DE PAREDE SOLAR, LAMPIAO SOLAR, MINI SOPRADOR</t>
  </si>
  <si>
    <t>BOM1093 BOM4209 BOM4211 BOM9747</t>
  </si>
  <si>
    <t xml:space="preserve">HD 1 TB HD 2 TB HD 4 TB </t>
  </si>
  <si>
    <t>ESTENIO</t>
  </si>
  <si>
    <t>INVERSOR AUTOMOTIVO 12VDC 110/V200W</t>
  </si>
  <si>
    <t>KP-IN902-110V</t>
  </si>
  <si>
    <t>22 VOL</t>
  </si>
  <si>
    <t>Cadeira De Escritório Presidente Oficial Ergonômica Apoio Para Pés - Preto</t>
  </si>
  <si>
    <t>MDC035 MDC036 MDC037 MDC033</t>
  </si>
  <si>
    <t>OFICIAL WEBSHOP</t>
  </si>
  <si>
    <t>SUPORTE VEICULAR UNIVERSAL PARA CELULAR</t>
  </si>
  <si>
    <t>OR-SP10</t>
  </si>
  <si>
    <t>15 VOL</t>
  </si>
  <si>
    <t>NIVEL, SOPRADOR, JOGO DE SOQUETES, MANDRIL, CHAVE DE IMPACTO, FACE DE CANA</t>
  </si>
  <si>
    <t>BOM6521 BOM9725 BOM36917 BOM5016 BOM9964 BOM1150</t>
  </si>
  <si>
    <t>RETIRA SP E COLOCA NA TRANSPORTADORA</t>
  </si>
  <si>
    <t>Cadeira de Escritório Begônia Oficial Ergonômica Giratória</t>
  </si>
  <si>
    <t>PRIORIZA WEBSHOP</t>
  </si>
  <si>
    <t>NVME 512</t>
  </si>
  <si>
    <t>12 CXS</t>
  </si>
  <si>
    <t>DISCO DE CORTE, DISCO DE SERRA, CONJUNTO DE LAMINAS, KIT DE TALHADEIRAS, LIXADEIRA ROTO, PARAFUSADEIRA BATERIA, SERRA TICO TICO</t>
  </si>
  <si>
    <t>BOM5102 BOM5A55 BOM5156 BOM5223 BOM9611 BOM9961 BOM9667</t>
  </si>
  <si>
    <t>KP-CB202</t>
  </si>
  <si>
    <t>MEMORIAS 8GB DDR4 2666MHZ PC MARCA KINGSTON</t>
  </si>
  <si>
    <t>PLUG ADAPTADOR 1.5M</t>
  </si>
  <si>
    <t>SL7634-1.5M</t>
  </si>
  <si>
    <t xml:space="preserve">THAIANE/RD </t>
  </si>
  <si>
    <t>IMPRESSORA EPSON MULTIFUNCIONAL ECOTANK L3250</t>
  </si>
  <si>
    <t xml:space="preserve">ESCADA ALUMINIO EXTENSIVA TELESCOPIA 3.8M 150KG </t>
  </si>
  <si>
    <t>BOM2802</t>
  </si>
  <si>
    <t>FUJIOKA</t>
  </si>
  <si>
    <t>BOLETO 21/42/63</t>
  </si>
  <si>
    <t>06952</t>
  </si>
  <si>
    <t>FONE OUVIDO 40MM 7.1</t>
  </si>
  <si>
    <t>DELTA-F7140</t>
  </si>
  <si>
    <t>08999</t>
  </si>
  <si>
    <t>3 CXS</t>
  </si>
  <si>
    <t>FOGÃO ELÉTRICO ON-FE402/127V</t>
  </si>
  <si>
    <t>ON-FE402</t>
  </si>
  <si>
    <t>CONECTOR PARA CABO RJ45 (1PCT-1000 PÇS)</t>
  </si>
  <si>
    <t>LE-14</t>
  </si>
  <si>
    <t>02048</t>
  </si>
  <si>
    <t>PLANETACEL</t>
  </si>
  <si>
    <t>SMART TV LED 55 TRONOS UHD WIFI SISTEMA SAMSUMG 4K TIZEN 7.0</t>
  </si>
  <si>
    <t xml:space="preserve">ADAPTADOR USB WIFI 802 </t>
  </si>
  <si>
    <t>17 PRO MAX 256GB  SILVER</t>
  </si>
  <si>
    <t xml:space="preserve">MOHAMED </t>
  </si>
  <si>
    <t>10095</t>
  </si>
  <si>
    <t>17 PRO MAX 256GB LARANJA</t>
  </si>
  <si>
    <t>20725</t>
  </si>
  <si>
    <t>UNIDADE DE CONVERSAO DE SINAIS KP-HD004</t>
  </si>
  <si>
    <t xml:space="preserve"> 17 PRO MAX 256GB AZUL </t>
  </si>
  <si>
    <t>32332</t>
  </si>
  <si>
    <t>DDR4 16GB 3200 HYPERX</t>
  </si>
  <si>
    <t>PROCESSADOR INTEL I5 7400 OEM</t>
  </si>
  <si>
    <t>INLI57400</t>
  </si>
  <si>
    <t>WAACESS</t>
  </si>
  <si>
    <t>ALICATE PARA CUTICULA, CHAVE AJUSTAVEL, KIT 3 MINI ESCOVAS, CORDA ELASTICA</t>
  </si>
  <si>
    <t>BOM1054 BOM1285 BOM3644 BOM7442</t>
  </si>
  <si>
    <t xml:space="preserve">TABLET S10 </t>
  </si>
  <si>
    <t>PROCESSADOR INTEL I5 7400T OEM</t>
  </si>
  <si>
    <t>PROCI57400T</t>
  </si>
  <si>
    <t>6 VOL</t>
  </si>
  <si>
    <t>BATERIA GETPOWER 48V 100AH (GP LIFE48-100 TS)</t>
  </si>
  <si>
    <t>KIT DE NIVEL A LASER, NIVEL MANUAL, FURADEIRA, DESENTUPIDOR, REFLETOR, COZINHA</t>
  </si>
  <si>
    <t>POWERSAFE</t>
  </si>
  <si>
    <t>BOM6215 BOM6528 BOM9543 BOM7517 BOM4330 BOM2339</t>
  </si>
  <si>
    <t>PROCESSADOR INTEL I5 7500 OEM</t>
  </si>
  <si>
    <t>INTLI575</t>
  </si>
  <si>
    <t xml:space="preserve">HD 500GB S PC </t>
  </si>
  <si>
    <t xml:space="preserve">CRIATIVA </t>
  </si>
  <si>
    <t>HDD WESTERN DIGITAL WD10PUR</t>
  </si>
  <si>
    <t>PROCESSADOR INTEL I5 7500T OEM</t>
  </si>
  <si>
    <t xml:space="preserve">ALICATE DE CRIMPAR </t>
  </si>
  <si>
    <t>PROCI57500T</t>
  </si>
  <si>
    <t>BOM1703</t>
  </si>
  <si>
    <t>HDD SEAGATE ST4000VX007</t>
  </si>
  <si>
    <t>02 VOL</t>
  </si>
  <si>
    <t>TELA LED 43" TRONOS SMART FHD WI-FI BLUETOOTH TR43SFA12B BOX IM</t>
  </si>
  <si>
    <t>LUMINARIA DE TETO LED</t>
  </si>
  <si>
    <t>TUPIA MANUAL LAMINADORA 220V 600W</t>
  </si>
  <si>
    <t>BOM-9542</t>
  </si>
  <si>
    <t>SSD VERDE 1TB</t>
  </si>
  <si>
    <t xml:space="preserve">MONITOR 20 BRAZILPC </t>
  </si>
  <si>
    <t>ML</t>
  </si>
  <si>
    <t>06974</t>
  </si>
  <si>
    <t>1 VOL</t>
  </si>
  <si>
    <t>POWER BANK 10000MAH WUP-966 COR PRETO</t>
  </si>
  <si>
    <t>ABRACADEIRA</t>
  </si>
  <si>
    <t>WUP-966</t>
  </si>
  <si>
    <t>BOM5491</t>
  </si>
  <si>
    <t>TEM QUE VIR SOMENTE NA COR PRETO</t>
  </si>
  <si>
    <t>MacBook Pro M5 Pro 24GB / 1TB – 14"</t>
  </si>
  <si>
    <t>PEINING</t>
  </si>
  <si>
    <t>ADAPTADOR USB WIFI 802</t>
  </si>
  <si>
    <t xml:space="preserve">GUILHERME VAI RETIRAR </t>
  </si>
  <si>
    <t>10161</t>
  </si>
  <si>
    <t>06981</t>
  </si>
  <si>
    <t>DELTA-H510M2K PLACA MAE LGA1151 H510 10/11 GEN M,2 SSD</t>
  </si>
  <si>
    <t>DELTA-H510MSK</t>
  </si>
  <si>
    <t>--</t>
  </si>
  <si>
    <t xml:space="preserve">PLACA MAE LGA1200 </t>
  </si>
  <si>
    <t xml:space="preserve">MACBOOK PRO M5 24/1T 14" PRETO APPLE </t>
  </si>
  <si>
    <t>10227</t>
  </si>
  <si>
    <t xml:space="preserve">PLACA MAE DELTA-X99 M2K </t>
  </si>
  <si>
    <t>DELTA-X99</t>
  </si>
  <si>
    <t>MONITOR 19 BRAZIL PC</t>
  </si>
  <si>
    <t>BPC-19</t>
  </si>
  <si>
    <t>PROCESSADOR I7-12700 OEM</t>
  </si>
  <si>
    <t>14 VOL</t>
  </si>
  <si>
    <t>CPUMASTER</t>
  </si>
  <si>
    <t>ESCOVA DE LIMPEZA, LAVADORA, AUXILIAR, FURADEIRA, MACHADO, SOPRADOR, TRENA</t>
  </si>
  <si>
    <t xml:space="preserve">PLACA MAE DELTA-X79M2K </t>
  </si>
  <si>
    <t>DELTA-X79M2K</t>
  </si>
  <si>
    <t>PLACA MÃE B760 LGA 1700</t>
  </si>
  <si>
    <t>BOM7377 BOM7006 BOM8923 BOM9557 BOM9558 BOM1005 BOM9206 BOM6544</t>
  </si>
  <si>
    <t>G-B760</t>
  </si>
  <si>
    <t>31215</t>
  </si>
  <si>
    <t>18 CXS</t>
  </si>
  <si>
    <t>RETIRAR E MANDAR PELA TRANSPORTADORA</t>
  </si>
  <si>
    <t>KIT COM 120 FUSIVEIS, LANTERNA TATICA, KIT COM 5 DISCOS, SUPORTE DE POLIMENTO, KT5PÇS LAMINADE, CONJUNTO 4 RODIZIOS, TORNEIRA, TALHADEIRA, FITA AMARELA, ABRAÇADEIRA, ESQUADRO, ESTILETE, PONTEIRA, SERROTE, FONTE DE ALIMENTAÇÃO</t>
  </si>
  <si>
    <t xml:space="preserve">BOM5553 BOM4311 BOM3232 BOM5121 BOM5122 BOM5130 BOM2751 BOM2012 BOM1922 BOM1339 BOM5496 BOMM6514 BOM3304 BOM5002 BOM3600 BOM5590 </t>
  </si>
  <si>
    <t>1233</t>
  </si>
  <si>
    <t xml:space="preserve">CONECTOR PARA CABO RJ45 </t>
  </si>
  <si>
    <t xml:space="preserve">DRIFT COM AMORTECEDOR </t>
  </si>
  <si>
    <t>YX-7201-1</t>
  </si>
  <si>
    <t>TJS</t>
  </si>
  <si>
    <t>FONTE DE ALIMENTAÇÃO PARA PC (ATX 750W)</t>
  </si>
  <si>
    <t xml:space="preserve">BQ PD219 PANTUM 15 28,38 425,70 UN CART DE TONER COMPATIVEL C/ PD-219 1,6K BYQUALY  </t>
  </si>
  <si>
    <t>PD219</t>
  </si>
  <si>
    <t>FALAR COM LARA ANTES DE FAZER ENTRADA</t>
  </si>
  <si>
    <t>IMS-X41PRO</t>
  </si>
  <si>
    <t>06985</t>
  </si>
  <si>
    <t>4748</t>
  </si>
  <si>
    <t>PLACA DE VÍDEO RX5600XT MKII 6GB DDR6</t>
  </si>
  <si>
    <t>FU-A4SCOOTERELETRICAFU-A4SCOOTER ELETRICAAUTOPROPULSADA</t>
  </si>
  <si>
    <t>FU-A4</t>
  </si>
  <si>
    <t xml:space="preserve">2 CX </t>
  </si>
  <si>
    <t>PROCESSADOR CPU I5 4570</t>
  </si>
  <si>
    <t>8 CX</t>
  </si>
  <si>
    <t>10301</t>
  </si>
  <si>
    <t xml:space="preserve">IMS-X35B </t>
  </si>
  <si>
    <t>CAMERA WIFI SMART PTZ PRETO SIGMA-ML212P</t>
  </si>
  <si>
    <t>SIGMA-ML212P</t>
  </si>
  <si>
    <t xml:space="preserve">KIT TECLADO E MOUSE GAMER CONEXÃO USB LED COM FIO </t>
  </si>
  <si>
    <t>KP-TE115</t>
  </si>
  <si>
    <t>10324</t>
  </si>
  <si>
    <t>PLACA MAE LGA1151 H510 10/11GM2 SSD DELTA-H510M2K</t>
  </si>
  <si>
    <t>ESMERILHADEIRA ANDULAR</t>
  </si>
  <si>
    <t>10336</t>
  </si>
  <si>
    <t xml:space="preserve">FITA AMARELA 200M </t>
  </si>
  <si>
    <t>MEMORIA RAM 16GB PARA DESKTOP DDR4 2666MHZ ARA-2616PA</t>
  </si>
  <si>
    <t>ARA-2616PA</t>
  </si>
  <si>
    <t>31392</t>
  </si>
  <si>
    <t xml:space="preserve">29 CXS </t>
  </si>
  <si>
    <t>BOMBA DE AR, SOPRADOR, FURADEIRA DE IMPACTO, KIT DE JOGO, MAQUINA DE SOLDA, PARAFUSADEIRA, SERRA MARMORE, PISTOLA, FURADEIRA, LAVADORA DE PRESSÃO</t>
  </si>
  <si>
    <t>BOM8917 BOM9206 BOM9669 BOM9670 BOM3916 BOM9507 BOM9961 BOM9550 BOM9569 BOM9570 BOM9558 BOM7006</t>
  </si>
  <si>
    <t>JOGO DE CHAVE ALLEN ABAULADA 9PÇS</t>
  </si>
  <si>
    <t>BOM-3201</t>
  </si>
  <si>
    <t>31399</t>
  </si>
  <si>
    <t>CHUVEIRO ELETRICO COMDUCHA 600W</t>
  </si>
  <si>
    <t>BOM2485</t>
  </si>
  <si>
    <t>17 VOL</t>
  </si>
  <si>
    <t>23329</t>
  </si>
  <si>
    <t xml:space="preserve">MACACO, ESCOVA, KIT DE ALICATES, JOGO DE SOQUETES, KIT MULTIFUNCIONAL, TEMPORIZADOR, BOMBA DE AR, MOTOSSERRA, PARAFUSADEIRA, ASPIRADOR, ESTILETE, LONA, SOPRADOR, TREINA, MISTURADOR, MAQUINA, FITA </t>
  </si>
  <si>
    <t>PLATAFORMA DE ESCANEAMENTO 2D VELOCIDADE MDK-104</t>
  </si>
  <si>
    <t>BOM1541 BOM1577 BOM3708 BOM3917 BOM3922 BOM3922 BOM6310 BOM8905 BOM9204 BOM9969 BOM7019 BOM7350 BOM9707 BOM6511 BOM5091 BOM9721 BOM1339</t>
  </si>
  <si>
    <t>KIT DE ALICATES PARA ANEIS 7 COM 4 PÇS EXTRATOR</t>
  </si>
  <si>
    <t>BOM-3708</t>
  </si>
  <si>
    <t>RETIRA E ENVIA POR TRANSPORTADORA</t>
  </si>
  <si>
    <t>30982</t>
  </si>
  <si>
    <t xml:space="preserve">4 CXS </t>
  </si>
  <si>
    <t xml:space="preserve">CABOS CFTV CAT6 2M, 3M, 10M </t>
  </si>
  <si>
    <t xml:space="preserve">LE-311 LE-312 LE-314 </t>
  </si>
  <si>
    <t>Intel Core i5-14600K OEM</t>
  </si>
  <si>
    <t>CAMERAS WIFI 3MP SC-B55</t>
  </si>
  <si>
    <t>SC-B55</t>
  </si>
  <si>
    <t>BRAZUSA - CONFERIR COM A LARA FRETE</t>
  </si>
  <si>
    <t>chegou 100</t>
  </si>
  <si>
    <t>CABO DE ALIMENTACAO PARA ANTENA - COMPRIMENTO: 3 METROS - MATERIAL: PVC KA-XL-3M</t>
  </si>
  <si>
    <t xml:space="preserve">SSD 480GB CRUCIAL </t>
  </si>
  <si>
    <t>JOGO DE SOQUETES LONGOS 10 PÇS 8-24MM AÇO CROMO VANADIO COM ESTOJO</t>
  </si>
  <si>
    <t>BOM-3923</t>
  </si>
  <si>
    <t xml:space="preserve">ENTREGOU NA JORADO E GUILHERME RETIROU E VAI CONFERIR </t>
  </si>
  <si>
    <t>32354</t>
  </si>
  <si>
    <t>BIRDTECH</t>
  </si>
  <si>
    <t>DISCO DE CORTE DIAMANTADO TURBO 4.5"</t>
  </si>
  <si>
    <t>2 VOL</t>
  </si>
  <si>
    <t>BOM-5106</t>
  </si>
  <si>
    <t>MINI PC MACROVIP NANOBOX K1 MV-MPK1CO5210H 2.2GHZ/DDR4/DP/HDMI/TYPE-C/USB 3.0/WIFI/GLAN/AUDIO PRETO (SEM MEMORIA E SEM HD)</t>
  </si>
  <si>
    <t>PASSADEIRA A VAPOR E LANTERNA</t>
  </si>
  <si>
    <t>PEDIR PEDIDO LARA PÁRA FAZER ENTRADA</t>
  </si>
  <si>
    <t>ON-PR903 ON-LT047</t>
  </si>
  <si>
    <t>VISAOVIP</t>
  </si>
  <si>
    <t>ABRAÇADEIRA NYLON ENFORCA GATO 4.8*200MM PRETO</t>
  </si>
  <si>
    <t>BOM-5504</t>
  </si>
  <si>
    <t xml:space="preserve">SSD 2.5 960GB MACROVIP SATA 3 2.5" MV960GB 520/450 MB/S </t>
  </si>
  <si>
    <t>SSD M.2 1TB SANDISK G26 PLUS NVME PCIE GEN 3.0 SDSSDA3N-1T00-G26 300MB/S</t>
  </si>
  <si>
    <t>BOMBA PERIFERICA HP BIVOLT</t>
  </si>
  <si>
    <t>BOM-8719</t>
  </si>
  <si>
    <t>SSD 2.5 960GB LEXAR NQ100 SATA 3 2.5" LXQ100X960G-RNNNU 550 MB/S</t>
  </si>
  <si>
    <t>BRASPRESS</t>
  </si>
  <si>
    <t xml:space="preserve">NB HP 15-FD 2050WM CORE ULTRA 5 225 U 2.4GHZ/8GB/512GB SSD/15.6" FHD IPS/TOUCH/W11/INGLES PRATA D4 JK5UA#ABA </t>
  </si>
  <si>
    <t>CARRETEL AUTOMATICO UNIVERSAL P/ ROÇADEIRA</t>
  </si>
  <si>
    <t>BOM-5691</t>
  </si>
  <si>
    <t xml:space="preserve">TAURUS </t>
  </si>
  <si>
    <t>TB4</t>
  </si>
  <si>
    <t>PÁTRICIA</t>
  </si>
  <si>
    <t xml:space="preserve">NVME 512 GB OEM </t>
  </si>
  <si>
    <t>AVELETRO</t>
  </si>
  <si>
    <t>CHYBEM</t>
  </si>
  <si>
    <t>LANTERNA TÁTICA</t>
  </si>
  <si>
    <t>31573</t>
  </si>
  <si>
    <t>PARAFUSADEIRA BATERIA 21V BOM-9961</t>
  </si>
  <si>
    <t>ENTREGOU NA JORADO E GUILHERME RETIROU E VAI CONFERIR</t>
  </si>
  <si>
    <t>BIRTECH</t>
  </si>
  <si>
    <t>31619</t>
  </si>
  <si>
    <t>13 CXS</t>
  </si>
  <si>
    <t xml:space="preserve">MAQUINA DE SOLDA E SERRA MARMORE </t>
  </si>
  <si>
    <t>BOM-9681 BOM-9549 BOM-9550</t>
  </si>
  <si>
    <t>31620</t>
  </si>
  <si>
    <t xml:space="preserve">ESMERILHADEIRA ANGULAR, FURADEIRA, KIT JOGO DE CHAVES, PARAFUSADEIRA </t>
  </si>
  <si>
    <t>BOM-9545 BOM-9543 BOM-9544 BOM-3911 BOM-3912 BOM-9961</t>
  </si>
  <si>
    <t xml:space="preserve">IPHONE 17 PRO MAX 256GB SILVER </t>
  </si>
  <si>
    <t xml:space="preserve">COOLER PARA PROCESSADOR E SUPORTE PORTATIL NOTEBOOK E TABLET </t>
  </si>
  <si>
    <t>G-VR300  OR-SP35</t>
  </si>
  <si>
    <t>ASPIRADOR DE PÓ E ÁGUA 1400W 15 LITROS 127V</t>
  </si>
  <si>
    <t>0097795</t>
  </si>
  <si>
    <t>ADAPTADOR USB 2.4GHZ WI-FI SEM ANTENA 950MBPS (802.11) USB WIFI UB-06</t>
  </si>
  <si>
    <t xml:space="preserve">PLACA DE RECE WI-FI PCI-E E SWITCH 24 PORTAS </t>
  </si>
  <si>
    <t>KP-T136 KP-SW108</t>
  </si>
  <si>
    <t>SSDM 240 KINGSTON</t>
  </si>
  <si>
    <t>NAILSON</t>
  </si>
  <si>
    <t xml:space="preserve">PLACA PCI-EXPRESS PARA REDES SEM FIO E MINI ALTOFALANTE PARA PC </t>
  </si>
  <si>
    <t>KP-T118 E KP-RO800</t>
  </si>
  <si>
    <t>10396</t>
  </si>
  <si>
    <t>10397</t>
  </si>
  <si>
    <t>PLACA MAE LGA1151 H610 12/13/14GEN M.2 SSD DELTA-H610MSK</t>
  </si>
  <si>
    <t xml:space="preserve">DELTA-H610M2K </t>
  </si>
  <si>
    <t>31664</t>
  </si>
  <si>
    <t>26 CXS</t>
  </si>
  <si>
    <t>CABO ADAPTADOR ENTRADA REDE RJ45 X SAIDA USB3.0 E MEMORIA RAM PARA DESKTOP DDR4 DIMM</t>
  </si>
  <si>
    <t>31665</t>
  </si>
  <si>
    <t>KP-AD106 KP-HD862</t>
  </si>
  <si>
    <t>30 CXS</t>
  </si>
  <si>
    <t>JOGO DE FERRAMENTAS, MOTOSERRA, SOPRADORES</t>
  </si>
  <si>
    <t>BOM-3915, BOM-9204, BOM-9206, BOM-9587, BOM-9588</t>
  </si>
  <si>
    <t>PROCESSADOR AMD RYZEN 5 5500 3.6 GHZ (4.2GHZ) AM4 C/ COOLER</t>
  </si>
  <si>
    <t xml:space="preserve">PLACA DE VIDEO E PLACA DE VIDEO PARA COMPUTADOR </t>
  </si>
  <si>
    <t>GT730D GT210</t>
  </si>
  <si>
    <t>BOLETO 28 DIAS</t>
  </si>
  <si>
    <t>PROCESSADOR AMD RYZEN 5 5600GT 3.6GHZ (4.6GHZ) AM4 C/ COOLER</t>
  </si>
  <si>
    <t>PROCESSADOR I7 3770</t>
  </si>
  <si>
    <t>935379</t>
  </si>
  <si>
    <t>GB IMORTS</t>
  </si>
  <si>
    <t>TR43SFA12B</t>
  </si>
  <si>
    <t>GAB. MATX BRAZILPC BPC-N110MATX-B M255 C/FONTE</t>
  </si>
  <si>
    <t>21494</t>
  </si>
  <si>
    <t xml:space="preserve">MEMOMORIA DDR4 16GB 3200 MACROVIP EASY </t>
  </si>
  <si>
    <t>FONTE DE ALIMENTAÇÃO P/ PC (ATX 850W) FO-MAX09 (6G/FL) E COOLER PARA PROCESSADOR CPU REF G-VR348 (6G/FL)</t>
  </si>
  <si>
    <t>21303</t>
  </si>
  <si>
    <t>KIT FAN PARA GABINETE G-VR346</t>
  </si>
  <si>
    <t>VAIVEM</t>
  </si>
  <si>
    <t>KIT DE CHAVES SOQUETES COM 40 PÇS 1/4 E 3/8</t>
  </si>
  <si>
    <t>LAVADORA, AUXILIAR DE PARTIDA, MOTOSSERRA, SOPRADOR, PISTOLA</t>
  </si>
  <si>
    <t>BOM-7006 BOM-8923 BOM-9203 BOM-9206 BOM-9569</t>
  </si>
  <si>
    <t xml:space="preserve">IPHONE 17 PRO MAX 256GB AZUL </t>
  </si>
  <si>
    <t>KIT JOGO DE CHAVES CATRACA SOQUETE 95 PÇS</t>
  </si>
  <si>
    <t>MOUSE PAD KAP-1001 KAPBOM</t>
  </si>
  <si>
    <t>CHAVES DE FENDA DUPLA, CHAVE BIELA E KITE COM3PÇS</t>
  </si>
  <si>
    <t>24/06/0226</t>
  </si>
  <si>
    <t>BOM-1114 BOM-1115 BOM-1218 BOM-3606</t>
  </si>
  <si>
    <t>JOAO REP</t>
  </si>
  <si>
    <t>1321</t>
  </si>
  <si>
    <t xml:space="preserve">SSD SATA 3 GAMER BLACK 256GB CARTELADO </t>
  </si>
  <si>
    <t>ISAAC/YHAN</t>
  </si>
  <si>
    <t>ALICATE, JOGO DE BITS, BOINA DE ESPUMA, PISTOLA, SERRA, SUPORTE, MOLA</t>
  </si>
  <si>
    <t>BOM1609 BOM5039 BOM5825 BOM5826 BOM5827 BOM5828 BOM9567 BOM9667 BOM2304 BOM2739</t>
  </si>
  <si>
    <t>21601</t>
  </si>
  <si>
    <t>SWITCH POE 24PT /1000 KP-SW108</t>
  </si>
  <si>
    <t>KP-SW108</t>
  </si>
  <si>
    <t>ATF-500 FONTE PC 500W</t>
  </si>
  <si>
    <t>ATF-500</t>
  </si>
  <si>
    <t>31747</t>
  </si>
  <si>
    <t xml:space="preserve">17 CXS </t>
  </si>
  <si>
    <t>MacBook Pro M5 Pro 24/2T 14” SPACEBLACK</t>
  </si>
  <si>
    <t>ESMERILHADEIRA ANGULAR, SACOLA PLASTICA, SERRA TICO TICO</t>
  </si>
  <si>
    <t>BOM9551 BOM5E91 BOM5E90 BOM5E92 BOM9667</t>
  </si>
  <si>
    <t>H3 STORE</t>
  </si>
  <si>
    <t>CARTAO DE MEMORIA E ADAPTADOR 32G</t>
  </si>
  <si>
    <t>M-M32GB</t>
  </si>
  <si>
    <t xml:space="preserve">PLACA MAE - H  81 - LGA 1150 - DDR3 </t>
  </si>
  <si>
    <t xml:space="preserve">CARTÃO DE MEMÓRIA E ADAPTADOR 64GB </t>
  </si>
  <si>
    <t xml:space="preserve">M-M64GB </t>
  </si>
  <si>
    <t>KIT COM 10 FERRAMENTAS 21 V COM 2 BATERIAS</t>
  </si>
  <si>
    <t>CARTAO DE MEMORIA E ADAPTADOR 128GB</t>
  </si>
  <si>
    <t>M-M128GB</t>
  </si>
  <si>
    <t>31750</t>
  </si>
  <si>
    <t xml:space="preserve">TELA LED 43" TRONOS SMART FHD WI-FI BLUETOOTH </t>
  </si>
  <si>
    <t xml:space="preserve">21 CXS </t>
  </si>
  <si>
    <t>CORRENTE DE MOTOSSERRA, FITA DE ESPUMA, KIT PRIMEIROS SOCORROS, LANTERNA DE CABEÇA, CORRENTE MOTOSSERRA</t>
  </si>
  <si>
    <t>BOM-5627 BOM-1315 BOM-3602 BOM-4008 BOM-5624</t>
  </si>
  <si>
    <t>77589</t>
  </si>
  <si>
    <t xml:space="preserve">MEMORIA DDR4 8GB 3200 KINGSTON </t>
  </si>
  <si>
    <t>PLACA MAE CONTROLADORA PARA COMPUTADOR DESKTOP</t>
  </si>
  <si>
    <t>21559</t>
  </si>
  <si>
    <t>MINI CAIXA ACUSTICA APRESENTADAS EM PARES KP-600</t>
  </si>
  <si>
    <t xml:space="preserve">MENINOS SP VAO RETIRAR E DESPACHAR </t>
  </si>
  <si>
    <t>31778</t>
  </si>
  <si>
    <t>TRENA 3M, TERMOMETRO CULINARIO, SOPRADOR COSTAL, CAIXA ORGANIZADORA, TORNEIRA, LANTERNA, POLITRIZ, MARTELETE</t>
  </si>
  <si>
    <t>BOM-6503 BOM-6710 BOM-921 BOM-28 BOM-2066 BOM-2009 BOM-4334 BOM-4327 BOM-2010/2060 BOM-9666 BOM-9633 BOM-9575</t>
  </si>
  <si>
    <t>CORTADOR DE GRAMA COM RODAS 21V-5 300W</t>
  </si>
  <si>
    <t>BO-9108</t>
  </si>
  <si>
    <t>RETIRA SP E ENTREGA SP</t>
  </si>
  <si>
    <t>31779</t>
  </si>
  <si>
    <t>15 CXS</t>
  </si>
  <si>
    <t>ESMERRLHHA ANGULAR, SERRA MARMORE, FERRO DE SOLDAR, MAQUINA DE SOLDA, ASPIRADOR DE PO, SOPRADOR, TESOURA, KIT COM 31 CHAVES, CHAVE, ESTILETE, SERROTE, KIT 5 SOQUETES, TORNEIRA</t>
  </si>
  <si>
    <t>BOM-9545 BOM-9549 BOM-9514 BOM-9682 BOM-7015 BOM-9560 BOM-1060 BOM-1059 BOM-3123 BOM-3205 BOM-3303 BOM-3600 BOM-5010 BOM-2010/2060 BOM-2009</t>
  </si>
  <si>
    <t>SCOOTER ELETRICA (AUTOPROPELIDOS) MODELO WD-6</t>
  </si>
  <si>
    <t>WD-6</t>
  </si>
  <si>
    <t>TECLADO COM FIO USB KA-691</t>
  </si>
  <si>
    <t>KA-691</t>
  </si>
  <si>
    <t>chegaram 480 dia 21/09/2026</t>
  </si>
  <si>
    <t>FU-A4 SCOOTER ELETRICA AUTOPROPULSADA</t>
  </si>
  <si>
    <t>21751</t>
  </si>
  <si>
    <t>DISCO PARA ARMAZENAMENTO 500GB TAMANHO 2,5 KP-HD810 DISCO PARA ARMAZENAMENTO 250GB TAMANHO 2.5 KP-HD808</t>
  </si>
  <si>
    <t>KP-HD810 E KP-HD808</t>
  </si>
  <si>
    <t xml:space="preserve">MacBook Pro M5 Pro 24/2T 14" SPACEBLACK </t>
  </si>
  <si>
    <t xml:space="preserve">GUILHERME RETIROU E POSTOU NOS CORREIOS </t>
  </si>
  <si>
    <t>9423</t>
  </si>
  <si>
    <t>LANTERNA TÁTICA RECARRÉGAVEL USB</t>
  </si>
  <si>
    <t>KIT PARA CHURRASCO ON-LD002</t>
  </si>
  <si>
    <t>ON-LD002</t>
  </si>
  <si>
    <t>THIAGO</t>
  </si>
  <si>
    <t>PENDRIVE MINI 64GB PREMIUM</t>
  </si>
  <si>
    <t>21747</t>
  </si>
  <si>
    <t xml:space="preserve">UNIDADE DE CONVERSAO DE SINAIS USB 3.0 KP-HD003 </t>
  </si>
  <si>
    <t>BOM-4316</t>
  </si>
  <si>
    <t>MASTERDRIVE</t>
  </si>
  <si>
    <t>CASE COMPARTILHAMENTO CONEXAO INTERNA SATA SSD M.2 KP-HD826</t>
  </si>
  <si>
    <t>KP-HD826</t>
  </si>
  <si>
    <t>LANTERNA RECARREGÁVEL COM ZOOM AJUSTÁVEL</t>
  </si>
  <si>
    <t>PENDRIVE MINI 128GB PREMIUM</t>
  </si>
  <si>
    <t>21746</t>
  </si>
  <si>
    <t>PLACA MAE CONTROLADORA PARA COMPUTADOR DESKTOP G-H81/M (6G/FL)</t>
  </si>
  <si>
    <t>G-H81</t>
  </si>
  <si>
    <t>LANTERNA DE LED RECAREGÁVEL PORTATIL</t>
  </si>
  <si>
    <t>28</t>
  </si>
  <si>
    <t>SATELITE DE ALTA VELOCIDADE PORTÁTIL WI-FI 5</t>
  </si>
  <si>
    <t>GULHERME</t>
  </si>
  <si>
    <t>SHOP NEXTRADE</t>
  </si>
  <si>
    <t>21819</t>
  </si>
  <si>
    <t xml:space="preserve">GUILHERME RETIROU E VAI ENTREGAR </t>
  </si>
  <si>
    <t>PLACA MAE CONTROLADORA PARA COMPUTADOR DESKTOP G-B250</t>
  </si>
  <si>
    <t xml:space="preserve">MONITOR 19 BRAZIL PC </t>
  </si>
  <si>
    <t>19WE02-B</t>
  </si>
  <si>
    <t>COLETOU SOMENTE 850</t>
  </si>
  <si>
    <t>31993</t>
  </si>
  <si>
    <t>PARAFUSADEIRA, ASPIRADOR, MANGUEIRA MAGICA</t>
  </si>
  <si>
    <t>BOM-9961 BOM-7005 BOM-7616</t>
  </si>
  <si>
    <t xml:space="preserve">MONITOR 24 BRAZIL PC </t>
  </si>
  <si>
    <t>24WR-75</t>
  </si>
  <si>
    <t>31997</t>
  </si>
  <si>
    <t>03100</t>
  </si>
  <si>
    <t xml:space="preserve">ESMERILHADEIRA ANGULAR, ALICATE, KIT LAMPADA </t>
  </si>
  <si>
    <t>BOM-9693 BOM-1644 BOM-4213</t>
  </si>
  <si>
    <t>OSMAR/THIAGO</t>
  </si>
  <si>
    <t>Chegou 500- chegou mais 1000 (21/09/2026)</t>
  </si>
  <si>
    <t>MÁQUINA AUTOMÁTICA PARA PROCESSAMENTO DE DADOS</t>
  </si>
  <si>
    <t>31726</t>
  </si>
  <si>
    <t>SUPORTE  TV CHAO GIRATORIO</t>
  </si>
  <si>
    <t>LE-3425</t>
  </si>
  <si>
    <t>ANTENA DIGITAL E RADIO REPRODUTOR</t>
  </si>
  <si>
    <t>LE-3094-12 LE-666 LE-601 LE-602</t>
  </si>
  <si>
    <t>1cx</t>
  </si>
  <si>
    <t>10487</t>
  </si>
  <si>
    <t>PLACA MAE LGA1700</t>
  </si>
  <si>
    <t>DDR4 16GB 3200 NOT</t>
  </si>
  <si>
    <t>DELTA-H510M2K PLACA MAE LGA1151 H510 10/11GEN M.2 SSD</t>
  </si>
  <si>
    <t>entrada antecipada dia 18/09/2026</t>
  </si>
  <si>
    <t xml:space="preserve">MESA DE SOM SEIS CANAIS </t>
  </si>
  <si>
    <t>ON-MX02</t>
  </si>
  <si>
    <t>10510</t>
  </si>
  <si>
    <t>DISCO FISICO DE ARMAZENAMENTO DE DADOS (1TB)</t>
  </si>
  <si>
    <t>10541</t>
  </si>
  <si>
    <t>HDMI A X HDMI F 90</t>
  </si>
  <si>
    <t xml:space="preserve">DELTA-X79M2K </t>
  </si>
  <si>
    <t>I5 - 7500</t>
  </si>
  <si>
    <t>KP-HM022</t>
  </si>
  <si>
    <t>04530</t>
  </si>
  <si>
    <t xml:space="preserve">ETIQUETA PARA IMPRESSAOTERMICA </t>
  </si>
  <si>
    <t>KP-PP05</t>
  </si>
  <si>
    <t>MONITOR LED RESOLUÇÃO 1920*1080 TAMANHO TELA 27 D-MN006</t>
  </si>
  <si>
    <t>I5 - 8500</t>
  </si>
  <si>
    <t xml:space="preserve">PLACA MAE CONTROLADORA  PARA COMPUTADOR DESKTOP </t>
  </si>
  <si>
    <t>PLACA MAE LGA 1200</t>
  </si>
  <si>
    <t xml:space="preserve">NVME 512 </t>
  </si>
  <si>
    <t xml:space="preserve">GUILHERME/ISAAC </t>
  </si>
  <si>
    <t xml:space="preserve">CABO USB X MICRO USB CARREGAMENTO RAPIDO </t>
  </si>
  <si>
    <t>MEMORIA 16g 3200 hyper</t>
  </si>
  <si>
    <t>POWER BANK 10000MAH SOLAR WUP-822</t>
  </si>
  <si>
    <t>2 vol</t>
  </si>
  <si>
    <t>WUP-822</t>
  </si>
  <si>
    <t xml:space="preserve">BALANÇA DIGITAL E PROCESSADOR DE ALIMENTOS </t>
  </si>
  <si>
    <t>CABO USB X TYPE-C PARA CELULAR</t>
  </si>
  <si>
    <t>OR-C013/C1</t>
  </si>
  <si>
    <t>MU-002 SRQ-015</t>
  </si>
  <si>
    <t>POWER BANK 5000MAH WUP-952</t>
  </si>
  <si>
    <t>WUP-952</t>
  </si>
  <si>
    <t xml:space="preserve">FONE DE OUVIDO PE-P67 </t>
  </si>
  <si>
    <t xml:space="preserve">PEI-P627 </t>
  </si>
  <si>
    <t>CABO USB X LIGHTNINHG CARREGAMENTO RAPIDO</t>
  </si>
  <si>
    <t xml:space="preserve">POWER BANK 10000MAH WUP-951 </t>
  </si>
  <si>
    <t>WUP-951</t>
  </si>
  <si>
    <t>BOM5624</t>
  </si>
  <si>
    <t>POWER BANK 22.5W 10000MAH WUP-832</t>
  </si>
  <si>
    <t>WUP-832</t>
  </si>
  <si>
    <t xml:space="preserve">PLACA MAE CONTROLADORA PARA COMPUTADOR </t>
  </si>
  <si>
    <t>47 cx</t>
  </si>
  <si>
    <t>ESMILHADEIRA, FURADEIRA, KIT JOGO, AUXILIAR DE PARTIDA, SERRA DE TICO, MAQUINA DE SOLDA</t>
  </si>
  <si>
    <t>POWER BANK 22.5W 20000MAH WUP-967</t>
  </si>
  <si>
    <t>BOM9551 BOM9552 BOM9543 BOM9544 BOM3907 BOM3916 BOM8906 BOM9667 BOM9668 BOM9681</t>
  </si>
  <si>
    <t>WUP-967</t>
  </si>
  <si>
    <t>MAC NEO 13" 08GB+256GB 06C CPU 05C GPU</t>
  </si>
  <si>
    <t>FONE DE OUVIDO TPC PEI-EP106</t>
  </si>
  <si>
    <t>PEI-EP106</t>
  </si>
  <si>
    <t>CAIXA DE SOM X69 500W</t>
  </si>
  <si>
    <t>COMPUTADOR ALL IN ONE D-A24I512</t>
  </si>
  <si>
    <t>ESCADA ALUMIO EXTENSIVA TELESCOPICA</t>
  </si>
  <si>
    <t>BOM-2809</t>
  </si>
  <si>
    <t>CAIXA DE SOM IMENSO X32 120W</t>
  </si>
  <si>
    <t>IMS-X32</t>
  </si>
  <si>
    <t>PLACA MAE 1150 H81 4GEN M.2 SSD</t>
  </si>
  <si>
    <t>PLACA MAE 1155 H61 3GEN M.2 SSD</t>
  </si>
  <si>
    <t>CABO DE DADOS COM DISPLAY DIGITAL 100W</t>
  </si>
  <si>
    <t>IMS-1761</t>
  </si>
  <si>
    <t>HD 2TB SEAGATE</t>
  </si>
  <si>
    <t xml:space="preserve">MONITOR GMAER 49P DQHD 165HZ </t>
  </si>
  <si>
    <t>CABO TURBO COM DISPLAY DIGITAL 1M USB-TYPE-C</t>
  </si>
  <si>
    <t>IMS-1791</t>
  </si>
  <si>
    <t xml:space="preserve">FONTE DE ALIMENTAÇÃO PARA PC </t>
  </si>
  <si>
    <t>CARREGADOR VEICULAR 53W COM CABO</t>
  </si>
  <si>
    <t>IMS-215C</t>
  </si>
  <si>
    <t xml:space="preserve">9 CXS </t>
  </si>
  <si>
    <t xml:space="preserve">UFO-VL20-A PRETO BELLA VIDA UFO-N7A UFO-N7B UFO-N7C UFO-N7D UFO-N7E MPE-Z1TURBO </t>
  </si>
  <si>
    <t xml:space="preserve">SHOWRROM </t>
  </si>
  <si>
    <t>CARREGADOR VEICULAR A 30W</t>
  </si>
  <si>
    <t>FONTE DE ALIMENTAÇÃO P/PC</t>
  </si>
  <si>
    <t>IMS-215L A</t>
  </si>
  <si>
    <t>NOTEBOOK HP ZBOOK FIREFLY 14G8 - INTEL CORE I5 11ª GERAÇÃO</t>
  </si>
  <si>
    <t xml:space="preserve">CABO USB LIGHTNING </t>
  </si>
  <si>
    <t>RENILSON</t>
  </si>
  <si>
    <t>CARREGADOR VEICULAR</t>
  </si>
  <si>
    <t>OR-C026</t>
  </si>
  <si>
    <t>IMS-215 A</t>
  </si>
  <si>
    <t>MONITOR GAMER 24P 165HZ DELTA-M2412A  E MONITOR GAMER CURVO 27P DELTA-M2711AC</t>
  </si>
  <si>
    <t>DELTA-M2412A E DELTA-M2711AC</t>
  </si>
  <si>
    <t>CARREGADOR 65W 2TYPE-C-USB</t>
  </si>
  <si>
    <t>IMS-268P-B</t>
  </si>
  <si>
    <t>Drift 300w</t>
  </si>
  <si>
    <t xml:space="preserve">CABO VGA 1,50 METROS (VGA 1,5M) </t>
  </si>
  <si>
    <t>Overboard</t>
  </si>
  <si>
    <t>FLASHDRIVE</t>
  </si>
  <si>
    <t>CARREGADOR CONECTOR 4 SAÍDAS TURBO 85W USB-TYPE-C</t>
  </si>
  <si>
    <t>IMS-268P C</t>
  </si>
  <si>
    <t>COMPUTADOR ALL IN ONE D-A24I512 (TTD) B</t>
  </si>
  <si>
    <t>D-A24I512</t>
  </si>
  <si>
    <t>CARREGADOR 65W USB-TYPE-C</t>
  </si>
  <si>
    <t>IMS-268PC B</t>
  </si>
  <si>
    <t>CABO DE FORÇA 2P+T X IEC 320 C6 (PLUGUE MACHO) 1.5 METROS REF:503026</t>
  </si>
  <si>
    <t>CARREGADOR 4 SAÍDAS TURBO 85W USB-TYPE-C</t>
  </si>
  <si>
    <t>IMS-268PC C</t>
  </si>
  <si>
    <t>COOLER GABINETE KIT 3 PÇS</t>
  </si>
  <si>
    <t>DELTA-C1263P</t>
  </si>
  <si>
    <t>FONTE DE ALIMENTAÇÃO MULTIUSO 110/220V 5V/2A REF: KP-CA205</t>
  </si>
  <si>
    <t>KP-CA205</t>
  </si>
  <si>
    <t>IMS-757 A</t>
  </si>
  <si>
    <t>DRIFT 300W</t>
  </si>
  <si>
    <t>CABO HDMI 1.4 ALTA DEFINICAO KP-YP51000 3M</t>
  </si>
  <si>
    <t>KP-YP51000 3M</t>
  </si>
  <si>
    <t xml:space="preserve">PLACA MAE CONTROLADORA PARA COMPUTADOR DESKTOP </t>
  </si>
  <si>
    <t>CAIXA DE SOM Á PROVA D'ÁGUA 80W 8000MAH</t>
  </si>
  <si>
    <t>IMS-X37 C</t>
  </si>
  <si>
    <t>CABO HDMI 1.4 ALTA DEFINICAO KP-YP51000 5M</t>
  </si>
  <si>
    <t>KP-YP51000 5M</t>
  </si>
  <si>
    <t>PROJETOR MULTIMIDIA MPR-2009A</t>
  </si>
  <si>
    <t>CONSOLE PORTATIL KP-GX02 (6G/FL)</t>
  </si>
  <si>
    <t>POWER BANK 20000MAH 65W</t>
  </si>
  <si>
    <t>KP-GX02 (6G/FL)</t>
  </si>
  <si>
    <t>IMS-611D-B</t>
  </si>
  <si>
    <t xml:space="preserve">MONITOR GAMER 49P DQHD 165HZ </t>
  </si>
  <si>
    <t>DELTA-M4922AUC</t>
  </si>
  <si>
    <t>CONTROLE DE JOGOS, USB PARA PC (SEM FIO) KP-GM018 (6G/FL)</t>
  </si>
  <si>
    <t>POWER BANK 30000MAH 65W COM LANTERNA</t>
  </si>
  <si>
    <t>IMS-626T-B</t>
  </si>
  <si>
    <t>SUPORTE AUTOMATIVO PARA SMARTPHONE REF: OR-SP72 (6G/FL)</t>
  </si>
  <si>
    <t xml:space="preserve"> OR-SP72 (6G/FL)</t>
  </si>
  <si>
    <t>POWER BANK 60000MAH 100W COM LANTERNA</t>
  </si>
  <si>
    <t>IMS-618S</t>
  </si>
  <si>
    <t>SUPORTE VEICULAR UNIVERSAL PARA SMARTPHONES REF: OR--SP007 (6G/FL)</t>
  </si>
  <si>
    <t xml:space="preserve"> OR--SP007 (6G/FL)</t>
  </si>
  <si>
    <t xml:space="preserve">HEADSET BLUETOOTH </t>
  </si>
  <si>
    <t>IMS-859</t>
  </si>
  <si>
    <t>SUPORTE AUTOMOTIVO PARA SMARTPHONE REF: OR-SP24 (6G/FL)</t>
  </si>
  <si>
    <t>OR-SP24 (6G/FL)</t>
  </si>
  <si>
    <t>FU-A4 SCOOTER ELETRICA AUTOPROPULSADA PRETA</t>
  </si>
  <si>
    <t>CONTROLE PARA VIDEO GAME SEM FIO REF: KP-GM006 (6G/FL)</t>
  </si>
  <si>
    <t>HEADSET BLUETOOTH SEM FIO</t>
  </si>
  <si>
    <t>KP-GM006 (6G/FL)</t>
  </si>
  <si>
    <t>IMS-890</t>
  </si>
  <si>
    <t>SCOOTER ELETRICA MODELO R13</t>
  </si>
  <si>
    <t>POWER BANK 30000MAH 100W COM LANTERNA</t>
  </si>
  <si>
    <t>MASSAGEADOR MUSCULAR PARA USO DOMESTICO REF: KP-EM12 (7E/TTD)</t>
  </si>
  <si>
    <t>IMS-626T</t>
  </si>
  <si>
    <t>KP-EM12 (7E/TTD)</t>
  </si>
  <si>
    <t>5 CX</t>
  </si>
  <si>
    <t>LAVADORA, DETECDOR DE METAIS, FERR, LAVADORA, KIT RETIFICA</t>
  </si>
  <si>
    <t>BOM7006 BOM6814 BOM9514 BOM7021 BOM9604</t>
  </si>
  <si>
    <t>FONTE ALIMENTAÇÃO P/ NOTEBOOK KP-525A+(7E/TTD)</t>
  </si>
  <si>
    <t>KP-525A+(7E/TTD)</t>
  </si>
  <si>
    <t>IMS-X59 A</t>
  </si>
  <si>
    <t>LANTERNA LED RECARREGAVEL</t>
  </si>
  <si>
    <t>BOM-4506</t>
  </si>
  <si>
    <t>03118</t>
  </si>
  <si>
    <t>CAIXA DE SOM MULTIMIDEA COM 2 CANAIS KP-7024 (7E/TTD)</t>
  </si>
  <si>
    <t>KP-7024 (7E/TTD)</t>
  </si>
  <si>
    <t>IPHONE 17 PRO MAX 256GB AZUL</t>
  </si>
  <si>
    <t>MINI CAIXA ACUSTICA APRESENTADAS EM PARES KP-600 (FL/CX=80)</t>
  </si>
  <si>
    <t>KP-600 (FL/CX=80)</t>
  </si>
  <si>
    <t>BALANÇA DIGITAL 180KG</t>
  </si>
  <si>
    <t>IPHONE 17 256GB PRETO</t>
  </si>
  <si>
    <t xml:space="preserve">LARA </t>
  </si>
  <si>
    <t>MOUSE GAMER USB LED PÁRA COMPUTADOR PC NOTEBOOK KP-MU013 (FL)</t>
  </si>
  <si>
    <t>KP-MU013 (FL)</t>
  </si>
  <si>
    <t>ADAPTADOR USB WIFI 600 MBPS (DUAL BAND SEM FIO)</t>
  </si>
  <si>
    <t>REPETIDOR DE SINAL WIRELESS KP-3007</t>
  </si>
  <si>
    <t>17 PRO MAX 256 GB SILVER</t>
  </si>
  <si>
    <t>CAIXA DE SOM MULTIMIDIA 2.0 CANAIS VOLUME KP-RO823 (FL)</t>
  </si>
  <si>
    <t>KP-RO823 (FL)</t>
  </si>
  <si>
    <t>ADAPTADOR USB WIFI+BLUETOOH</t>
  </si>
  <si>
    <t>18/0/2026</t>
  </si>
  <si>
    <t>PLACA DE REDE WI-FI PCI-E KP-T136 (FL)</t>
  </si>
  <si>
    <t>KP-T136 (FL)</t>
  </si>
  <si>
    <t>COOLER 115X X  C1 DUEX</t>
  </si>
  <si>
    <t>CABO HDMI 2.1 8K SERIE DE ALTA DENIFICAO KP-YP5005 1.5M (FL)</t>
  </si>
  <si>
    <t>KP-YP5005 1.5M (FL)</t>
  </si>
  <si>
    <t>5 itens</t>
  </si>
  <si>
    <t xml:space="preserve">CAIXA DE SOM AMPLIFICADA BLUETOOTH 12" 480W 15" 900W 8" 250W CELULAR DE MESA 4G DUAL CHIP ANTENA EXTERNA DIGITAL PARA TV 3 EM 1 COMPLETA </t>
  </si>
  <si>
    <t>HP-480 HP-900 HP-250 CA-42SX4G DTV-1500</t>
  </si>
  <si>
    <t>CABO HDMI 2.1 8K SERIE DE ALTA DEFINICAO KP-YP-5005 3M (FL)</t>
  </si>
  <si>
    <t>KP-YP-5005 3M (FL)</t>
  </si>
  <si>
    <t>TEVE BONIFICAÇÃO</t>
  </si>
  <si>
    <t>UNIDADE DE CONVERSAO DE SINAIS INTERFACE KP-HD001/B (FL/1CXS=100)</t>
  </si>
  <si>
    <t>KP-HD001/B (FL/1CXS=100)</t>
  </si>
  <si>
    <t>CORTADORA DE PAREDE 127V PARA CONCRETO 3500W 135MM</t>
  </si>
  <si>
    <t>PAINEL DE LED P2.97 OUTDOOR 5000X1000MM</t>
  </si>
  <si>
    <t>P2.976OUT-50X100</t>
  </si>
  <si>
    <t>AVMEDIA</t>
  </si>
  <si>
    <t>PC TAURUS TB20 4G</t>
  </si>
  <si>
    <t>TB20</t>
  </si>
  <si>
    <t>CABO ACHATADO/MALHA HDTV VERSION 1.4</t>
  </si>
  <si>
    <t xml:space="preserve">APONTADOR DE LAPIS ELETRICO </t>
  </si>
  <si>
    <t>LE-6614-3M</t>
  </si>
  <si>
    <t>PLACA MAE CONTROLADORA PARA COMPUTADOR DESKTOP G-H610</t>
  </si>
  <si>
    <t xml:space="preserve">17 AIR 256GB PRETO </t>
  </si>
  <si>
    <t>PLACA MAE CONTROLADORA PARA COMPUTADOR DESKTOP G-A520</t>
  </si>
  <si>
    <t>LE-6614-10M</t>
  </si>
  <si>
    <t>17 256GB PRETO</t>
  </si>
  <si>
    <t xml:space="preserve">ADAPTADOR BLUETOOTH PARA PC </t>
  </si>
  <si>
    <t>KA-1188</t>
  </si>
  <si>
    <t>16 128GB CPO PRETO</t>
  </si>
  <si>
    <t>TECLADO COM FIO ABNT 2 KA-691</t>
  </si>
  <si>
    <t>LE-6614-5M</t>
  </si>
  <si>
    <t xml:space="preserve">CHALEIRA ELETRICA </t>
  </si>
  <si>
    <t>CARTÃO DE MEMORIA MICRO SD 32G D-TF32/L (TTD)</t>
  </si>
  <si>
    <t>D-TF32/L (TTD)</t>
  </si>
  <si>
    <t xml:space="preserve">AFIADOR DE FACAS MANUAL </t>
  </si>
  <si>
    <t>ON-LDO016</t>
  </si>
  <si>
    <t>CARTÃO DE MEMORIA MICRO SD 64G D-TF64/L (TTD)</t>
  </si>
  <si>
    <t>D-TF64/L (TTD)</t>
  </si>
  <si>
    <t>DELTA-M3422AUC PRO MONITOR GAMER 34P 2K 165HZ</t>
  </si>
  <si>
    <t>KAP-V078</t>
  </si>
  <si>
    <t>TABLETE PAD 2 8/256GB</t>
  </si>
  <si>
    <t>RAQUETE ELETRICA MATA MOSQUITO</t>
  </si>
  <si>
    <t>KA-66 B</t>
  </si>
  <si>
    <t>GUIKLHERME</t>
  </si>
  <si>
    <t>CHEGOU SOMENTE 108</t>
  </si>
  <si>
    <t>CRIATIVA DISTRIBUIDORA</t>
  </si>
  <si>
    <t>CABO USB X LIGHTNING CARREGAMENTO RAPIDO REF: OR-C023/L (6G/FL)</t>
  </si>
  <si>
    <t>OR-C023/L (6G/FL)</t>
  </si>
  <si>
    <t xml:space="preserve">LICENÇA WINDOWS 11 PRO - OEM </t>
  </si>
  <si>
    <t>TABLETE PAD PRO 5G 6/128GB</t>
  </si>
  <si>
    <t>CLIENTE VAI ENVIAR</t>
  </si>
  <si>
    <t>THAYOS</t>
  </si>
  <si>
    <t>COOLER PARA PROCESSADOR REF: G-VR358</t>
  </si>
  <si>
    <t>G-VR358</t>
  </si>
  <si>
    <t xml:space="preserve">LICENÇA WINDOWS 10 PRO - OEM </t>
  </si>
  <si>
    <t>MOUSE PAD KP-S08</t>
  </si>
  <si>
    <t>TABLETE PAD 2 PRO 8/256GB</t>
  </si>
  <si>
    <t>KP-S08</t>
  </si>
  <si>
    <t>FU-A4 SCOOTER CINZA</t>
  </si>
  <si>
    <t>TECLADO E MOUSE COM FIO PARA COMPUTADOR REF: KP-TE118</t>
  </si>
  <si>
    <t xml:space="preserve"> KP-TE118</t>
  </si>
  <si>
    <t>J10 AUTOPROPELIDO PRETO</t>
  </si>
  <si>
    <t>TABLETE PAD 2 PPRO 6/128GB</t>
  </si>
  <si>
    <t xml:space="preserve">KIT MARTELETE 21V 10BATERIAS </t>
  </si>
  <si>
    <t>FONTE DE ALIMENTAÇÃO P/ NOTEBOOK REF KP-525A+(7E/TTD)</t>
  </si>
  <si>
    <t>02106</t>
  </si>
  <si>
    <t xml:space="preserve">PLACA MAE LGA 1200 G-H511 </t>
  </si>
  <si>
    <t>ADAPTADOR CARPLAY</t>
  </si>
  <si>
    <t>EXTENSÃO COM 3 TOMADAS REF: SL7013-1.5M(7E/TTD)</t>
  </si>
  <si>
    <t>VPL-1463</t>
  </si>
  <si>
    <t>SL7013-1.5M(7E/TTD)</t>
  </si>
  <si>
    <t xml:space="preserve">4 CX </t>
  </si>
  <si>
    <t>ENTENSÃO COM 3 TOMADAS REF: SL7013-5M(7E/TTD)</t>
  </si>
  <si>
    <t>SL7013-5M(7E/TTD)</t>
  </si>
  <si>
    <t>KIT COM 8 FERRAMENTAS E SOPRADOR A GASOLINA</t>
  </si>
  <si>
    <t>BOM-9762 BOM-9206</t>
  </si>
  <si>
    <t>ENTENSÃO COM 3TOMADAS REF: SL7013-3M(7E/TTD)</t>
  </si>
  <si>
    <t>SL7013-3M(7E/TTD)</t>
  </si>
  <si>
    <t>MEMORIA 8GB DDR3 AXPRO</t>
  </si>
  <si>
    <t xml:space="preserve">FILTRO DE LINHA EM REGUA PARA 6 TOMADAS REF: SL7506 (7E/TTD) </t>
  </si>
  <si>
    <t xml:space="preserve">SL7506 (7E/TTD) </t>
  </si>
  <si>
    <t>SOPRADOR E ASPIRADOR BRUSHLESS 21V ALTA POTENCIA C/ 6 NIVEIS DE VELOCIDADE AJUSTAVEIS</t>
  </si>
  <si>
    <t>BOM-9752</t>
  </si>
  <si>
    <t>LICENÇA ESD OFFICE PRO 2021 FPP ATIVAÇÃO 0800</t>
  </si>
  <si>
    <t>WEBCAM APM-A520M2K</t>
  </si>
  <si>
    <t>APM-A520M2K</t>
  </si>
  <si>
    <t>MOUSE PAD KP-S09</t>
  </si>
  <si>
    <t xml:space="preserve"> KP-S09</t>
  </si>
  <si>
    <t>MONITOR LED 21.5" TRONOS TRS22WR-75 FHD 75HZ PRETO</t>
  </si>
  <si>
    <t>CONJUNTO DE TECLADO COM MOUSE PARA COMPUTADOR KP-2054</t>
  </si>
  <si>
    <t>KP-2054</t>
  </si>
  <si>
    <t>02</t>
  </si>
  <si>
    <t>CASE SATA (2.5/9.5MM) HD REF: KP-HD010 (FL)</t>
  </si>
  <si>
    <t>KP-HD010 (FL)</t>
  </si>
  <si>
    <t>TECLADO PARA COMPUTADOR, ESTILO GAMER KP-TE121 (FL)</t>
  </si>
  <si>
    <t>KP-TE121 (FL)</t>
  </si>
  <si>
    <t>PLACA DE REDE WIFI PCI-E KP-T136 (FL)</t>
  </si>
  <si>
    <t>SCOOTER</t>
  </si>
  <si>
    <t>UF0-MN01A</t>
  </si>
  <si>
    <t>CARREGADOR DE NOTEBOOK KP-525 (FL)</t>
  </si>
  <si>
    <t>KP-525 (FL)</t>
  </si>
  <si>
    <t>MPE-08518A</t>
  </si>
  <si>
    <t>FONTE ALIMETAÇÃO PARA NOTEBOOK KP--525 (FL)</t>
  </si>
  <si>
    <t>KP--525 (FL)</t>
  </si>
  <si>
    <t>MINI TECLADO SEM FIO TECNOLOGIA BLUETOOTH KP-TE109 (FL)</t>
  </si>
  <si>
    <t>KP-TE109 (FL)</t>
  </si>
  <si>
    <t>RX - 580 HQ</t>
  </si>
  <si>
    <t>MINI CAIXAS ACUSTICAS APRESENTADA EM PARES KP-601 (FL)</t>
  </si>
  <si>
    <t>KP-601 (FL)</t>
  </si>
  <si>
    <t>BASTÃO DE LUZ LED ILUMINAÇÃO COLORIDA OR-PL01 (6G/FL)</t>
  </si>
  <si>
    <t>OR-PL01 (6G/FL)</t>
  </si>
  <si>
    <t>SUPORTE PARA NOTEBOOK OR-SP253 (6G/FL)</t>
  </si>
  <si>
    <t>OR-SP253 (6G/FL)</t>
  </si>
  <si>
    <t>ANTENA DIGITAL HDTV INTERNA E EXTERNA OR-MI802/5M (6G/FL)</t>
  </si>
  <si>
    <t>OR-MI802/5M (6G/FL)</t>
  </si>
  <si>
    <t>GABINETE GAMER D-MATX06 (TTD)</t>
  </si>
  <si>
    <t>D-MATX06 (TTD)</t>
  </si>
  <si>
    <t xml:space="preserve">PATRICIA </t>
  </si>
  <si>
    <t>GRASEPH</t>
  </si>
  <si>
    <t>PLACA MÃE LGA1150 H81 CHIPSET LAN 100/1000MB</t>
  </si>
  <si>
    <t>G-H81 PRO</t>
  </si>
  <si>
    <t>GABINETE GAMER D-ATX09 (TTD)</t>
  </si>
  <si>
    <t>D-ATX09 (TTD)</t>
  </si>
  <si>
    <t>GABINETE GAMER D-ATX18 (TTD)</t>
  </si>
  <si>
    <t>D-ATX18 (TTD)</t>
  </si>
  <si>
    <t>PLACA MÃE H81PLUS</t>
  </si>
  <si>
    <t>G-H81 PLUS</t>
  </si>
  <si>
    <t>GABINETE GAMER D-ATX17 (TTD)</t>
  </si>
  <si>
    <t>D-ATX17 (TTD)</t>
  </si>
  <si>
    <t>PLACA MÃE H-81 PC</t>
  </si>
  <si>
    <t>GABINETE GAMER D-ATX15 (TTD)</t>
  </si>
  <si>
    <t>D-ATX15 (TTD)</t>
  </si>
  <si>
    <t>MONITOR LED 34 REF: D-GR340 (TTD)</t>
  </si>
  <si>
    <t>D-GR340 (TTD)</t>
  </si>
  <si>
    <t>PROJETOR EPSON POWERLITE E24 3600 LUMNES BRANCO 127/220V</t>
  </si>
  <si>
    <t>AMO PACOTES COMERCIO</t>
  </si>
  <si>
    <t>CHALEIRA ELETRICA ON-CL200/110 (HAO/TTD)</t>
  </si>
  <si>
    <t>ON-CL200/110 (HAO/TTD)</t>
  </si>
  <si>
    <t>LUMINARIA DE LED PARA ILUMINAÇÃO PUBLICA ON-LU236 (HAO/TTD)</t>
  </si>
  <si>
    <t>ON-LU236 (HAO/TTD)</t>
  </si>
  <si>
    <t>SSD GAMERBLACK 512GB CARTELADO</t>
  </si>
  <si>
    <t>GB</t>
  </si>
  <si>
    <t>PAINEL DE LED P5 OUTDOOR 96X96CM SMD 2727</t>
  </si>
  <si>
    <t>P5OUT 96X96</t>
  </si>
  <si>
    <t>PROCESSADORA DE VIDEO E REPRODUTOR</t>
  </si>
  <si>
    <t>V760</t>
  </si>
  <si>
    <t>KIT DE JOGO DE SOQUETES COM ENCAIXE DE 1/2" 12PE</t>
  </si>
  <si>
    <t>SQUUISHY DUMPLING</t>
  </si>
  <si>
    <t>KIT DE FERRAMENTAS, MAQUINA DE SOLDA, ASPIRADOR DE PO, JOGO BITS, LANTERNA, MANGUEIRA FLEX</t>
  </si>
  <si>
    <t>BOM-3902, BOM-9682, BOM-7015, BOM-5004, BOM-4334, BOM-7633</t>
  </si>
  <si>
    <t xml:space="preserve">20CXS </t>
  </si>
  <si>
    <t>BOMBA DE AR, ESMILHADEIA, MAQE SOLDA, MINI MOTOSSERA, SERRA MARMORE, FURADEIRA E MARTELETE</t>
  </si>
  <si>
    <t>BOM8917, BOM9545, BOM9546, BOM9507, BOM9101, BOM9549, BOM9557</t>
  </si>
  <si>
    <t>3CXS</t>
  </si>
  <si>
    <t>PARAFUSADEIRA. SERRA MARMORE. PARAFUSADEIRA BATERIA</t>
  </si>
  <si>
    <t>BOM9973 BOM9549 BOM9961</t>
  </si>
  <si>
    <t>CASADA/ESTOQE</t>
  </si>
  <si>
    <t>9CXS</t>
  </si>
  <si>
    <t>JOGO DE CHAVE, KIT JOGO DE CHAVES, KIT DE PARAFUSADEIRA, ESGUICHO, JOGO 3 BROCA, PARAFUSADEIRA</t>
  </si>
  <si>
    <t>BOM-3216, BOM3911, BOM-9972, BOM7607, BOM5021, BOM9961</t>
  </si>
  <si>
    <t>35CXS</t>
  </si>
  <si>
    <t>DESEMPENADEIRA 21V, LIXADEIRA, MISTURADOR, NIVEL A LASER, PISTOLA DE PINTURA</t>
  </si>
  <si>
    <t>BOM9746, BOM-9611, BOM9547, BOM6209, BOM9567</t>
  </si>
  <si>
    <t>MAQUINA DE SOLDA 110V E MAQUINA DE DE SOLDA 220V</t>
  </si>
  <si>
    <t>BOM9571 BOM9572</t>
  </si>
  <si>
    <t>INTI55GER</t>
  </si>
  <si>
    <t>PROCESSADOR INTEL I5 6600 OEM</t>
  </si>
  <si>
    <t>I56600</t>
  </si>
  <si>
    <t>SERRA SABRE 21V</t>
  </si>
  <si>
    <t>PROCESSADOR INTEL I5 6600K OEM</t>
  </si>
  <si>
    <t>PROCI56600K</t>
  </si>
  <si>
    <t>PROCESSADOR INTEL I5 7600 OEM</t>
  </si>
  <si>
    <t>INTI576KBX</t>
  </si>
  <si>
    <t>INTLI58500</t>
  </si>
  <si>
    <t>Windows 11 Profissional</t>
  </si>
  <si>
    <t>SEFENODE</t>
  </si>
  <si>
    <t>JBLSPINNERBTGLDBR</t>
  </si>
  <si>
    <t>BOM-9702</t>
  </si>
  <si>
    <t>MESA GAMER DELTA-M1202K</t>
  </si>
  <si>
    <t>DELTA-M1202K</t>
  </si>
  <si>
    <t>MESA GAMER DELTA-M1203Y</t>
  </si>
  <si>
    <t>PISTOLA DE PINTURA PULVERIZADORA ELETRICA COM LED 127V 550W</t>
  </si>
  <si>
    <t>BOM-9641</t>
  </si>
  <si>
    <t>MESA GAMER DELTA-M1205Z</t>
  </si>
  <si>
    <t>DELTA-M1205Z</t>
  </si>
  <si>
    <t>MESA GAMER DELTA-M1211T</t>
  </si>
  <si>
    <t xml:space="preserve"> DELTA-M1211T</t>
  </si>
  <si>
    <t>MESA GAMER DELTA-M1401T</t>
  </si>
  <si>
    <t>DELTA-M1401T</t>
  </si>
  <si>
    <t>MESA GAMER DELTA-M16001H</t>
  </si>
  <si>
    <t>DELTA-M16001H</t>
  </si>
  <si>
    <t xml:space="preserve">CAIXA DE SOM MULTIMIDIA 2.0 CANAIS </t>
  </si>
  <si>
    <t>MESA GAMER DELTA-M1602H</t>
  </si>
  <si>
    <t>DELTA-M1602H</t>
  </si>
  <si>
    <t>SWITCH POE 16+2+1 ATS-1182</t>
  </si>
  <si>
    <t>A320</t>
  </si>
  <si>
    <t>CONVERSOR ETHERNET PARA FIBRA ÓPTICA KIT COM 2 ATM-1020</t>
  </si>
  <si>
    <t>ATM-1020</t>
  </si>
  <si>
    <t>I7 - 9700</t>
  </si>
  <si>
    <t>I7-9700</t>
  </si>
  <si>
    <t>MONITOR GAMER 34P 2K 165HZ PRO DELTA-M3422AUC</t>
  </si>
  <si>
    <t>DELTA-M3422AUC</t>
  </si>
  <si>
    <t>FONTE DE ALIMENTAÇÃO P/PC (ATX 750W) FO-MAX03 (6G/FL)</t>
  </si>
  <si>
    <t>FO-MAX03 (6G/FL)</t>
  </si>
  <si>
    <t>PLACA MÃE BPC-H61 DESK BRAZILPC 1155</t>
  </si>
  <si>
    <t>25/09/0226</t>
  </si>
  <si>
    <t>DISCO DE SERRA CIRCULAR 4.5</t>
  </si>
  <si>
    <t>BOM-5117</t>
  </si>
  <si>
    <t>PAINEL DE LED P5 OUTDOOR 96X96CM SMD 1921</t>
  </si>
  <si>
    <t>P5OUT-1921</t>
  </si>
  <si>
    <t>PROCESSADORA E REPRODUTOR DE VIDEO</t>
  </si>
  <si>
    <t>VC4</t>
  </si>
  <si>
    <t xml:space="preserve">PLACA MAE LGA1150 H81 4GEN M.2 SSD DELTA-581M2K </t>
  </si>
  <si>
    <t>DELTA-H81M2K</t>
  </si>
  <si>
    <t xml:space="preserve">CHAVE DE IMPACTO 21V 1300 </t>
  </si>
  <si>
    <t>KIT DE JOGO DE CHAVES CATACRA SOQUETE 124PÇS</t>
  </si>
  <si>
    <t>FU-A4–SCOOTER ELÉTRICA FU-A4SCOOTER ELÉTRICA AUTOPROPULSADA CINZA</t>
  </si>
  <si>
    <t>entrada antecipada 28/09/2026</t>
  </si>
  <si>
    <t>FU-A4–SCOOTER ELÉTRICA FU-A4SCOOTER ELÉTRICA AUTOPROPULSADA PRETA</t>
  </si>
  <si>
    <t>YHAN/PATRICIA</t>
  </si>
  <si>
    <t xml:space="preserve">BICICLETA MODELO FU-B2 BICICLETA MODELO FU-B2 BRANCA </t>
  </si>
  <si>
    <t>FU-B2</t>
  </si>
  <si>
    <t>BICICLETA MODELO FU-B2 BICICLETA MODELO FU-B2 PRETA</t>
  </si>
  <si>
    <t xml:space="preserve">KIT COM 8 FERRAMENTAS 21V COM 2 BATERIAS COM PARTILHADAS </t>
  </si>
  <si>
    <t>BOM-9762</t>
  </si>
  <si>
    <t>KIT TECLADO E MOUSE AKT-W111BRANCO</t>
  </si>
  <si>
    <t>AKT-W111BRANCO</t>
  </si>
  <si>
    <t>EM DIA</t>
  </si>
  <si>
    <t>CAIXA DE SOM COMPUTADOR ACS-4511</t>
  </si>
  <si>
    <t xml:space="preserve">MEMORIA DDR4 16GB 2666 MACROVIP </t>
  </si>
  <si>
    <t>COLHER DE PEDREIRO COM CABO ERGONOMICO 9"</t>
  </si>
  <si>
    <t>COMBO GAMER NIGHTMARE TECLADO/MOUSE/HEADSET/MOUSEPAD</t>
  </si>
  <si>
    <t>PLACA MAE AM4 G-B450</t>
  </si>
  <si>
    <t>G-B450</t>
  </si>
  <si>
    <t xml:space="preserve">17 PRO MAX 256GB AZUL </t>
  </si>
  <si>
    <t>15 PRO 128GB PRETO</t>
  </si>
  <si>
    <t>MOP GIRATORIO COM BALDE DUPLO</t>
  </si>
  <si>
    <t>BOM-7330</t>
  </si>
  <si>
    <t>17 PRO   256GB LARANJA</t>
  </si>
  <si>
    <t>02136</t>
  </si>
  <si>
    <t>CAMERA DE RÉ.</t>
  </si>
  <si>
    <t>VPL-3033</t>
  </si>
  <si>
    <t>FO-MAX10RB</t>
  </si>
  <si>
    <t>03191</t>
  </si>
  <si>
    <t>MONITOR LED 27" RESOLUÇÃO 1920*1080</t>
  </si>
  <si>
    <t>MONITOR 21,5 LED VGA+HDMI VX215X 60HZ VXPRO</t>
  </si>
  <si>
    <t>(35) 9708-3517 JANAINA</t>
  </si>
  <si>
    <t>Data da Reposição</t>
  </si>
  <si>
    <t>Vendedor</t>
  </si>
  <si>
    <t>Data Retirada Mercadoria</t>
  </si>
  <si>
    <t>Entrada</t>
  </si>
  <si>
    <t>D-NKI507</t>
  </si>
  <si>
    <t>1 ShowRoom restante Estoque</t>
  </si>
  <si>
    <t xml:space="preserve">Soprador de Folhas </t>
  </si>
  <si>
    <t>Show Room</t>
  </si>
  <si>
    <t>POLITRIZ ELÉTICA ROTO ORBITAL</t>
  </si>
  <si>
    <t>BOM-9666</t>
  </si>
  <si>
    <t>Pegar do nosso estoque</t>
  </si>
  <si>
    <t>D-X001</t>
  </si>
  <si>
    <t>D-X006</t>
  </si>
  <si>
    <t>D-X007</t>
  </si>
  <si>
    <t>D-X008</t>
  </si>
  <si>
    <t>D-G280</t>
  </si>
  <si>
    <t>D-G300</t>
  </si>
  <si>
    <t>D-G301</t>
  </si>
  <si>
    <t>D-G330</t>
  </si>
  <si>
    <t>D-S3151</t>
  </si>
  <si>
    <t>D-S3165</t>
  </si>
  <si>
    <t>D3205</t>
  </si>
  <si>
    <t>D-F13BT</t>
  </si>
  <si>
    <t>Kit de Parafusadeira 21v</t>
  </si>
  <si>
    <t>Bomba de Ar Poratil com cbo de ignição de Emergencia</t>
  </si>
  <si>
    <t>BOM 8916</t>
  </si>
  <si>
    <t>BOM.1501</t>
  </si>
  <si>
    <t>BOM.1506</t>
  </si>
  <si>
    <t>BOM.1511</t>
  </si>
  <si>
    <t>BOM.1516</t>
  </si>
  <si>
    <t>BOM.1523</t>
  </si>
  <si>
    <t>BOM.1535</t>
  </si>
  <si>
    <t>BOM.1570</t>
  </si>
  <si>
    <t>BOM.1805</t>
  </si>
  <si>
    <t>BOM.3110</t>
  </si>
  <si>
    <t>BPC-19WE02</t>
  </si>
  <si>
    <t>BOM.3230</t>
  </si>
  <si>
    <t>BOM.3231</t>
  </si>
  <si>
    <t>BOM.3633</t>
  </si>
  <si>
    <t>LUMINÁRIA SOLAR</t>
  </si>
  <si>
    <t>ON-LU203</t>
  </si>
  <si>
    <t>BOM 3629</t>
  </si>
  <si>
    <t>BOM.3632</t>
  </si>
  <si>
    <t>BOM.3903</t>
  </si>
  <si>
    <t>TRENA DIGITAL DE RODA PARA</t>
  </si>
  <si>
    <t>BOM.3910</t>
  </si>
  <si>
    <t>BOM-6560</t>
  </si>
  <si>
    <t>BOM.3911</t>
  </si>
  <si>
    <t>CÂMERA IP</t>
  </si>
  <si>
    <t>ÍPEGA</t>
  </si>
  <si>
    <t>BOM.3916</t>
  </si>
  <si>
    <t>BOM.5102</t>
  </si>
  <si>
    <t>BOM.5118</t>
  </si>
  <si>
    <t>ƁOM.5675</t>
  </si>
  <si>
    <t>FONE WIRELESS</t>
  </si>
  <si>
    <t>ON-TWS46</t>
  </si>
  <si>
    <t>BOM.6211</t>
  </si>
  <si>
    <t>NICOLE</t>
  </si>
  <si>
    <t>BOM.6540</t>
  </si>
  <si>
    <t>BOM.6701</t>
  </si>
  <si>
    <t>MESA DE ACAMPAMENTO</t>
  </si>
  <si>
    <t>MCC-P013</t>
  </si>
  <si>
    <t>LAVADORA DE ALTA PRESSÃO</t>
  </si>
  <si>
    <t>BOM.6804</t>
  </si>
  <si>
    <t>BOM.6816</t>
  </si>
  <si>
    <t>FERRO DE SOLDAR</t>
  </si>
  <si>
    <t>BOM-9515</t>
  </si>
  <si>
    <t>BOM.9106</t>
  </si>
  <si>
    <t>ESPELHO COM LED</t>
  </si>
  <si>
    <t>BOM.9303</t>
  </si>
  <si>
    <t>ON-2105</t>
  </si>
  <si>
    <t>BOM.9964</t>
  </si>
  <si>
    <t>CAMERAS WIFI 2MP app icsee</t>
  </si>
  <si>
    <t>SC-B48</t>
  </si>
  <si>
    <t>BOM.7422</t>
  </si>
  <si>
    <t>CLIMATIZADOR 30LT</t>
  </si>
  <si>
    <t>JGM-30</t>
  </si>
  <si>
    <t>BOM.7712</t>
  </si>
  <si>
    <t>JGM</t>
  </si>
  <si>
    <t>BOM.7713</t>
  </si>
  <si>
    <t>ƁOM.7720</t>
  </si>
  <si>
    <t>BOM 5404</t>
  </si>
  <si>
    <t>PILHA ALCALINA</t>
  </si>
  <si>
    <t>ON-4900AAA</t>
  </si>
  <si>
    <t>BOM 3918</t>
  </si>
  <si>
    <t>AIR FRYER</t>
  </si>
  <si>
    <t>ON-FT100/110V</t>
  </si>
  <si>
    <t>CADEIRA LIDER</t>
  </si>
  <si>
    <t>HEADSET GAMER</t>
  </si>
  <si>
    <t>Somente 1 vendida - mas a cx vem com 2</t>
  </si>
  <si>
    <t>ON-FT103/220V</t>
  </si>
  <si>
    <t>Cadeira Smart</t>
  </si>
  <si>
    <t>PROCESSADORMINI</t>
  </si>
  <si>
    <t>ON-UD119</t>
  </si>
  <si>
    <t>Cadeira Smart Fixa</t>
  </si>
  <si>
    <t>FECHADURA INTELIGENTE</t>
  </si>
  <si>
    <t>KP-CA608</t>
  </si>
  <si>
    <t>Antena 5m</t>
  </si>
  <si>
    <t>VENTILADOR AUTOMOTIVO MINI</t>
  </si>
  <si>
    <t>ON-FA010</t>
  </si>
  <si>
    <t>Carrinho Esteira/Banco dobravel</t>
  </si>
  <si>
    <t>CANHÃOREFLETOR DE LED</t>
  </si>
  <si>
    <t>BOM-2884</t>
  </si>
  <si>
    <t>ON-LP362</t>
  </si>
  <si>
    <t>Cadeira de escritório</t>
  </si>
  <si>
    <t>MCC-P018</t>
  </si>
  <si>
    <t>BOMBA COMPRESSOR PEDAL ALUMÍNIO</t>
  </si>
  <si>
    <t>BOM-8804</t>
  </si>
  <si>
    <t>Sem estoque</t>
  </si>
  <si>
    <t>MOCHILA EXPANSÍVEL IMPERMEÁVEL USB</t>
  </si>
  <si>
    <t>B-26</t>
  </si>
  <si>
    <t>MOCHILA IMPERMEÁVEL USB P2 CADEADO</t>
  </si>
  <si>
    <t>B-F668</t>
  </si>
  <si>
    <t>B-F671</t>
  </si>
  <si>
    <t>MOCHILA CABO DE AÇO COURO SINTETICO</t>
  </si>
  <si>
    <t>B-PL594-2S</t>
  </si>
  <si>
    <t>BOM-2337</t>
  </si>
  <si>
    <t>ESTOJO ESCOLAR 3 ABAS</t>
  </si>
  <si>
    <t>BD-3519</t>
  </si>
  <si>
    <t>D-BH1018</t>
  </si>
  <si>
    <t>B-29-HEI</t>
  </si>
  <si>
    <t>D-BH1050</t>
  </si>
  <si>
    <t>MALA ACADEMIA ESPORTIVA</t>
  </si>
  <si>
    <t>FSL205</t>
  </si>
  <si>
    <t>D-XK 102</t>
  </si>
  <si>
    <t>KB-BL4528</t>
  </si>
  <si>
    <t>BOLSA PORTA CELULAR 3 ZÍPER E ALÇA</t>
  </si>
  <si>
    <t>SJB-F20</t>
  </si>
  <si>
    <t>ABS-33-7PC-DL</t>
  </si>
  <si>
    <t>HEADSET PARA PC</t>
  </si>
  <si>
    <t>ON-FN648</t>
  </si>
  <si>
    <t>B-663-2S</t>
  </si>
  <si>
    <t>KIT APARADOR 3 EM 1</t>
  </si>
  <si>
    <t>ON-MA017</t>
  </si>
  <si>
    <t>lc-001B</t>
  </si>
  <si>
    <t>WZB-6658</t>
  </si>
  <si>
    <t>MÁQUINADE CORTAR CABELO</t>
  </si>
  <si>
    <t>ON-MA015</t>
  </si>
  <si>
    <t>ALL-IN-ONE</t>
  </si>
  <si>
    <t>D-A24I713</t>
  </si>
  <si>
    <t>QB-KB05</t>
  </si>
  <si>
    <t>ON -LU203</t>
  </si>
  <si>
    <t>MEDIDOR DE RUÍDO DIGITAL</t>
  </si>
  <si>
    <t>BOM-6801</t>
  </si>
  <si>
    <t>KIT 2 MICROFONES</t>
  </si>
  <si>
    <t>ON-MC836</t>
  </si>
  <si>
    <t>iT bLUE/kNUP</t>
  </si>
  <si>
    <t>ESTILETE</t>
  </si>
  <si>
    <t>BOM-3304</t>
  </si>
  <si>
    <t>RETIRADA NETO</t>
  </si>
  <si>
    <t>ESTILETE RASPADOR PROFISSIONAL</t>
  </si>
  <si>
    <t>BOM-7350</t>
  </si>
  <si>
    <t>TOMATE?</t>
  </si>
  <si>
    <t>BATERIA DE CARBONO AA/R6</t>
  </si>
  <si>
    <t>BATERIA DE CARBONO AAA/R03</t>
  </si>
  <si>
    <t>BATERIA MOEDA CR2025 3V</t>
  </si>
  <si>
    <t>LE-7999-20-CR2025</t>
  </si>
  <si>
    <t>FN635</t>
  </si>
  <si>
    <t>PERARO INSERTO PARA PNEU</t>
  </si>
  <si>
    <t>AC-6650</t>
  </si>
  <si>
    <t>VIDEO GAME PORTATIL</t>
  </si>
  <si>
    <t>MAY-032</t>
  </si>
  <si>
    <t>CADEIRA SMART FIXA</t>
  </si>
  <si>
    <t>ESTILETE DOBRÁVEL</t>
  </si>
  <si>
    <t>FT103/220V</t>
  </si>
  <si>
    <t>LUVAS ANTICORTE</t>
  </si>
  <si>
    <t>BOM-7112</t>
  </si>
  <si>
    <t>UD119</t>
  </si>
  <si>
    <t>LANTERNA DE CABEÇA COB</t>
  </si>
  <si>
    <t>BOM-4006</t>
  </si>
  <si>
    <t>CAMERA DE IP WI-FI</t>
  </si>
  <si>
    <t>KP-CA207</t>
  </si>
  <si>
    <t>CAMERA DE LENTE DUPLA</t>
  </si>
  <si>
    <t>CAMERA DE SEGURANÇA IP</t>
  </si>
  <si>
    <t>KP-CA190</t>
  </si>
  <si>
    <t>ON-FT100</t>
  </si>
  <si>
    <t>CAMERA COM BATERIA INTELIGENTE</t>
  </si>
  <si>
    <t>SC-B1</t>
  </si>
  <si>
    <t xml:space="preserve">INTERUPTOR INTELIGENTE </t>
  </si>
  <si>
    <t>SC-9408</t>
  </si>
  <si>
    <t>ESPELHO ARCO</t>
  </si>
  <si>
    <t>OPA-Z062</t>
  </si>
  <si>
    <t>MINI PENDRIVE DE ALTA VELOCIDADE</t>
  </si>
  <si>
    <t>D-UP64</t>
  </si>
  <si>
    <t>Soundbar 120w</t>
  </si>
  <si>
    <t>TE-BKL006</t>
  </si>
  <si>
    <t>MOUSE ÓPTICO RGB COM FIO</t>
  </si>
  <si>
    <t>VM7048</t>
  </si>
  <si>
    <t>TECLADO MECÂNICO RGB</t>
  </si>
  <si>
    <t>TM0691B</t>
  </si>
  <si>
    <t>GABINETE S/ COOLER</t>
  </si>
  <si>
    <t>FAERIE DRAGON GM</t>
  </si>
  <si>
    <t>AIR FRYERFRITADEIRA ELÉTRICA</t>
  </si>
  <si>
    <t>ON-FT105/220V</t>
  </si>
  <si>
    <t>FONE DE OUVIDO TWS TRANSFORMES</t>
  </si>
  <si>
    <t>TF-T11</t>
  </si>
  <si>
    <t>HEADSET GAMER RGB</t>
  </si>
  <si>
    <t>F5232</t>
  </si>
  <si>
    <t>ALL-IN-ONE MAXIMUS i7 TELA 23.8’’</t>
  </si>
  <si>
    <t>D-AI19</t>
  </si>
  <si>
    <t>TECLADO SEMI MECÂNICO RGB</t>
  </si>
  <si>
    <t>VT045</t>
  </si>
  <si>
    <t>KIT TECLADO E MOUSE</t>
  </si>
  <si>
    <t>K1756</t>
  </si>
  <si>
    <t>VT088</t>
  </si>
  <si>
    <t>COOLER RGB PARA PROCESSADOR</t>
  </si>
  <si>
    <t>C4218</t>
  </si>
  <si>
    <t>FONE DE OUVIDO SEM FIO MONSTER</t>
  </si>
  <si>
    <t>XKT17</t>
  </si>
  <si>
    <t>TF-T02</t>
  </si>
  <si>
    <t>FONE DE OUVIDO GIRATORIO</t>
  </si>
  <si>
    <t>XKT13</t>
  </si>
  <si>
    <t>KP-S011</t>
  </si>
  <si>
    <t>KP-S09</t>
  </si>
  <si>
    <t>KP-S07</t>
  </si>
  <si>
    <t>CAIXA DE SOM MULTIMÍDIA</t>
  </si>
  <si>
    <t>KP-RO832</t>
  </si>
  <si>
    <t>KP-TE120</t>
  </si>
  <si>
    <t>TECLADO MECÂNICO.</t>
  </si>
  <si>
    <t>KP-TE143</t>
  </si>
  <si>
    <t>MOUSE GAMER ÓPTICO</t>
  </si>
  <si>
    <t>KP-MU014</t>
  </si>
  <si>
    <t>ON-MC828</t>
  </si>
  <si>
    <t>CAMERAS INTELIGENTES WIFI</t>
  </si>
  <si>
    <t>SC-B59</t>
  </si>
  <si>
    <t>CAIXA DE SOM PORTATIL</t>
  </si>
  <si>
    <t>D-G226</t>
  </si>
  <si>
    <t>TECLADO + MOUSE MULTIMIDIA</t>
  </si>
  <si>
    <t>KP-TE122</t>
  </si>
  <si>
    <t>ALICATE DE BICO</t>
  </si>
  <si>
    <t>JOGO DE PONTAS MONTADOS 5PCS</t>
  </si>
  <si>
    <t>COLCHÃO INFLAVEL (URSO)</t>
  </si>
  <si>
    <t>MC-62</t>
  </si>
  <si>
    <t>TECLADO BLUETOOTH MINI</t>
  </si>
  <si>
    <t>KP-TE109</t>
  </si>
  <si>
    <t>MOUSE SEM FIO</t>
  </si>
  <si>
    <t>KP-MU023</t>
  </si>
  <si>
    <t>MEDIDOR DE SOLO DIGITAL</t>
  </si>
  <si>
    <t>BOM-6810</t>
  </si>
  <si>
    <t>KIT DE FACAS DE LUXO</t>
  </si>
  <si>
    <t>ON-LD003</t>
  </si>
  <si>
    <t>PORTA TEMPERO GIRATÓRIO</t>
  </si>
  <si>
    <t>ON-LD008</t>
  </si>
  <si>
    <t>BICO GRAXEIRO APLICADOR DE GRAXA</t>
  </si>
  <si>
    <t>ALICATE ESPECIAL</t>
  </si>
  <si>
    <t>BOM-1709</t>
  </si>
  <si>
    <t>LE-3625</t>
  </si>
  <si>
    <t>MONITOR LED 23.8"</t>
  </si>
  <si>
    <t>M2410</t>
  </si>
  <si>
    <t>CÓDIGO</t>
  </si>
  <si>
    <t>DESCRIÇÃO</t>
  </si>
  <si>
    <t>CHALEIRA ELETRICA / 220V</t>
  </si>
  <si>
    <t>ON-CL203/220</t>
  </si>
  <si>
    <t>QUANT.</t>
  </si>
  <si>
    <t>PREÇO UNITÁRIO</t>
  </si>
  <si>
    <t>LIQUIDIFICADOR MINI</t>
  </si>
  <si>
    <t>ON-UD118</t>
  </si>
  <si>
    <t>MONTANTE</t>
  </si>
  <si>
    <t>QUANT. CAIXA</t>
  </si>
  <si>
    <t>CANECA DE AÇO INOX 680ML</t>
  </si>
  <si>
    <t>VALOR UNITÁRIO</t>
  </si>
  <si>
    <t>AK-6801</t>
  </si>
  <si>
    <t>VALOR TOTAL</t>
  </si>
  <si>
    <t>MTR-1090</t>
  </si>
  <si>
    <t>MINI SELADORA A VACUO</t>
  </si>
  <si>
    <t>ON-LD030</t>
  </si>
  <si>
    <t>TOMATE MTR-1090 MICROFONE GAMER RGB</t>
  </si>
  <si>
    <t>D-G450</t>
  </si>
  <si>
    <t>R$ 114,90</t>
  </si>
  <si>
    <t xml:space="preserve">CONJUNTO DE CABO EXTENSOR </t>
  </si>
  <si>
    <t>BOM-3622</t>
  </si>
  <si>
    <t>KIT GRAMPO SARGENTO DE AÇO</t>
  </si>
  <si>
    <t>BOM-3621</t>
  </si>
  <si>
    <t>MOCHILA EXPANSÍVEL A VÁCUO</t>
  </si>
  <si>
    <t>B-PM4221QB-HEI</t>
  </si>
  <si>
    <t>Sem saldo no Fornecedor</t>
  </si>
  <si>
    <t>PATINETE ELETRICO</t>
  </si>
  <si>
    <t>MPE-2130</t>
  </si>
  <si>
    <t>TOMATE MLG-187 luz de preenchimento para fotos</t>
  </si>
  <si>
    <t>R$ 69,90</t>
  </si>
  <si>
    <t>SMARTHWATCH</t>
  </si>
  <si>
    <t>Pedido feito 04/03</t>
  </si>
  <si>
    <t>PONTEIRA IMANTADA PROFISSIONAL</t>
  </si>
  <si>
    <t>TOMATE MLG-195 RING LIGHT LUZ DE PREENCHIMENTO</t>
  </si>
  <si>
    <t>R$ 100,29</t>
  </si>
  <si>
    <t>TOMATETOMATEMTV-712 ADAPTADOR HDMI PARA VGA</t>
  </si>
  <si>
    <t>ORGANIZADOR COM 17 DIVISORIAS</t>
  </si>
  <si>
    <t>R$ 10,90</t>
  </si>
  <si>
    <t>BOM-7720</t>
  </si>
  <si>
    <t>R$ 218,00</t>
  </si>
  <si>
    <t>NOBREAK MULTIFUNCIONAL PORTATIL</t>
  </si>
  <si>
    <t>ANB-018</t>
  </si>
  <si>
    <t>TOMATE MHD-1103 CONVERSOr EXTENSOR HDMI - 30 MTS</t>
  </si>
  <si>
    <t>R$ 12,90</t>
  </si>
  <si>
    <t>R$ 25,80</t>
  </si>
  <si>
    <t>TERMINAL ILHÓS 1900PCS</t>
  </si>
  <si>
    <t>BOM-5521</t>
  </si>
  <si>
    <t>TOMATELON-C001 controle gamer com fio</t>
  </si>
  <si>
    <t>BICICLETA ELETRICA CARAMELO</t>
  </si>
  <si>
    <t>MPE-9050</t>
  </si>
  <si>
    <t>MTG-333</t>
  </si>
  <si>
    <t>TOMATE EQUIPAMENTO PARA PRODUÇÃO DE VÍDEOS MTG-333</t>
  </si>
  <si>
    <t>GARRAFA DE AGUA INOX</t>
  </si>
  <si>
    <t>R$ 79,90</t>
  </si>
  <si>
    <t>AK-5029</t>
  </si>
  <si>
    <t>MTG-222</t>
  </si>
  <si>
    <t>TOMATE Suporte kit de gravação MTG-222</t>
  </si>
  <si>
    <t>R$ 37,90</t>
  </si>
  <si>
    <t>MTT-1203</t>
  </si>
  <si>
    <t>TOMATE FONTE DE ALIMENTAÇÃO MTT-1203</t>
  </si>
  <si>
    <t>R$ 23,00</t>
  </si>
  <si>
    <t>R$ 46,00</t>
  </si>
  <si>
    <t>MTT-1205</t>
  </si>
  <si>
    <t>TOMATE FONTE DE ALIMENTAÇÃO MTT-1205</t>
  </si>
  <si>
    <t>R$ 27,90</t>
  </si>
  <si>
    <t>LOCALIZADOR PORTATIL DE PEIXES SONAR DE PROFUNDIDADE</t>
  </si>
  <si>
    <t>BOM-6807</t>
  </si>
  <si>
    <t>TOMATE Calculadora portátil AK-J039</t>
  </si>
  <si>
    <t>MHD-4330</t>
  </si>
  <si>
    <t>TOMATE cabo óptico hdtv 4k60hz 30MTS MHD-4330</t>
  </si>
  <si>
    <t>R$ 179,90</t>
  </si>
  <si>
    <t>TE-BKL008</t>
  </si>
  <si>
    <t>KNUP TECLADO GAMER TE-BKL008</t>
  </si>
  <si>
    <t>BOM-5702</t>
  </si>
  <si>
    <t>R$ 269,90</t>
  </si>
  <si>
    <t>KP-TE151</t>
  </si>
  <si>
    <t>ALICATE AMPERÍMETRO DIGITAL</t>
  </si>
  <si>
    <t>KNUP TECLADO MECÂNICO KP-TE151</t>
  </si>
  <si>
    <t>BOM-6004</t>
  </si>
  <si>
    <t>R$ 106,00</t>
  </si>
  <si>
    <t>KIT 6 - ALICATE CRIMPAR BOX COM 1900 TERMINAL ILHOS 0.25 A 6MM</t>
  </si>
  <si>
    <t>BOM-3706</t>
  </si>
  <si>
    <t>DNB4802-13''</t>
  </si>
  <si>
    <t>DNB4802-13'' 1 unidade</t>
  </si>
  <si>
    <t>R$ 33,25</t>
  </si>
  <si>
    <t>TRENA FITA METRICA 100M FIBRA DE VIDRO FLEXIVEL PROFISSIONAL</t>
  </si>
  <si>
    <t>BOM-6513</t>
  </si>
  <si>
    <t>Não autorizado solicitar</t>
  </si>
  <si>
    <t>DNB-222</t>
  </si>
  <si>
    <t>DNB-22 2 unidade cor escura</t>
  </si>
  <si>
    <t>R$ 39,90</t>
  </si>
  <si>
    <t>R$ 79,80</t>
  </si>
  <si>
    <t>Pedido feito 06/03</t>
  </si>
  <si>
    <t>ON-2900AAA</t>
  </si>
  <si>
    <t>DNB4815</t>
  </si>
  <si>
    <t>DNB4815 - 3 unidades cor escura</t>
  </si>
  <si>
    <t>R$ 44,70</t>
  </si>
  <si>
    <t>R$ 134,10</t>
  </si>
  <si>
    <t>KB-54</t>
  </si>
  <si>
    <t>KB-54 1 unidade</t>
  </si>
  <si>
    <t>R$ 38,30</t>
  </si>
  <si>
    <t>ON-AK9V</t>
  </si>
  <si>
    <t>DNB-4803 3 unidades cor escura</t>
  </si>
  <si>
    <t>R$ 34,60</t>
  </si>
  <si>
    <t>R$ 103,80</t>
  </si>
  <si>
    <t>PILHA RECARREGAVEL</t>
  </si>
  <si>
    <t>R$ 99,75</t>
  </si>
  <si>
    <t>ON-2700AAA</t>
  </si>
  <si>
    <t>KP-S013</t>
  </si>
  <si>
    <t>KNUP MOUSE PAD KP-S013</t>
  </si>
  <si>
    <t>R$ 19,90</t>
  </si>
  <si>
    <t>R$ 39,80</t>
  </si>
  <si>
    <t>M.2 CN-510</t>
  </si>
  <si>
    <t>MALETA DE FERRAMENTAS DUPLA FACE</t>
  </si>
  <si>
    <t>GJB18</t>
  </si>
  <si>
    <t>DELTA DISSIPADOR DE CALOR PARA NVME M.2 CN-510</t>
  </si>
  <si>
    <t>R$ 33,90</t>
  </si>
  <si>
    <t>FONE PARA CAPACETE</t>
  </si>
  <si>
    <t>LE-2476</t>
  </si>
  <si>
    <t>DELTA BARRA DE LED PARA MONITOR ALD-AC3065</t>
  </si>
  <si>
    <t>R$ 77,90</t>
  </si>
  <si>
    <t>CONJUNTO DE FACAS 6PCS</t>
  </si>
  <si>
    <t>ON-LD012</t>
  </si>
  <si>
    <t xml:space="preserve">SECADOR DE CABELO </t>
  </si>
  <si>
    <t>ON-CF01/127V</t>
  </si>
  <si>
    <t>ALICATE DECAPADOR DE FIO</t>
  </si>
  <si>
    <t>BOM-1702</t>
  </si>
  <si>
    <t>NÍVEL A LASER COM 2 LINHAS</t>
  </si>
  <si>
    <t>BOM-6209</t>
  </si>
  <si>
    <t>TESOURA DE ALFAIATE PROFISSIONAL</t>
  </si>
  <si>
    <t>BOM-1061</t>
  </si>
  <si>
    <t>MOUSE SILENCIOSO</t>
  </si>
  <si>
    <t>AMO-S2003</t>
  </si>
  <si>
    <t>BASE GAMER PARA NOTEBOOK RGB</t>
  </si>
  <si>
    <t>B3132G</t>
  </si>
  <si>
    <t>BOLSA PARA NOTEBOOK</t>
  </si>
  <si>
    <t>D-G198</t>
  </si>
  <si>
    <t>COPO DE SUCO PORTATIL</t>
  </si>
  <si>
    <t>ON-TA20</t>
  </si>
  <si>
    <t>CHALEIRA ELETRICA / 110V</t>
  </si>
  <si>
    <t>ON-CL202/110</t>
  </si>
  <si>
    <t>D-XK309</t>
  </si>
  <si>
    <t>FONE DE OUVIDO MONSTER BLUETOOTH 5.2</t>
  </si>
  <si>
    <t>XKT01</t>
  </si>
  <si>
    <t>MOUSEPAD GAMER RGB CARREGAMENTO POR INDUÇÃO</t>
  </si>
  <si>
    <t>P803OC</t>
  </si>
  <si>
    <t>D-G105</t>
  </si>
  <si>
    <t>MPE-2030</t>
  </si>
  <si>
    <t>ON-2900AA</t>
  </si>
  <si>
    <t>GARRAFA INOX 650ML</t>
  </si>
  <si>
    <t>AK-6511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</si>
</sst>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[$R$ -416]#,##0.00"/>
    <numFmt numFmtId="166" formatCode="dd/mm/yyyy"/>
    <numFmt numFmtId="167" formatCode="_-* #,##0.00_-;\-* #,##0.00_-;_-* &quot;-&quot;??_-;_-@"/>
    <numFmt numFmtId="168" formatCode="dd/mm"/>
    <numFmt numFmtId="169" formatCode="d/m"/>
    <numFmt numFmtId="170" formatCode="dd/mm/yyyy."/>
    <numFmt numFmtId="171" formatCode="d/m/yyyy"/>
    <numFmt numFmtId="172" formatCode="[&lt;=9999999]###\-####;\(###\)\ ###\-####"/>
    <numFmt numFmtId="173" formatCode="#,##0.00;(#,##0.00)"/>
  </numFmts>
  <fonts count="23">
    <font>
      <sz val="11.0"/>
      <color theme="1"/>
      <name val="Calibri"/>
      <scheme val="minor"/>
    </font>
    <font>
      <color theme="1"/>
      <name val="Calibri"/>
      <scheme val="minor"/>
    </font>
    <font>
      <b/>
      <sz val="25.0"/>
      <color rgb="FF1F3864"/>
      <name val="Calibri"/>
    </font>
    <font/>
    <font>
      <sz val="11.0"/>
      <color theme="1"/>
      <name val="Calibri"/>
    </font>
    <font>
      <color theme="1"/>
      <name val="Calibri"/>
    </font>
    <font>
      <b/>
      <sz val="11.0"/>
      <color rgb="FF1F3864"/>
      <name val="Calibri"/>
    </font>
    <font>
      <b/>
      <sz val="11.0"/>
      <color rgb="FFC00000"/>
      <name val="Calibri"/>
    </font>
    <font>
      <b/>
      <u/>
      <sz val="11.0"/>
      <color rgb="FFC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0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b/>
      <u/>
      <sz val="11.0"/>
      <color rgb="FFC00000"/>
      <name val="Calibri"/>
    </font>
    <font>
      <b/>
      <sz val="10.0"/>
      <color rgb="FFFF0000"/>
      <name val="Arial"/>
    </font>
    <font>
      <sz val="11.0"/>
      <color rgb="FFFFFFFF"/>
      <name val="Arial"/>
    </font>
    <font>
      <sz val="10.0"/>
      <color rgb="FF3F3122"/>
      <name val="Arial"/>
    </font>
    <font>
      <sz val="10.0"/>
      <color rgb="FF000000"/>
      <name val="Arial"/>
    </font>
    <font>
      <b/>
      <sz val="10.0"/>
      <color rgb="FF101D21"/>
      <name val="Arial"/>
    </font>
    <font>
      <sz val="10.0"/>
      <color rgb="FF101D21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</fills>
  <borders count="26">
    <border/>
    <border>
      <left/>
      <top/>
      <bottom/>
    </border>
    <border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/>
      <right/>
      <top/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top style="thin">
        <color rgb="FFDBCCBB"/>
      </top>
      <bottom style="thin">
        <color rgb="FFDBCCBB"/>
      </bottom>
    </border>
    <border>
      <right style="thin">
        <color rgb="FFDBCCBB"/>
      </right>
      <top style="thin">
        <color rgb="FFDBCCBB"/>
      </top>
      <bottom style="thin">
        <color rgb="FFDBCCBB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1" fillId="2" fontId="2" numFmtId="164" xfId="0" applyBorder="1" applyFill="1" applyFont="1" applyNumberFormat="1"/>
    <xf borderId="2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5" numFmtId="164" xfId="0" applyFont="1" applyNumberFormat="1"/>
    <xf borderId="3" fillId="0" fontId="6" numFmtId="164" xfId="0" applyAlignment="1" applyBorder="1" applyFont="1" applyNumberForma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5" fillId="0" fontId="3" numFmtId="0" xfId="0" applyBorder="1" applyFont="1"/>
    <xf borderId="6" fillId="0" fontId="3" numFmtId="0" xfId="0" applyBorder="1" applyFont="1"/>
    <xf borderId="0" fillId="0" fontId="5" numFmtId="0" xfId="0" applyAlignment="1" applyFont="1">
      <alignment horizontal="center"/>
    </xf>
    <xf borderId="7" fillId="0" fontId="7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left" readingOrder="0" shrinkToFit="0" vertical="top" wrapText="1"/>
    </xf>
    <xf borderId="8" fillId="0" fontId="8" numFmtId="0" xfId="0" applyAlignment="1" applyBorder="1" applyFont="1">
      <alignment horizontal="left" shrinkToFit="0" vertical="top" wrapText="1"/>
    </xf>
    <xf borderId="9" fillId="0" fontId="3" numFmtId="0" xfId="0" applyBorder="1" applyFont="1"/>
    <xf borderId="10" fillId="0" fontId="3" numFmtId="0" xfId="0" applyBorder="1" applyFont="1"/>
    <xf borderId="0" fillId="0" fontId="5" numFmtId="165" xfId="0" applyFont="1" applyNumberFormat="1"/>
    <xf borderId="11" fillId="0" fontId="9" numFmtId="164" xfId="0" applyAlignment="1" applyBorder="1" applyFont="1" applyNumberFormat="1">
      <alignment horizontal="center"/>
    </xf>
    <xf borderId="12" fillId="3" fontId="10" numFmtId="0" xfId="0" applyAlignment="1" applyBorder="1" applyFill="1" applyFont="1">
      <alignment horizontal="center" vertical="center"/>
    </xf>
    <xf borderId="12" fillId="3" fontId="10" numFmtId="0" xfId="0" applyAlignment="1" applyBorder="1" applyFill="1" applyFont="1">
      <alignment horizontal="center" readingOrder="0" vertical="center"/>
    </xf>
    <xf borderId="12" fillId="3" fontId="10" numFmtId="165" xfId="0" applyAlignment="1" applyBorder="1" applyFill="1" applyFont="1" applyNumberFormat="1">
      <alignment horizontal="center" vertical="center"/>
    </xf>
    <xf borderId="13" fillId="3" fontId="11" numFmtId="0" xfId="0" applyAlignment="1" applyBorder="1" applyFill="1" applyFont="1">
      <alignment horizontal="center" vertical="center"/>
    </xf>
    <xf borderId="12" fillId="3" fontId="11" numFmtId="0" xfId="0" applyAlignment="1" applyBorder="1" applyFill="1" applyFont="1">
      <alignment horizontal="center" vertical="center"/>
    </xf>
    <xf borderId="14" fillId="3" fontId="10" numFmtId="0" xfId="0" applyAlignment="1" applyBorder="1" applyFill="1" applyFont="1">
      <alignment horizontal="center" readingOrder="0" vertical="center"/>
    </xf>
    <xf borderId="14" fillId="3" fontId="10" numFmtId="0" xfId="0" applyAlignment="1" applyBorder="1" applyFill="1" applyFont="1">
      <alignment horizontal="center" vertical="center"/>
    </xf>
    <xf borderId="12" fillId="3" fontId="11" numFmtId="164" xfId="0" applyAlignment="1" applyBorder="1" applyFill="1" applyFont="1" applyNumberFormat="1">
      <alignment horizontal="center" vertical="center"/>
    </xf>
    <xf borderId="14" fillId="3" fontId="11" numFmtId="0" xfId="0" applyAlignment="1" applyBorder="1" applyFill="1" applyFont="1">
      <alignment horizontal="center" vertical="center"/>
    </xf>
    <xf borderId="14" fillId="3" fontId="12" numFmtId="0" xfId="0" applyAlignment="1" applyBorder="1" applyFill="1" applyFont="1">
      <alignment horizontal="center" vertical="center"/>
    </xf>
    <xf borderId="0" fillId="3" fontId="10" numFmtId="0" xfId="0" applyAlignment="1" applyFill="1" applyFont="1">
      <alignment horizontal="center" vertical="center"/>
    </xf>
    <xf borderId="0" fillId="3" fontId="10" numFmtId="0" xfId="0" applyAlignment="1" applyFill="1" applyFont="1">
      <alignment horizontal="center" readingOrder="0" vertical="center"/>
    </xf>
    <xf borderId="12" fillId="3" fontId="11" numFmtId="0" xfId="0" applyAlignment="1" applyBorder="1" applyFill="1" applyFont="1">
      <alignment horizontal="center" readingOrder="0" vertical="center"/>
    </xf>
    <xf borderId="15" fillId="0" fontId="13" numFmtId="164" xfId="0" applyAlignment="1" applyBorder="1" applyFont="1" applyNumberFormat="1">
      <alignment horizontal="center" readingOrder="0" shrinkToFit="0" vertical="center" wrapText="1"/>
    </xf>
    <xf borderId="15" fillId="0" fontId="13" numFmtId="164" xfId="0" applyAlignment="1" applyBorder="1" applyFont="1" applyNumberFormat="1">
      <alignment horizontal="center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shrinkToFit="0" vertical="center" wrapText="1"/>
    </xf>
    <xf borderId="15" fillId="0" fontId="13" numFmtId="165" xfId="0" applyAlignment="1" applyBorder="1" applyFont="1" applyNumberFormat="1">
      <alignment horizontal="center" readingOrder="0" shrinkToFit="0" vertical="center" wrapText="1"/>
    </xf>
    <xf borderId="15" fillId="0" fontId="13" numFmtId="165" xfId="0" applyAlignment="1" applyBorder="1" applyFont="1" applyNumberFormat="1">
      <alignment horizontal="center" shrinkToFit="0" vertical="center" wrapText="1"/>
    </xf>
    <xf borderId="16" fillId="0" fontId="13" numFmtId="0" xfId="0" applyAlignment="1" applyBorder="1" applyFont="1">
      <alignment horizontal="center" readingOrder="0" shrinkToFit="0" vertical="center" wrapText="1"/>
    </xf>
    <xf borderId="17" fillId="0" fontId="13" numFmtId="166" xfId="0" applyAlignment="1" applyBorder="1" applyFont="1" applyNumberFormat="1">
      <alignment horizontal="center" readingOrder="0" shrinkToFit="0" vertical="center" wrapText="1"/>
    </xf>
    <xf borderId="17" fillId="0" fontId="1" numFmtId="166" xfId="0" applyAlignment="1" applyBorder="1" applyFont="1" applyNumberFormat="1">
      <alignment horizontal="center" readingOrder="0"/>
    </xf>
    <xf borderId="18" fillId="0" fontId="13" numFmtId="0" xfId="0" applyAlignment="1" applyBorder="1" applyFont="1">
      <alignment horizontal="center" readingOrder="0" shrinkToFit="0" vertical="center" wrapText="1"/>
    </xf>
    <xf borderId="15" fillId="0" fontId="13" numFmtId="167" xfId="0" applyAlignment="1" applyBorder="1" applyFont="1" applyNumberFormat="1">
      <alignment horizontal="center" shrinkToFit="0" vertical="center" wrapText="1"/>
    </xf>
    <xf borderId="15" fillId="0" fontId="13" numFmtId="166" xfId="0" applyAlignment="1" applyBorder="1" applyFont="1" applyNumberFormat="1">
      <alignment horizontal="center" readingOrder="0" shrinkToFit="0" vertical="center" wrapText="1"/>
    </xf>
    <xf borderId="15" fillId="0" fontId="13" numFmtId="166" xfId="0" applyAlignment="1" applyBorder="1" applyFont="1" applyNumberFormat="1">
      <alignment horizontal="center" shrinkToFit="0" vertical="center" wrapText="1"/>
    </xf>
    <xf quotePrefix="1" borderId="15" fillId="0" fontId="13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5" fillId="4" fontId="13" numFmtId="166" xfId="0" applyAlignment="1" applyBorder="1" applyFill="1" applyFont="1" applyNumberFormat="1">
      <alignment horizontal="center" readingOrder="0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15" fillId="0" fontId="1" numFmtId="166" xfId="0" applyAlignment="1" applyBorder="1" applyFont="1" applyNumberFormat="1">
      <alignment horizontal="center" readingOrder="0"/>
    </xf>
    <xf borderId="15" fillId="0" fontId="5" numFmtId="0" xfId="0" applyBorder="1" applyFont="1"/>
    <xf borderId="15" fillId="0" fontId="5" numFmtId="168" xfId="0" applyAlignment="1" applyBorder="1" applyFont="1" applyNumberFormat="1">
      <alignment horizontal="center"/>
    </xf>
    <xf borderId="15" fillId="0" fontId="5" numFmtId="0" xfId="0" applyAlignment="1" applyBorder="1" applyFont="1">
      <alignment horizontal="center"/>
    </xf>
    <xf borderId="15" fillId="0" fontId="13" numFmtId="168" xfId="0" applyAlignment="1" applyBorder="1" applyFont="1" applyNumberFormat="1">
      <alignment horizontal="center" shrinkToFit="0" vertical="center" wrapText="1"/>
    </xf>
    <xf borderId="15" fillId="0" fontId="13" numFmtId="169" xfId="0" applyAlignment="1" applyBorder="1" applyFont="1" applyNumberFormat="1">
      <alignment horizontal="center" shrinkToFit="0" vertical="center" wrapText="1"/>
    </xf>
    <xf borderId="15" fillId="0" fontId="13" numFmtId="3" xfId="0" applyAlignment="1" applyBorder="1" applyFont="1" applyNumberFormat="1">
      <alignment horizontal="center" readingOrder="0" shrinkToFit="0" vertical="center" wrapText="1"/>
    </xf>
    <xf borderId="15" fillId="0" fontId="13" numFmtId="3" xfId="0" applyAlignment="1" applyBorder="1" applyFont="1" applyNumberFormat="1">
      <alignment horizontal="center" shrinkToFit="0" vertical="center" wrapText="1"/>
    </xf>
    <xf borderId="15" fillId="5" fontId="13" numFmtId="164" xfId="0" applyAlignment="1" applyBorder="1" applyFill="1" applyFont="1" applyNumberFormat="1">
      <alignment horizontal="center" shrinkToFit="0" vertical="center" wrapText="1"/>
    </xf>
    <xf borderId="15" fillId="5" fontId="13" numFmtId="0" xfId="0" applyAlignment="1" applyBorder="1" applyFill="1" applyFont="1">
      <alignment horizontal="center" shrinkToFit="0" vertical="center" wrapText="1"/>
    </xf>
    <xf borderId="15" fillId="5" fontId="13" numFmtId="165" xfId="0" applyAlignment="1" applyBorder="1" applyFill="1" applyFont="1" applyNumberFormat="1">
      <alignment horizontal="center" shrinkToFit="0" vertical="center" wrapText="1"/>
    </xf>
    <xf borderId="15" fillId="5" fontId="13" numFmtId="167" xfId="0" applyAlignment="1" applyBorder="1" applyFill="1" applyFont="1" applyNumberFormat="1">
      <alignment horizontal="center" shrinkToFit="0" vertical="center" wrapText="1"/>
    </xf>
    <xf borderId="15" fillId="6" fontId="13" numFmtId="0" xfId="0" applyAlignment="1" applyBorder="1" applyFill="1" applyFont="1">
      <alignment horizontal="center" shrinkToFit="0" vertical="center" wrapText="1"/>
    </xf>
    <xf borderId="15" fillId="4" fontId="13" numFmtId="0" xfId="0" applyAlignment="1" applyBorder="1" applyFill="1" applyFont="1">
      <alignment horizontal="center" readingOrder="0" shrinkToFit="0" vertical="center" wrapText="1"/>
    </xf>
    <xf borderId="17" fillId="0" fontId="13" numFmtId="166" xfId="0" applyAlignment="1" applyBorder="1" applyFont="1" applyNumberFormat="1">
      <alignment horizontal="center" readingOrder="0"/>
    </xf>
    <xf borderId="15" fillId="0" fontId="13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quotePrefix="1" borderId="15" fillId="0" fontId="13" numFmtId="0" xfId="0" applyAlignment="1" applyBorder="1" applyFon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15" fillId="0" fontId="1" numFmtId="0" xfId="0" applyBorder="1" applyFont="1"/>
    <xf borderId="12" fillId="3" fontId="10" numFmtId="10" xfId="0" applyAlignment="1" applyBorder="1" applyFill="1" applyFont="1" applyNumberFormat="1">
      <alignment horizontal="center" vertical="center"/>
    </xf>
    <xf borderId="17" fillId="0" fontId="15" numFmtId="166" xfId="0" applyAlignment="1" applyBorder="1" applyFont="1" applyNumberFormat="1">
      <alignment horizontal="center" shrinkToFit="0" wrapText="1"/>
    </xf>
    <xf borderId="17" fillId="0" fontId="14" numFmtId="0" xfId="0" applyAlignment="1" applyBorder="1" applyFont="1">
      <alignment horizontal="center" readingOrder="0" shrinkToFit="0" vertical="center" wrapText="1"/>
    </xf>
    <xf borderId="15" fillId="7" fontId="13" numFmtId="0" xfId="0" applyAlignment="1" applyBorder="1" applyFill="1" applyFont="1">
      <alignment horizontal="center" readingOrder="0" shrinkToFit="0" vertical="center" wrapText="1"/>
    </xf>
    <xf borderId="15" fillId="5" fontId="13" numFmtId="0" xfId="0" applyAlignment="1" applyBorder="1" applyFill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165" xfId="0" applyAlignment="1" applyFont="1" applyNumberFormat="1">
      <alignment horizontal="center" readingOrder="0" shrinkToFit="0" vertical="center" wrapText="1"/>
    </xf>
    <xf borderId="0" fillId="0" fontId="13" numFmtId="165" xfId="0" applyAlignment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readingOrder="0" shrinkToFit="0" vertical="center" wrapText="1"/>
    </xf>
    <xf borderId="4" fillId="0" fontId="6" numFmtId="49" xfId="0" applyAlignment="1" applyBorder="1" applyFont="1" applyNumberFormat="1">
      <alignment shrinkToFit="0" vertical="top" wrapText="1"/>
    </xf>
    <xf borderId="8" fillId="0" fontId="16" numFmtId="49" xfId="0" applyAlignment="1" applyBorder="1" applyFont="1" applyNumberFormat="1">
      <alignment horizontal="left" shrinkToFit="0" vertical="top" wrapText="1"/>
    </xf>
    <xf borderId="0" fillId="0" fontId="1" numFmtId="49" xfId="0" applyFont="1" applyNumberFormat="1"/>
    <xf borderId="15" fillId="4" fontId="13" numFmtId="164" xfId="0" applyAlignment="1" applyBorder="1" applyFill="1" applyFont="1" applyNumberFormat="1">
      <alignment horizontal="center" readingOrder="0" shrinkToFit="0" vertical="center" wrapText="1"/>
    </xf>
    <xf borderId="15" fillId="4" fontId="13" numFmtId="165" xfId="0" applyAlignment="1" applyBorder="1" applyFill="1" applyFont="1" applyNumberFormat="1">
      <alignment horizontal="center" readingOrder="0" shrinkToFit="0" vertical="center" wrapText="1"/>
    </xf>
    <xf borderId="15" fillId="4" fontId="13" numFmtId="165" xfId="0" applyAlignment="1" applyBorder="1" applyFill="1" applyFont="1" applyNumberFormat="1">
      <alignment horizontal="center" shrinkToFit="0" vertical="center" wrapText="1"/>
    </xf>
    <xf borderId="16" fillId="4" fontId="13" numFmtId="0" xfId="0" applyAlignment="1" applyBorder="1" applyFill="1" applyFont="1">
      <alignment horizontal="center" readingOrder="0" shrinkToFit="0" vertical="center" wrapText="1"/>
    </xf>
    <xf borderId="17" fillId="4" fontId="13" numFmtId="166" xfId="0" applyAlignment="1" applyBorder="1" applyFill="1" applyFont="1" applyNumberFormat="1">
      <alignment horizontal="center" readingOrder="0" shrinkToFit="0" vertical="center" wrapText="1"/>
    </xf>
    <xf borderId="15" fillId="4" fontId="13" numFmtId="49" xfId="0" applyAlignment="1" applyBorder="1" applyFill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/>
    </xf>
    <xf borderId="17" fillId="4" fontId="13" numFmtId="0" xfId="0" applyAlignment="1" applyBorder="1" applyFill="1" applyFont="1">
      <alignment horizontal="center" readingOrder="0" shrinkToFit="0" vertical="center" wrapText="1"/>
    </xf>
    <xf borderId="19" fillId="4" fontId="13" numFmtId="166" xfId="0" applyAlignment="1" applyBorder="1" applyFill="1" applyFont="1" applyNumberFormat="1">
      <alignment horizontal="center" readingOrder="0" shrinkToFit="0" vertical="center" wrapText="1"/>
    </xf>
    <xf borderId="20" fillId="0" fontId="1" numFmtId="166" xfId="0" applyAlignment="1" applyBorder="1" applyFont="1" applyNumberFormat="1">
      <alignment horizontal="center" readingOrder="0"/>
    </xf>
    <xf borderId="21" fillId="4" fontId="13" numFmtId="166" xfId="0" applyAlignment="1" applyBorder="1" applyFill="1" applyFont="1" applyNumberFormat="1">
      <alignment horizontal="center" readingOrder="0" shrinkToFit="0" vertical="center" wrapText="1"/>
    </xf>
    <xf borderId="22" fillId="3" fontId="10" numFmtId="0" xfId="0" applyAlignment="1" applyBorder="1" applyFill="1" applyFont="1">
      <alignment horizontal="center" vertical="center"/>
    </xf>
    <xf borderId="15" fillId="4" fontId="13" numFmtId="3" xfId="0" applyAlignment="1" applyBorder="1" applyFill="1" applyFont="1" applyNumberFormat="1">
      <alignment horizontal="center" readingOrder="0" shrinkToFit="0" vertical="center" wrapText="1"/>
    </xf>
    <xf borderId="20" fillId="4" fontId="13" numFmtId="164" xfId="0" applyAlignment="1" applyBorder="1" applyFill="1" applyFont="1" applyNumberFormat="1">
      <alignment horizontal="center" readingOrder="0" shrinkToFit="0" vertical="center" wrapText="1"/>
    </xf>
    <xf borderId="18" fillId="4" fontId="13" numFmtId="0" xfId="0" applyAlignment="1" applyBorder="1" applyFill="1" applyFont="1">
      <alignment horizontal="center" readingOrder="0" shrinkToFit="0" vertical="center" wrapText="1"/>
    </xf>
    <xf borderId="20" fillId="4" fontId="13" numFmtId="166" xfId="0" applyAlignment="1" applyBorder="1" applyFill="1" applyFont="1" applyNumberFormat="1">
      <alignment horizontal="center" readingOrder="0" shrinkToFit="0" vertical="center" wrapText="1"/>
    </xf>
    <xf borderId="17" fillId="4" fontId="13" numFmtId="170" xfId="0" applyAlignment="1" applyBorder="1" applyFill="1" applyFont="1" applyNumberFormat="1">
      <alignment horizontal="center" readingOrder="0" shrinkToFit="0" vertical="center" wrapText="1"/>
    </xf>
    <xf borderId="18" fillId="4" fontId="13" numFmtId="49" xfId="0" applyAlignment="1" applyBorder="1" applyFill="1" applyFont="1" applyNumberFormat="1">
      <alignment horizontal="center" readingOrder="0" shrinkToFit="0" vertical="center" wrapText="1"/>
    </xf>
    <xf borderId="20" fillId="0" fontId="13" numFmtId="166" xfId="0" applyAlignment="1" applyBorder="1" applyFont="1" applyNumberFormat="1">
      <alignment horizontal="center" readingOrder="0"/>
    </xf>
    <xf borderId="0" fillId="8" fontId="1" numFmtId="0" xfId="0" applyFill="1" applyFont="1"/>
    <xf borderId="15" fillId="8" fontId="14" numFmtId="164" xfId="0" applyAlignment="1" applyBorder="1" applyFill="1" applyFont="1" applyNumberFormat="1">
      <alignment horizontal="center" readingOrder="0" shrinkToFit="0" vertical="center" wrapText="1"/>
    </xf>
    <xf borderId="15" fillId="8" fontId="14" numFmtId="0" xfId="0" applyAlignment="1" applyBorder="1" applyFill="1" applyFont="1">
      <alignment horizontal="center" readingOrder="0" shrinkToFit="0" vertical="center" wrapText="1"/>
    </xf>
    <xf borderId="15" fillId="8" fontId="14" numFmtId="165" xfId="0" applyAlignment="1" applyBorder="1" applyFill="1" applyFont="1" applyNumberFormat="1">
      <alignment horizontal="center" readingOrder="0" shrinkToFit="0" vertical="center" wrapText="1"/>
    </xf>
    <xf borderId="16" fillId="8" fontId="14" numFmtId="0" xfId="0" applyAlignment="1" applyBorder="1" applyFill="1" applyFont="1">
      <alignment horizontal="center" readingOrder="0" shrinkToFit="0" vertical="center" wrapText="1"/>
    </xf>
    <xf borderId="17" fillId="8" fontId="14" numFmtId="0" xfId="0" applyAlignment="1" applyBorder="1" applyFill="1" applyFont="1">
      <alignment horizontal="center" readingOrder="0" shrinkToFit="0" vertical="center" wrapText="1"/>
    </xf>
    <xf borderId="18" fillId="8" fontId="13" numFmtId="0" xfId="0" applyAlignment="1" applyBorder="1" applyFill="1" applyFont="1">
      <alignment horizontal="center" readingOrder="0" shrinkToFit="0" vertical="center" wrapText="1"/>
    </xf>
    <xf borderId="15" fillId="8" fontId="13" numFmtId="166" xfId="0" applyAlignment="1" applyBorder="1" applyFill="1" applyFont="1" applyNumberFormat="1">
      <alignment horizontal="center" readingOrder="0" shrinkToFit="0" vertical="center" wrapText="1"/>
    </xf>
    <xf borderId="15" fillId="8" fontId="13" numFmtId="164" xfId="0" applyAlignment="1" applyBorder="1" applyFill="1" applyFont="1" applyNumberFormat="1">
      <alignment horizontal="center" shrinkToFit="0" vertical="center" wrapText="1"/>
    </xf>
    <xf borderId="23" fillId="4" fontId="13" numFmtId="164" xfId="0" applyAlignment="1" applyBorder="1" applyFill="1" applyFont="1" applyNumberFormat="1">
      <alignment horizontal="center" readingOrder="0" shrinkToFit="0" vertical="center" wrapText="1"/>
    </xf>
    <xf borderId="15" fillId="9" fontId="14" numFmtId="164" xfId="0" applyAlignment="1" applyBorder="1" applyFill="1" applyFont="1" applyNumberFormat="1">
      <alignment horizontal="center" readingOrder="0" shrinkToFit="0" vertical="center" wrapText="1"/>
    </xf>
    <xf borderId="15" fillId="9" fontId="14" numFmtId="0" xfId="0" applyAlignment="1" applyBorder="1" applyFill="1" applyFont="1">
      <alignment horizontal="center" readingOrder="0" shrinkToFit="0" vertical="center" wrapText="1"/>
    </xf>
    <xf borderId="15" fillId="9" fontId="14" numFmtId="165" xfId="0" applyAlignment="1" applyBorder="1" applyFill="1" applyFont="1" applyNumberFormat="1">
      <alignment horizontal="center" readingOrder="0" shrinkToFit="0" vertical="center" wrapText="1"/>
    </xf>
    <xf borderId="16" fillId="9" fontId="14" numFmtId="0" xfId="0" applyAlignment="1" applyBorder="1" applyFill="1" applyFont="1">
      <alignment horizontal="center" readingOrder="0" shrinkToFit="0" vertical="center" wrapText="1"/>
    </xf>
    <xf borderId="17" fillId="9" fontId="14" numFmtId="166" xfId="0" applyAlignment="1" applyBorder="1" applyFill="1" applyFont="1" applyNumberFormat="1">
      <alignment horizontal="center" readingOrder="0" shrinkToFit="0" vertical="center" wrapText="1"/>
    </xf>
    <xf borderId="18" fillId="9" fontId="13" numFmtId="0" xfId="0" applyAlignment="1" applyBorder="1" applyFill="1" applyFont="1">
      <alignment horizontal="center" readingOrder="0" shrinkToFit="0" vertical="center" wrapText="1"/>
    </xf>
    <xf borderId="15" fillId="0" fontId="13" numFmtId="168" xfId="0" applyAlignment="1" applyBorder="1" applyFont="1" applyNumberFormat="1">
      <alignment horizontal="center" readingOrder="0" shrinkToFit="0" vertical="center" wrapText="1"/>
    </xf>
    <xf borderId="17" fillId="4" fontId="13" numFmtId="171" xfId="0" applyAlignment="1" applyBorder="1" applyFill="1" applyFont="1" applyNumberFormat="1">
      <alignment horizontal="center" readingOrder="0" shrinkToFit="0" vertical="center" wrapText="1"/>
    </xf>
    <xf borderId="0" fillId="4" fontId="1" numFmtId="0" xfId="0" applyFill="1" applyFont="1"/>
    <xf borderId="15" fillId="4" fontId="13" numFmtId="164" xfId="0" applyAlignment="1" applyBorder="1" applyFill="1" applyFont="1" applyNumberFormat="1">
      <alignment horizontal="center" shrinkToFit="0" vertical="center" wrapText="1"/>
    </xf>
    <xf borderId="15" fillId="4" fontId="17" numFmtId="0" xfId="0" applyAlignment="1" applyBorder="1" applyFill="1" applyFont="1">
      <alignment horizontal="center" readingOrder="0" shrinkToFit="0" vertical="center" wrapText="1"/>
    </xf>
    <xf borderId="16" fillId="4" fontId="13" numFmtId="169" xfId="0" applyAlignment="1" applyBorder="1" applyFill="1" applyFont="1" applyNumberFormat="1">
      <alignment horizontal="center" readingOrder="0" shrinkToFit="0" vertical="center" wrapText="1"/>
    </xf>
    <xf borderId="15" fillId="4" fontId="13" numFmtId="4" xfId="0" applyAlignment="1" applyBorder="1" applyFill="1" applyFont="1" applyNumberFormat="1">
      <alignment horizontal="center" readingOrder="0" shrinkToFit="0" vertical="center" wrapText="1"/>
    </xf>
    <xf borderId="17" fillId="4" fontId="13" numFmtId="0" xfId="0" applyAlignment="1" applyBorder="1" applyFill="1" applyFont="1">
      <alignment horizontal="center" shrinkToFit="0" vertical="center" wrapText="1"/>
    </xf>
    <xf borderId="1" fillId="2" fontId="2" numFmtId="0" xfId="0" applyBorder="1" applyFill="1" applyFont="1"/>
    <xf borderId="3" fillId="0" fontId="6" numFmtId="0" xfId="0" applyAlignment="1" applyBorder="1" applyFont="1">
      <alignment shrinkToFit="0" vertical="top" wrapText="1"/>
    </xf>
    <xf borderId="7" fillId="0" fontId="7" numFmtId="172" xfId="0" applyAlignment="1" applyBorder="1" applyFont="1" applyNumberFormat="1">
      <alignment horizontal="left" shrinkToFit="0" vertical="top" wrapText="1"/>
    </xf>
    <xf borderId="11" fillId="0" fontId="9" numFmtId="14" xfId="0" applyAlignment="1" applyBorder="1" applyFont="1" applyNumberFormat="1">
      <alignment horizontal="center"/>
    </xf>
    <xf borderId="15" fillId="6" fontId="13" numFmtId="164" xfId="0" applyAlignment="1" applyBorder="1" applyFill="1" applyFont="1" applyNumberFormat="1">
      <alignment horizontal="center" shrinkToFit="0" vertical="center" wrapText="1"/>
    </xf>
    <xf borderId="15" fillId="6" fontId="13" numFmtId="167" xfId="0" applyAlignment="1" applyBorder="1" applyFill="1" applyFont="1" applyNumberFormat="1">
      <alignment horizontal="center" shrinkToFit="0" vertical="center" wrapText="1"/>
    </xf>
    <xf borderId="15" fillId="6" fontId="13" numFmtId="166" xfId="0" applyAlignment="1" applyBorder="1" applyFill="1" applyFont="1" applyNumberFormat="1">
      <alignment horizontal="center" shrinkToFit="0" vertical="center" wrapText="1"/>
    </xf>
    <xf borderId="0" fillId="4" fontId="13" numFmtId="0" xfId="0" applyAlignment="1" applyFill="1" applyFont="1">
      <alignment horizontal="center" readingOrder="0" shrinkToFit="0" vertical="center" wrapText="1"/>
    </xf>
    <xf borderId="15" fillId="4" fontId="1" numFmtId="0" xfId="0" applyBorder="1" applyFill="1" applyFont="1"/>
    <xf borderId="15" fillId="6" fontId="5" numFmtId="0" xfId="0" applyBorder="1" applyFill="1" applyFont="1"/>
    <xf borderId="0" fillId="0" fontId="5" numFmtId="173" xfId="0" applyFont="1" applyNumberFormat="1"/>
    <xf borderId="12" fillId="3" fontId="11" numFmtId="173" xfId="0" applyAlignment="1" applyBorder="1" applyFill="1" applyFont="1" applyNumberFormat="1">
      <alignment horizontal="center" vertical="center"/>
    </xf>
    <xf borderId="0" fillId="0" fontId="1" numFmtId="0" xfId="0" applyFont="1"/>
    <xf borderId="0" fillId="4" fontId="1" numFmtId="49" xfId="0" applyFill="1" applyFont="1" applyNumberFormat="1"/>
    <xf borderId="0" fillId="4" fontId="1" numFmtId="0" xfId="0" applyAlignment="1" applyFill="1" applyFont="1">
      <alignment readingOrder="0"/>
    </xf>
    <xf borderId="15" fillId="2" fontId="13" numFmtId="0" xfId="0" applyAlignment="1" applyBorder="1" applyFill="1" applyFont="1">
      <alignment horizontal="center" shrinkToFit="0" vertical="center" wrapText="1"/>
    </xf>
    <xf borderId="0" fillId="3" fontId="18" numFmtId="0" xfId="0" applyAlignment="1" applyFill="1" applyFont="1">
      <alignment horizontal="left" shrinkToFit="0" wrapText="0"/>
    </xf>
    <xf borderId="24" fillId="3" fontId="18" numFmtId="0" xfId="0" applyAlignment="1" applyBorder="1" applyFill="1" applyFont="1">
      <alignment horizontal="left" shrinkToFit="0" wrapText="0"/>
    </xf>
    <xf borderId="24" fillId="3" fontId="18" numFmtId="0" xfId="0" applyAlignment="1" applyBorder="1" applyFill="1" applyFont="1">
      <alignment horizontal="center" shrinkToFit="0" wrapText="0"/>
    </xf>
    <xf borderId="24" fillId="3" fontId="18" numFmtId="165" xfId="0" applyAlignment="1" applyBorder="1" applyFill="1" applyFont="1" applyNumberFormat="1">
      <alignment horizontal="center" shrinkToFit="0" wrapText="0"/>
    </xf>
    <xf borderId="25" fillId="3" fontId="18" numFmtId="0" xfId="0" applyAlignment="1" applyBorder="1" applyFill="1" applyFont="1">
      <alignment horizontal="center" shrinkToFit="0" wrapText="0"/>
    </xf>
    <xf borderId="0" fillId="0" fontId="5" numFmtId="0" xfId="0" applyFont="1"/>
    <xf borderId="0" fillId="0" fontId="5" numFmtId="165" xfId="0" applyAlignment="1" applyFont="1" applyNumberFormat="1">
      <alignment horizontal="center"/>
    </xf>
    <xf borderId="0" fillId="9" fontId="19" numFmtId="0" xfId="0" applyAlignment="1" applyFill="1" applyFont="1">
      <alignment shrinkToFit="0" wrapText="0"/>
    </xf>
    <xf borderId="24" fillId="9" fontId="19" numFmtId="0" xfId="0" applyAlignment="1" applyBorder="1" applyFill="1" applyFont="1">
      <alignment shrinkToFit="0" wrapText="0"/>
    </xf>
    <xf borderId="24" fillId="0" fontId="19" numFmtId="0" xfId="0" applyAlignment="1" applyBorder="1" applyFont="1">
      <alignment horizontal="center" shrinkToFit="0" wrapText="0"/>
    </xf>
    <xf borderId="24" fillId="0" fontId="19" numFmtId="165" xfId="0" applyAlignment="1" applyBorder="1" applyFont="1" applyNumberFormat="1">
      <alignment horizontal="center" shrinkToFit="0" vertical="bottom" wrapText="0"/>
    </xf>
    <xf borderId="0" fillId="0" fontId="20" numFmtId="0" xfId="0" applyAlignment="1" applyFont="1">
      <alignment horizontal="right" shrinkToFit="0" vertical="bottom" wrapText="0"/>
    </xf>
    <xf borderId="0" fillId="10" fontId="19" numFmtId="0" xfId="0" applyAlignment="1" applyFill="1" applyFont="1">
      <alignment shrinkToFit="0" wrapText="0"/>
    </xf>
    <xf borderId="24" fillId="10" fontId="19" numFmtId="0" xfId="0" applyAlignment="1" applyBorder="1" applyFill="1" applyFont="1">
      <alignment shrinkToFit="0" wrapText="0"/>
    </xf>
    <xf borderId="0" fillId="10" fontId="19" numFmtId="0" xfId="0" applyAlignment="1" applyFill="1" applyFont="1">
      <alignment horizontal="left"/>
    </xf>
    <xf borderId="24" fillId="10" fontId="19" numFmtId="0" xfId="0" applyAlignment="1" applyBorder="1" applyFill="1" applyFont="1">
      <alignment horizontal="left"/>
    </xf>
    <xf borderId="24" fillId="0" fontId="19" numFmtId="0" xfId="0" applyAlignment="1" applyBorder="1" applyFont="1">
      <alignment horizontal="center"/>
    </xf>
    <xf borderId="24" fillId="4" fontId="21" numFmtId="165" xfId="0" applyAlignment="1" applyBorder="1" applyFill="1" applyFont="1" applyNumberFormat="1">
      <alignment horizontal="center" shrinkToFit="0" wrapText="0"/>
    </xf>
    <xf borderId="0" fillId="9" fontId="19" numFmtId="0" xfId="0" applyAlignment="1" applyFill="1" applyFont="1">
      <alignment horizontal="left"/>
    </xf>
    <xf borderId="24" fillId="9" fontId="19" numFmtId="0" xfId="0" applyAlignment="1" applyBorder="1" applyFill="1" applyFont="1">
      <alignment horizontal="left"/>
    </xf>
    <xf borderId="0" fillId="11" fontId="19" numFmtId="0" xfId="0" applyAlignment="1" applyFill="1" applyFont="1">
      <alignment horizontal="left"/>
    </xf>
    <xf borderId="24" fillId="11" fontId="19" numFmtId="0" xfId="0" applyAlignment="1" applyBorder="1" applyFill="1" applyFont="1">
      <alignment horizontal="left"/>
    </xf>
    <xf borderId="24" fillId="0" fontId="19" numFmtId="165" xfId="0" applyAlignment="1" applyBorder="1" applyFont="1" applyNumberFormat="1">
      <alignment horizontal="center"/>
    </xf>
    <xf borderId="24" fillId="4" fontId="22" numFmtId="165" xfId="0" applyAlignment="1" applyBorder="1" applyFill="1" applyFont="1" applyNumberFormat="1">
      <alignment horizontal="center"/>
    </xf>
    <xf borderId="0" fillId="12" fontId="19" numFmtId="0" xfId="0" applyAlignment="1" applyFill="1" applyFont="1">
      <alignment horizontal="left"/>
    </xf>
    <xf borderId="24" fillId="12" fontId="19" numFmtId="0" xfId="0" applyAlignment="1" applyBorder="1" applyFill="1" applyFont="1">
      <alignment horizontal="left"/>
    </xf>
    <xf borderId="0" fillId="13" fontId="19" numFmtId="0" xfId="0" applyAlignment="1" applyFill="1" applyFont="1">
      <alignment horizontal="left"/>
    </xf>
    <xf borderId="24" fillId="13" fontId="19" numFmtId="0" xfId="0" applyAlignment="1" applyBorder="1" applyFill="1" applyFont="1">
      <alignment horizontal="left"/>
    </xf>
    <xf borderId="24" fillId="2" fontId="19" numFmtId="0" xfId="0" applyAlignment="1" applyBorder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8DFDF"/>
          <bgColor rgb="FFF8DFD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0</xdr:row>
      <xdr:rowOff>419100</xdr:rowOff>
    </xdr:from>
    <xdr:ext cx="3181350" cy="1228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1676400</xdr:colOff>
      <xdr:row>0</xdr:row>
      <xdr:rowOff>333375</xdr:rowOff>
    </xdr:from>
    <xdr:ext cx="3181350" cy="1228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1676400</xdr:colOff>
      <xdr:row>0</xdr:row>
      <xdr:rowOff>333375</xdr:rowOff>
    </xdr:from>
    <xdr:ext cx="3181350" cy="1228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1676400</xdr:colOff>
      <xdr:row>0</xdr:row>
      <xdr:rowOff>333375</xdr:rowOff>
    </xdr:from>
    <xdr:ext cx="3181350" cy="1228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1676400</xdr:colOff>
      <xdr:row>0</xdr:row>
      <xdr:rowOff>333375</xdr:rowOff>
    </xdr:from>
    <xdr:ext cx="3181350" cy="1228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3076575</xdr:colOff>
      <xdr:row>0</xdr:row>
      <xdr:rowOff>190500</xdr:rowOff>
    </xdr:from>
    <xdr:ext cx="3181350" cy="1228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0</xdr:row>
      <xdr:rowOff>0</xdr:rowOff>
    </xdr:from>
    <xdr:ext cx="3181350" cy="1228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0</xdr:row>
      <xdr:rowOff>133350</xdr:rowOff>
    </xdr:from>
    <xdr:ext cx="301942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1485900</xdr:colOff>
      <xdr:row>0</xdr:row>
      <xdr:rowOff>619125</xdr:rowOff>
    </xdr:from>
    <xdr:ext cx="3019425" cy="1171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mpras - Binario Tecnologia" id="{1e0a5941-74fd-472e-aea4-de78c347ffac}" providerId="google-sheets"/>
  <x18tc:person displayName="Paloma Maclaine - Fiscal Binario" id="{046b7750-43d4-4bbb-8001-b990b23ad93d}" providerId="google-sheets"/>
  <x18tc:person displayName="Miguel Araújo Binario Estoque" id="{ca91c99a-77e2-4156-ad52-c552ca231a9d}" providerId="google-sheets"/>
  <x18tc:person displayName="Fiscal Binário" id="{17977e4e-2172-48bf-9602-1112fb6156ff}" providerId="google-sheets"/>
  <x18tc:person displayName="fiscal.2@binariotecnologia.com.br" id="{ec608e30-9194-43c0-963a-a200f7949e18}" userId="fiscal.2@binariotecnologia.com.br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563" dT="2026-04-22T12:24:35.00" personId="{17977e4e-2172-48bf-9602-1112fb6156ff}" id="{61b6d65a-775c-464d-8c3f-9ef53718013d}" done="0">
    <x18tc:text xml:space="preserve">Entrada de 400 pois nao chegou o restante</x18tc:text>
  </x18tc:threadedComment>
  <x18tc:threadedComment ref="K594" dT="2026-04-22T14:28:05.00" personId="{1e0a5941-74fd-472e-aea4-de78c347ffac}" id="{68efc84a-9973-4c0d-b563-40be3dd43356}" done="0">
    <x18tc:text xml:space="preserve">compra realizada pelo Guilherme</x18tc:text>
  </x18tc:threadedComment>
  <x18tc:threadedComment ref="K564" dT="2026-04-22T14:27:08.00" personId="{1e0a5941-74fd-472e-aea4-de78c347ffac}" id="{e8d6ab0f-d98b-45d1-9c8b-1a3c84478ad6}" done="0">
    <x18tc:text xml:space="preserve">compra realizada pelo Isaac</x18tc:text>
  </x18tc:threadedComment>
  <x18tc:threadedComment ref="K565" dT="2026-04-22T14:27:18.00" personId="{1e0a5941-74fd-472e-aea4-de78c347ffac}" id="{5eaa3d8e-5f32-46bd-9250-8e76cd0a7b86}" done="0">
    <x18tc:text xml:space="preserve">compra realizada pelo Isaac</x18tc:text>
  </x18tc:threadedComment>
  <x18tc:threadedComment ref="K415" dT="2026-04-10T19:29:07.00" personId="{1e0a5941-74fd-472e-aea4-de78c347ffac}" id="{9be098f2-40d8-4693-9dd6-2fe130f24fbc}" done="0">
    <x18tc:text xml:space="preserve">Compra feita pelo Isaac</x18tc:text>
  </x18tc:threadedComment>
  <x18tc:threadedComment ref="O444" dT="2026-04-13T18:15:56.00" personId="{17977e4e-2172-48bf-9602-1112fb6156ff}" id="{034f8f26-1faa-4b93-8bc5-71b972331145}" done="0">
    <x18tc:text xml:space="preserve">Feito a entrada de 390 no dia 13/04. Feito a entrada do restante 110, 16/04</x18tc:text>
  </x18tc:threadedComment>
  <x18tc:threadedComment ref="K416" dT="2026-04-14T17:39:16.00" personId="{1e0a5941-74fd-472e-aea4-de78c347ffac}" id="{63a4607b-fe1b-46fd-a805-009453ae7664}" done="0">
    <x18tc:text xml:space="preserve">PAULO MEGATRON</x18tc:text>
  </x18tc:threadedComment>
  <x18tc:threadedComment ref="K468" dT="2026-04-14T19:33:34.00" personId="{1e0a5941-74fd-472e-aea4-de78c347ffac}" id="{817ca9e6-363e-4ac6-807b-31a2e2717978}" done="0">
    <x18tc:text xml:space="preserve">Divergência - veio faltando 1 peça</x18tc:text>
  </x18tc:threadedComment>
  <x18tc:threadedComment ref="K469" dT="2026-04-14T19:45:27.00" personId="{1e0a5941-74fd-472e-aea4-de78c347ffac}" id="{b0d2b192-454b-48f5-984e-ff5bd3632b1a}" done="0">
    <x18tc:text xml:space="preserve">Divergência - veio faltando 1 peça</x18tc:text>
  </x18tc:threadedComment>
  <x18tc:threadedComment ref="K526" dT="2026-04-14T12:35:12.00" personId="{1e0a5941-74fd-472e-aea4-de78c347ffac}" id="{631e3283-ad3d-4ca4-bbae-8671ad530f63}" done="0">
    <x18tc:text xml:space="preserve">COMPRA REALIZADA PELO ISSAC</x18tc:text>
  </x18tc:threadedComment>
  <x18tc:threadedComment ref="O477" dT="2026-04-14T13:52:42.00" personId="{17977e4e-2172-48bf-9602-1112fb6156ff}" id="{3fb2bf23-39ab-478c-a39a-38961922b33d}" done="0">
    <x18tc:text xml:space="preserve">Foi dada entrada em 440. Irá chegar restante. Foi feito entrada do restante 16/04</x18tc:text>
  </x18tc:threadedComment>
  <x18tc:threadedComment ref="K413" dT="2026-04-14T14:12:14.00" personId="{1e0a5941-74fd-472e-aea4-de78c347ffac}" id="{295f7f8e-6c47-4b51-9981-09a6a5439c12}" done="0">
    <x18tc:text xml:space="preserve">Era o pedido 912904</x18tc:text>
  </x18tc:threadedComment>
  <x18tc:threadedComment ref="O432" dT="2026-04-06T12:05:20.00" personId="{17977e4e-2172-48bf-9602-1112fb6156ff}" id="{8c87acbe-2e0b-4e3e-b885-f5a982eaf95f}" done="0">
    <x18tc:text xml:space="preserve">30 já foi dada entrada pro guilherme.</x18tc:text>
  </x18tc:threadedComment>
  <x18tc:threadedComment ref="O343" dT="2026-04-06T19:07:02.00" personId="{17977e4e-2172-48bf-9602-1112fb6156ff}" id="{4ca09111-45a8-4836-9aac-a2a0e3d22c73}" done="0">
    <x18tc:text xml:space="preserve">Foi feito a entrada de 85 pra gley</x18tc:text>
  </x18tc:threadedComment>
  <x18tc:threadedComment ref="O450" dT="2026-04-08T13:49:09.00" personId="{17977e4e-2172-48bf-9602-1112fb6156ff}" id="{de6eb2c6-c203-4618-a554-78768fab078b}" done="0">
    <x18tc:text xml:space="preserve">Foi dada entrada em 10 para isaac. Em 13/04 foi dada entrada no restante, na 1</x18tc:text>
  </x18tc:threadedComment>
  <x18tc:threadedComment ref="O347" dT="2026-04-01T17:38:49.00" personId="{17977e4e-2172-48bf-9602-1112fb6156ff}" id="{17f4a24a-5c0c-432b-bf38-51da796ed5c5}" done="0">
    <x18tc:text xml:space="preserve">Vieram 400 memorias da prodrive no meio.</x18tc:text>
  </x18tc:threadedComment>
  <x18tc:threadedComment ref="O310" dT="2026-04-01T18:04:06.00" personId="{17977e4e-2172-48bf-9602-1112fb6156ff}" id="{5480ca3f-c37a-4d5e-b958-14dbca0c154f}" done="0">
    <x18tc:text xml:space="preserve">900 para o Guilherme</x18tc:text>
  </x18tc:threadedComment>
  <x18tc:threadedComment ref="Q315" dT="2026-04-01T20:06:51.00" personId="{17977e4e-2172-48bf-9602-1112fb6156ff}" id="{8acfdd48-f93c-4e44-84e6-413f4381c409}" done="0">
    <x18tc:text xml:space="preserve">900 foi para guilherme, 100 estoque</x18tc:text>
  </x18tc:threadedComment>
  <x18tc:threadedComment ref="K678" dT="2026-04-27T15:20:16.00" personId="{1e0a5941-74fd-472e-aea4-de78c347ffac}" id="{fbbe4102-8e6e-4f40-9fea-288fde2580b3}" done="0">
    <x18tc:text xml:space="preserve">compra realizada pelo Isaac</x18tc:text>
  </x18tc:threadedComment>
  <x18tc:threadedComment ref="K677" dT="2026-04-27T15:20:09.00" personId="{1e0a5941-74fd-472e-aea4-de78c347ffac}" id="{d08e6e89-5434-4aa8-973b-b315986f89b1}" done="0">
    <x18tc:text xml:space="preserve">compra realizada pelo Isaac</x18tc:text>
  </x18tc:threadedComment>
  <x18tc:threadedComment ref="K772" dT="2026-05-06T14:25:44.00" personId="{1e0a5941-74fd-472e-aea4-de78c347ffac}" id="{d3e790b5-6d2d-41e0-94af-365e0f46dcef}" done="0">
    <x18tc:text xml:space="preserve">Compra realizado pelo Isaac</x18tc:text>
  </x18tc:threadedComment>
  <x18tc:threadedComment ref="K707" dT="2026-05-07T14:52:16.00" personId="{ca91c99a-77e2-4156-ad52-c552ca231a9d}" id="{3e74502e-ef12-4309-bd66-9965cff0209a}" done="0">
    <x18tc:text xml:space="preserve">Chegou dia 07/05</x18tc:text>
  </x18tc:threadedComment>
  <x18tc:threadedComment ref="K747" dT="2026-05-08T19:36:49.00" personId="{ca91c99a-77e2-4156-ad52-c552ca231a9d}" id="{76721851-3c36-4e75-8e62-fabf7588e85e}" done="0">
    <x18tc:text xml:space="preserve">Pedido veio com 2 modelos diferentes na mesma caixa (15 un do TM1111 e 05 un do TM1071)</x18tc:text>
  </x18tc:threadedComment>
  <x18tc:threadedComment ref="O641" dT="2026-04-27T17:38:25.00" personId="{17977e4e-2172-48bf-9602-1112fb6156ff}" id="{0b32d870-2707-44b0-9cbb-eab33ff7a6ee}" done="0">
    <x18tc:text xml:space="preserve">60 do guilherme</x18tc:text>
  </x18tc:threadedComment>
  <x18tc:threadedComment ref="O502" dT="2026-04-28T13:52:01.00" personId="{17977e4e-2172-48bf-9602-1112fb6156ff}" id="{ffa9d3a4-5459-4004-acc8-e88115c9c55d}" done="0">
    <x18tc:text xml:space="preserve">foi dado entrada em 6160 que chegou no dia anteior. Falta o restante</x18tc:text>
  </x18tc:threadedComment>
  <x18tc:threadedComment ref="O502" dT="2026-04-28T19:10:42.00" personId="{17977e4e-2172-48bf-9602-1112fb6156ff}" id="{921851dd-63ca-4e2d-827d-e3cc83db60a9}" parentId="{ffa9d3a4-5459-4004-acc8-e88115c9c55d}">
    <x18tc:text xml:space="preserve">feito a entrada do restante que chegou, 840. 28/04</x18tc:text>
  </x18tc:threadedComment>
  <x18tc:threadedComment ref="K695" dT="2026-04-28T12:01:15.00" personId="{1e0a5941-74fd-472e-aea4-de78c347ffac}" id="{cb2b18f4-0c23-4b92-845e-5bf1925524a6}" done="0">
    <x18tc:text xml:space="preserve">Triangulação-Belmicro irá entregar no cliente final</x18tc:text>
  </x18tc:threadedComment>
  <x18tc:threadedComment ref="K708" dT="2026-04-30T13:25:22.00" personId="{1e0a5941-74fd-472e-aea4-de78c347ffac}" id="{a49ebb87-e8e8-41ef-b6e3-b5f41c9ff26a}" done="0">
    <x18tc:text xml:space="preserve">Triangulação-Belmicro irá entregar no cliente final</x18tc:text>
  </x18tc:threadedComment>
  <x18tc:threadedComment ref="K739" dT="2026-04-30T13:27:57.00" personId="{1e0a5941-74fd-472e-aea4-de78c347ffac}" id="{9061f46c-ac35-48ad-8562-9e2c1cbf72fd}" done="0">
    <x18tc:text xml:space="preserve">Triangulação-Belmicro irá entregar no cliente final</x18tc:text>
  </x18tc:threadedComment>
  <x18tc:threadedComment ref="K741" dT="2026-05-05T17:58:29.00" personId="{1e0a5941-74fd-472e-aea4-de78c347ffac}" id="{ab921960-240b-48f9-8ab5-66ccf3e8ea8f}" done="0">
    <x18tc:text xml:space="preserve">Compra realizada pelo Isaac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01" dT="2026-05-06T20:58:37.00" personId="{1e0a5941-74fd-472e-aea4-de78c347ffac}" id="{be1861fe-da47-46c0-a432-580772df766a}" done="0">
    <x18tc:text xml:space="preserve">Compra realizada pelo Yhan</x18tc:text>
  </x18tc:threadedComment>
  <x18tc:threadedComment ref="K101" dT="2026-05-13T12:03:34.00" personId="{17977e4e-2172-48bf-9602-1112fb6156ff}" id="{b3d1bd7a-a0fb-439b-a8ed-c014251b260a}" parentId="{be1861fe-da47-46c0-a432-580772df766a}">
    <x18tc:text xml:space="preserve">Feito a entrada de 240 para Guilherme.</x18tc:text>
  </x18tc:threadedComment>
  <x18tc:threadedComment ref="K102" dT="2026-05-06T20:58:42.00" personId="{1e0a5941-74fd-472e-aea4-de78c347ffac}" id="{4e5fde14-d567-4cfc-8e6a-64e20bf24ebb}" done="1">
    <x18tc:text xml:space="preserve">Compra realizada pelo Yhan</x18tc:text>
  </x18tc:threadedComment>
  <x18tc:threadedComment ref="K102" dT="2026-05-13T13:05:11.00" personId="{17977e4e-2172-48bf-9602-1112fb6156ff}" id="{5e45945f-ea5d-4577-aac6-ecc00f8a2202}" parentId="{4e5fde14-d567-4cfc-8e6a-64e20bf24ebb}">
    <x18tc:text xml:space="preserve">Foi feita a entrada de 200 unidades para guilherme.
Marcada como resolvida</x18tc:text>
  </x18tc:threadedComment>
  <x18tc:threadedComment ref="K11" dT="2026-05-07T12:17:24.00" personId="{ca91c99a-77e2-4156-ad52-c552ca231a9d}" id="{4a3d114d-1775-4698-8dc4-a296fbc0fee8}" done="0">
    <x18tc:text xml:space="preserve">Chegou 200 UN dia 06/05, e já foi carregado.</x18tc:text>
  </x18tc:threadedComment>
  <x18tc:threadedComment ref="K11" dT="2026-05-11T12:55:58.00" personId="{ca91c99a-77e2-4156-ad52-c552ca231a9d}" id="{9fafbd7f-ac5d-495a-a21d-6e4cfe38d49b}" parentId="{4a3d114d-1775-4698-8dc4-a296fbc0fee8}">
    <x18tc:text xml:space="preserve">Restante do pedido chegou</x18tc:text>
  </x18tc:threadedComment>
  <x18tc:threadedComment ref="K12" dT="2026-05-07T12:19:18.00" personId="{ca91c99a-77e2-4156-ad52-c552ca231a9d}" id="{340523e6-bddc-4a43-9014-de09229d6488}" done="0">
    <x18tc:text xml:space="preserve">Chegou 465 UN dia 06/05, foi carregado 400 UN sobrando 65 UN em estoque.</x18tc:text>
  </x18tc:threadedComment>
  <x18tc:threadedComment ref="K12" dT="2026-05-07T14:28:14.00" personId="{17977e4e-2172-48bf-9602-1112fb6156ff}" id="{df19d564-4b4a-4ed4-86c2-b4db3020e61e}" parentId="{340523e6-bddc-4a43-9014-de09229d6488}">
    <x18tc:text xml:space="preserve">foi dado a entrada de 465 - 07/05</x18tc:text>
  </x18tc:threadedComment>
  <x18tc:threadedComment ref="K12" dT="2026-05-11T12:56:28.00" personId="{ca91c99a-77e2-4156-ad52-c552ca231a9d}" id="{08d15a14-e003-4e49-a904-c6faa42ba56a}" parentId="{340523e6-bddc-4a43-9014-de09229d6488}">
    <x18tc:text xml:space="preserve">Restante do pedido chegou</x18tc:text>
  </x18tc:threadedComment>
  <x18tc:threadedComment ref="K10" dT="2026-05-04T16:39:39.00" personId="{1e0a5941-74fd-472e-aea4-de78c347ffac}" id="{08774747-3efc-4396-860a-0f8d2ea0b4ab}" done="0">
    <x18tc:text xml:space="preserve">Compra realizada pelo Isaac</x18tc:text>
  </x18tc:threadedComment>
  <x18tc:threadedComment ref="K10" dT="2026-05-11T13:58:13.00" personId="{ca91c99a-77e2-4156-ad52-c552ca231a9d}" id="{a0905d36-3fcc-4c1e-bedf-bc4e38f97e75}" parentId="{08774747-3efc-4396-860a-0f8d2ea0b4ab}">
    <x18tc:text xml:space="preserve">Chegou 250 un dia 11/05, aguardando o restante...</x18tc:text>
  </x18tc:threadedComment>
  <x18tc:threadedComment ref="K40" dT="2026-05-05T13:45:15.00" personId="{1e0a5941-74fd-472e-aea4-de78c347ffac}" id="{3d663ca9-88f3-4f46-a9ba-fc4b2c731248}" done="0">
    <x18tc:text xml:space="preserve">Compra realizada pelo Yhan</x18tc:text>
  </x18tc:threadedComment>
  <x18tc:threadedComment ref="K40" dT="2026-05-06T12:02:48.00" personId="{046b7750-43d4-4bbb-8001-b990b23ad93d}" id="{9858bbf4-a5e5-4175-bfe9-cf6ee79465b1}" parentId="{3d663ca9-88f3-4f46-a9ba-fc4b2c731248}">
    <x18tc:text xml:space="preserve">@fiscal.2@binariotecnologia.com.br 
foi realizada a entrada de 100pçs no cod BH no dia 06/05</x18tc:text>
    <x18tc:mentions>
      <x18tc:mention mentionpersonId="{ec608e30-9194-43c0-963a-a200f7949e18}" mentionId="{13ad3b78-8539-471b-b218-648e1e3fafb9}" startIndex="0" length="34"/>
    </x18tc:mentions>
  </x18tc:threadedComment>
  <x18tc:threadedComment ref="K40" dT="2026-05-07T12:14:07.00" personId="{ca91c99a-77e2-4156-ad52-c552ca231a9d}" id="{d7220f19-eb70-4e26-a9bf-3a87e6eb938e}" parentId="{3d663ca9-88f3-4f46-a9ba-fc4b2c731248}">
    <x18tc:text xml:space="preserve">Cheegou 100 UN dia 06/05</x18tc:text>
  </x18tc:threadedComment>
  <x18tc:threadedComment ref="K40" dT="2026-05-07T14:19:36.00" personId="{17977e4e-2172-48bf-9602-1112fb6156ff}" id="{bbc3e769-8263-493c-a2ac-9604a2d16429}" parentId="{3d663ca9-88f3-4f46-a9ba-fc4b2c731248}">
    <x18tc:text xml:space="preserve">Foi feita a entrada de 100 pçs 07/05</x18tc:text>
  </x18tc:threadedComment>
  <x18tc:threadedComment ref="K40" dT="2026-05-11T12:52:22.00" personId="{ca91c99a-77e2-4156-ad52-c552ca231a9d}" id="{54b8169b-93fc-49fa-90ba-1e4338159910}" parentId="{3d663ca9-88f3-4f46-a9ba-fc4b2c731248}">
    <x18tc:text xml:space="preserve">Restante do pedido chegou, 800 un estoque e 100 un já entregue ao cliente.</x18tc:text>
  </x18tc:threadedComment>
  <x18tc:threadedComment ref="K157" dT="2026-05-15T13:11:08.00" personId="{1e0a5941-74fd-472e-aea4-de78c347ffac}" id="{89f2dc71-3ec7-4409-be1a-0db58ad550cc}" done="0">
    <x18tc:text xml:space="preserve">Lara solicitou a compra</x18tc:text>
  </x18tc:threadedComment>
  <x18tc:threadedComment ref="P154" dT="2026-05-20T19:37:14.00" personId="{17977e4e-2172-48bf-9602-1112fb6156ff}" id="{fa09c69c-dcc8-4796-a910-639f5c1e5ca6}" done="0">
    <x18tc:text xml:space="preserve">Foi feito 100 para guilherme com autorização do gustavo</x18tc:text>
  </x18tc:threadedComment>
  <x18tc:threadedComment ref="K271" dT="2026-05-21T17:55:42.00" personId="{17977e4e-2172-48bf-9602-1112fb6156ff}" id="{63960ff8-c455-4154-b0e7-87c1e3b08d98}" done="0">
    <x18tc:text xml:space="preserve">Chegou 300 e foi feito 300 peças. Yhan autorizou</x18tc:text>
  </x18tc:threadedComment>
  <x18tc:threadedComment ref="K119" dT="2026-05-11T18:02:08.00" personId="{1e0a5941-74fd-472e-aea4-de78c347ffac}" id="{267733cc-a791-4fd3-92bd-c6b7eacb74ae}" done="0">
    <x18tc:text xml:space="preserve">Compra realizada pela Gley-Mercado Livre</x18tc:text>
  </x18tc:threadedComment>
  <x18tc:threadedComment ref="K120" dT="2026-05-11T18:02:12.00" personId="{1e0a5941-74fd-472e-aea4-de78c347ffac}" id="{0fc0fd29-7171-4b01-ad25-182a73f3aef4}" done="0">
    <x18tc:text xml:space="preserve">Compra realizada pela Gley-Mercado Livre</x18tc:text>
  </x18tc:threadedComment>
  <x18tc:threadedComment ref="K121" dT="2026-05-11T18:02:16.00" personId="{1e0a5941-74fd-472e-aea4-de78c347ffac}" id="{c219109b-49f5-44c1-a128-f39908a69101}" done="0">
    <x18tc:text xml:space="preserve">Compra realizada pela Gley-Mercado Livre</x18tc:text>
  </x18tc:threadedComment>
  <x18tc:threadedComment ref="K115" dT="2026-05-11T17:40:04.00" personId="{1e0a5941-74fd-472e-aea4-de78c347ffac}" id="{489b5f7a-25d3-448d-b884-2f7f31b59baa}" done="0">
    <x18tc:text xml:space="preserve">Compra realizada pela Gley-Mercado Livre</x18tc:text>
  </x18tc:threadedComment>
  <x18tc:threadedComment ref="K116" dT="2026-05-11T17:41:13.00" personId="{1e0a5941-74fd-472e-aea4-de78c347ffac}" id="{e9965a27-0468-4540-9941-9c9b8ba4e2ef}" done="0">
    <x18tc:text xml:space="preserve">Compra realizada pela Gley-Mercado Livre</x18tc:text>
  </x18tc:threadedComment>
  <x18tc:threadedComment ref="K117" dT="2026-05-11T17:58:11.00" personId="{1e0a5941-74fd-472e-aea4-de78c347ffac}" id="{3c363440-008b-4c4d-8770-2ece2122fd5b}" done="0">
    <x18tc:text xml:space="preserve">Compra realizada pela Gley-Mercado Livre</x18tc:text>
  </x18tc:threadedComment>
  <x18tc:threadedComment ref="K118" dT="2026-05-11T18:02:03.00" personId="{1e0a5941-74fd-472e-aea4-de78c347ffac}" id="{45a8fbe7-a1b0-4ff1-b0dc-676ee2569cfe}" done="0">
    <x18tc:text xml:space="preserve">Compra realizada pela Gley-Mercado Livre</x18tc:text>
  </x18tc:threadedComment>
  <x18tc:threadedComment ref="K102" dT="2026-05-13T13:05:38.00" personId="{17977e4e-2172-48bf-9602-1112fb6156ff}" id="{dfa9fe75-4c36-4b4e-9617-39e20d7dd8b6}" done="0">
    <x18tc:text xml:space="preserve">Foi feita entrada de 200 unidades para guilherme</x18tc:text>
  </x18tc:threadedComment>
  <x18tc:threadedComment ref="K189" dT="2026-05-14T11:34:29.00" personId="{1e0a5941-74fd-472e-aea4-de78c347ffac}" id="{096721dd-791f-4e26-bb75-262a0e8f63a6}" done="0">
    <x18tc:text xml:space="preserve">COMPRA SUFRAMA</x18tc:text>
  </x18tc:threadedComment>
  <x18tc:threadedComment ref="K189" dT="2026-05-26T19:31:17.00" personId="{1e0a5941-74fd-472e-aea4-de78c347ffac}" id="{dd6dc83d-0ae9-4f09-91ea-44f165d54e59}" parentId="{096721dd-791f-4e26-bb75-262a0e8f63a6}">
    <x18tc:text xml:space="preserve">Compra feita pelo Isaac</x18tc:text>
  </x18tc:threadedComment>
  <x18tc:threadedComment ref="K190" dT="2026-05-14T11:35:05.00" personId="{1e0a5941-74fd-472e-aea4-de78c347ffac}" id="{43734858-3524-4756-af84-18e7fcbadeb1}" done="0">
    <x18tc:text xml:space="preserve">COMPRA SUFRAMA</x18tc:text>
  </x18tc:threadedComment>
  <x18tc:threadedComment ref="K190" dT="2026-05-26T19:31:22.00" personId="{1e0a5941-74fd-472e-aea4-de78c347ffac}" id="{5b112658-c0e1-4a01-a554-797c83ef0463}" parentId="{43734858-3524-4756-af84-18e7fcbadeb1}">
    <x18tc:text xml:space="preserve">Compra feita pelo Isaac</x18tc:text>
  </x18tc:threadedComment>
  <x18tc:threadedComment ref="K191" dT="2026-05-14T11:35:12.00" personId="{1e0a5941-74fd-472e-aea4-de78c347ffac}" id="{cfd14c5a-2884-45c8-8fb5-b87e7bb8fe09}" done="0">
    <x18tc:text xml:space="preserve">COMPRA SUFRAMA</x18tc:text>
  </x18tc:threadedComment>
  <x18tc:threadedComment ref="K192" dT="2026-05-14T11:35:17.00" personId="{1e0a5941-74fd-472e-aea4-de78c347ffac}" id="{14c37c76-906c-457d-9f3a-1d1319d89ac6}" done="0">
    <x18tc:text xml:space="preserve">COMPRA SUFRAMA</x18tc:text>
  </x18tc:threadedComment>
  <x18tc:threadedComment ref="K192" dT="2026-05-26T19:31:25.00" personId="{1e0a5941-74fd-472e-aea4-de78c347ffac}" id="{5444a335-7b9b-4b48-9deb-01b9d99198a7}" parentId="{14c37c76-906c-457d-9f3a-1d1319d89ac6}">
    <x18tc:text xml:space="preserve">Compra feita pelo Isaac</x18tc:text>
  </x18tc:threadedComment>
  <x18tc:threadedComment ref="K128" dT="2026-05-14T11:47:46.00" personId="{ca91c99a-77e2-4156-ad52-c552ca231a9d}" id="{6b214872-a62b-4bfc-8da2-74221d2b9dfe}" done="0">
    <x18tc:text xml:space="preserve">Chegaram apenas 33 un</x18tc:text>
  </x18tc:threadedComment>
  <x18tc:threadedComment ref="K141" dT="2026-05-14T11:48:35.00" personId="{ca91c99a-77e2-4156-ad52-c552ca231a9d}" id="{94435f10-f398-4707-84ce-2f1d65f013c5}" done="0">
    <x18tc:text xml:space="preserve">Faltando 01 un ( veio 01 un i5-4670)</x18tc:text>
  </x18tc:threadedComment>
  <x18tc:threadedComment ref="K233" dT="2026-05-14T17:15:35.00" personId="{1e0a5941-74fd-472e-aea4-de78c347ffac}" id="{d304466f-a038-4ec3-b1b4-9ee9f3d39730}" done="0">
    <x18tc:text xml:space="preserve">Compra feita pelo Guilherme</x18tc:text>
  </x18tc:threadedComment>
  <x18tc:threadedComment ref="K234" dT="2026-05-14T17:15:39.00" personId="{1e0a5941-74fd-472e-aea4-de78c347ffac}" id="{7ac0318b-9a9c-4962-b08c-df2a7861e7d5}" done="0">
    <x18tc:text xml:space="preserve">Compra feita pelo Guilherme</x18tc:text>
  </x18tc:threadedComment>
  <x18tc:threadedComment ref="K235" dT="2026-05-14T17:15:44.00" personId="{1e0a5941-74fd-472e-aea4-de78c347ffac}" id="{0e5bbcae-e72c-45e1-a709-f2a9a83e817d}" done="0">
    <x18tc:text xml:space="preserve">Compra feita pelo Guilherme</x18tc:text>
  </x18tc:threadedComment>
  <x18tc:threadedComment ref="K236" dT="2026-05-14T17:15:50.00" personId="{1e0a5941-74fd-472e-aea4-de78c347ffac}" id="{cdee180a-43ba-4ba7-bd18-2bab330d960a}" done="0">
    <x18tc:text xml:space="preserve">Compra feita pelo Guilherme</x18tc:text>
  </x18tc:threadedComment>
  <x18tc:threadedComment ref="K237" dT="2026-05-14T17:15:55.00" personId="{1e0a5941-74fd-472e-aea4-de78c347ffac}" id="{71da161b-62c0-48e9-84de-df074d85d0d7}" done="0">
    <x18tc:text xml:space="preserve">Compra feita pelo Guilherme</x18tc:text>
  </x18tc:threadedComment>
  <x18tc:threadedComment ref="K74" dT="2026-05-14T17:35:00.00" personId="{ca91c99a-77e2-4156-ad52-c552ca231a9d}" id="{211ed57f-3d25-4b36-91a9-3aed0abf197a}" done="0">
    <x18tc:text xml:space="preserve">faltando 01 un</x18tc:text>
  </x18tc:threadedComment>
  <x18tc:threadedComment ref="K266" dT="2026-05-18T13:41:45.00" personId="{1e0a5941-74fd-472e-aea4-de78c347ffac}" id="{fc843069-95c5-4625-a092-a04c9d245df7}" done="0">
    <x18tc:text xml:space="preserve">Compra feita pela Gley</x18tc:text>
  </x18tc:threadedComment>
  <x18tc:threadedComment ref="K267" dT="2026-05-18T13:41:53.00" personId="{1e0a5941-74fd-472e-aea4-de78c347ffac}" id="{ddda604c-3e89-47a3-8960-6eedfa7ba44d}" done="0">
    <x18tc:text xml:space="preserve">Compra feita pela Gley</x18tc:text>
  </x18tc:threadedComment>
  <x18tc:threadedComment ref="K270" dT="2026-05-18T14:45:18.00" personId="{1e0a5941-74fd-472e-aea4-de78c347ffac}" id="{5c883796-b08d-499b-b14b-49dcfb25054c}" done="0">
    <x18tc:text xml:space="preserve">Abatimento de dívida c/ Eder Matheus Leme</x18tc:text>
  </x18tc:threadedComment>
  <x18tc:threadedComment ref="P338" dT="2026-05-22T16:56:41.00" personId="{17977e4e-2172-48bf-9602-1112fb6156ff}" id="{cea0444e-db11-4738-9d3e-e43850f23e2b}" done="0">
    <x18tc:text xml:space="preserve">Feito a entrada de 80 peças que chegaram.</x18tc:text>
  </x18tc:threadedComment>
  <x18tc:threadedComment ref="K336" dT="2026-05-25T20:27:27.00" personId="{17977e4e-2172-48bf-9602-1112fb6156ff}" id="{1bfb5f98-6fc9-4657-b763-f7da808c6363}" done="0">
    <x18tc:text xml:space="preserve">veio 44 mas na nota vieram 42</x18tc:text>
  </x18tc:threadedComment>
  <x18tc:threadedComment ref="K338" dT="2026-05-25T20:29:24.00" personId="{17977e4e-2172-48bf-9602-1112fb6156ff}" id="{fbbec12d-721c-4fba-b42b-1eb5fcee7312}" done="0">
    <x18tc:text xml:space="preserve">na nota 85 mas fiz entrada de 84</x18tc:text>
  </x18tc:threadedComment>
  <x18tc:threadedComment ref="K343" dT="2026-05-26T14:24:15.00" personId="{17977e4e-2172-48bf-9602-1112fb6156ff}" id="{012dcf07-4ded-424d-9cda-6b1b0e54f965}" done="0">
    <x18tc:text xml:space="preserve">veio faltando 1</x18tc:text>
  </x18tc:threadedComment>
  <x18tc:threadedComment ref="K315" dT="2026-05-26T14:26:22.00" personId="{17977e4e-2172-48bf-9602-1112fb6156ff}" id="{f8902ece-025b-4198-bff0-f18dfefc17aa}" done="0">
    <x18tc:text xml:space="preserve">veio faltando 1</x18tc:text>
  </x18tc:threadedComment>
  <x18tc:threadedComment ref="K49" dT="2026-05-27T14:25:45.00" personId="{17977e4e-2172-48bf-9602-1112fb6156ff}" id="{1e7ac5d2-579c-450f-8839-bad0950a1945}" done="0">
    <x18tc:text xml:space="preserve">foi feito entrada de 5000</x18tc:text>
  </x18tc:threadedComment>
  <x18tc:threadedComment ref="K417" dT="2026-05-27T15:03:09.00" personId="{1e0a5941-74fd-472e-aea4-de78c347ffac}" id="{df02f80d-fa58-43e3-be2b-4c77f89e5901}" done="0">
    <x18tc:text xml:space="preserve">Compra feita pela Gley</x18tc:text>
  </x18tc:threadedComment>
  <x18tc:threadedComment ref="K418" dT="2026-05-27T15:03:15.00" personId="{1e0a5941-74fd-472e-aea4-de78c347ffac}" id="{2ae64c0e-e236-4794-ad82-ad402d46b208}" done="0">
    <x18tc:text xml:space="preserve">Compra feita pela Gley</x18tc:text>
  </x18tc:threadedComment>
  <x18tc:threadedComment ref="K409" dT="2026-05-28T20:51:30.00" personId="{17977e4e-2172-48bf-9602-1112fb6156ff}" id="{7bf24fe5-4282-47d3-a24b-90c47bbeb5b3}" done="0">
    <x18tc:text xml:space="preserve">chegou 100 a mais e fiz a entrada</x18tc:text>
  </x18tc:threadedComment>
  <x18tc:threadedComment ref="K130" dT="2026-05-29T12:44:24.00" personId="{046b7750-43d4-4bbb-8001-b990b23ad93d}" id="{6ce244a2-d383-4eec-820a-bd75852fe4b1}" done="0">
    <x18tc:text xml:space="preserve">29/05- Yhan solicitou a entrada de 1000pçs para emitir a nf para o cliente.</x18tc:text>
  </x18tc:threadedComment>
  <x18tc:threadedComment ref="N279" dT="2026-06-01T14:51:44.00" personId="{1e0a5941-74fd-472e-aea4-de78c347ffac}" id="{7e5ae21a-c9a4-4589-87e1-189cf2c1e302}" done="0">
    <x18tc:text xml:space="preserve">Chegou na Jorado quinta-feira 28/05</x18tc:text>
  </x18tc:threadedComment>
  <x18tc:threadedComment ref="N280" dT="2026-06-01T14:51:59.00" personId="{1e0a5941-74fd-472e-aea4-de78c347ffac}" id="{fab50e89-4581-4173-ab6e-202ce59bbd64}" done="0">
    <x18tc:text xml:space="preserve">Chegou na Jorado quinta-feira 28/05</x18tc:text>
  </x18tc:threadedComment>
  <x18tc:threadedComment ref="K428" dT="2026-06-01T16:03:00.00" personId="{17977e4e-2172-48bf-9602-1112fb6156ff}" id="{9bb4d4cb-6cbc-498e-9da1-f9923459ea48}" done="0">
    <x18tc:text xml:space="preserve">chegou 12 mas a lara pegou 2.</x18tc:text>
  </x18tc:threadedComment>
  <x18tc:threadedComment ref="K471" dT="2026-06-01T17:55:02.00" personId="{17977e4e-2172-48bf-9602-1112fb6156ff}" id="{720c82f2-0932-49f4-974c-c10fd3d8e868}" done="0">
    <x18tc:text xml:space="preserve">Fiz a entrada de 220 para guilherme</x18tc:text>
  </x18tc:threadedComment>
  <x18tc:threadedComment ref="P256" dT="2026-05-20T12:48:31.00" personId="{17977e4e-2172-48bf-9602-1112fb6156ff}" id="{24f22473-b1b4-482d-82dd-f98545ae99d2}" done="0">
    <x18tc:text xml:space="preserve">Foi feita a entrada do yhan antes de chegar a mercadoria, a pedido dele.</x18tc:text>
  </x18tc:threadedComment>
  <x18tc:threadedComment ref="K129" dT="2026-06-04T19:03:42.00" personId="{ca91c99a-77e2-4156-ad52-c552ca231a9d}" id="{58a2964f-9a16-420d-a4ce-d32d28fbc8b5}" done="0">
    <x18tc:text xml:space="preserve">Guilherme retirou 220 unidades em SP</x18tc:text>
  </x18tc:threadedComment>
  <x18tc:threadedComment ref="K363" dT="2026-06-10T11:55:33.00" personId="{17977e4e-2172-48bf-9602-1112fb6156ff}" id="{52908984-fc74-45fe-8874-f0cd7fd40cc4}" done="0">
    <x18tc:text xml:space="preserve">foi feito 2600 para guilherme</x18tc:text>
  </x18tc:threadedComment>
  <x18tc:threadedComment ref="K408" dT="2026-05-29T17:06:12.00" personId="{1e0a5941-74fd-472e-aea4-de78c347ffac}" id="{bc5720aa-20bd-40c5-b501-0019bb179be0}" done="0">
    <x18tc:text xml:space="preserve">Solicitação do Neto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91" dT="2026-07-13T18:46:25.00" personId="{046b7750-43d4-4bbb-8001-b990b23ad93d}" id="{77e0b51a-94a2-473a-839f-607140c8ba72}" done="0">
    <x18tc:text xml:space="preserve">foi dado entrada em 36pçs, Isaac informou que irá chegar depois</x18tc:text>
  </x18tc:threadedComment>
  <x18tc:threadedComment ref="K91" dT="2026-07-21T15:11:12.00" personId="{046b7750-43d4-4bbb-8001-b990b23ad93d}" id="{0ab44604-f5c4-45c1-97ea-6008a65eb781}" parentId="{77e0b51a-94a2-473a-839f-607140c8ba72}">
    <x18tc:text xml:space="preserve">no dia 20/07 chegou as outras 4 pçs e foi dado entrada no dia 21/07</x18tc:text>
  </x18tc:threadedComment>
  <x18tc:threadedComment ref="K9" dT="2026-07-07T11:49:59.00" personId="{17977e4e-2172-48bf-9602-1112fb6156ff}" id="{f9cf5904-6cce-48fa-9b99-4f65938428b5}" done="0">
    <x18tc:text xml:space="preserve">veio 15 a mais</x18tc:text>
  </x18tc:threadedComment>
  <x18tc:threadedComment ref="K24" dT="2026-07-07T20:02:54.00" personId="{1e0a5941-74fd-472e-aea4-de78c347ffac}" id="{fb352fbf-ba7d-4a73-ae4d-8c385396bb93}" done="0">
    <x18tc:text xml:space="preserve">Representante João Batista solicitou para estoque.</x18tc:text>
  </x18tc:threadedComment>
  <x18tc:threadedComment ref="K294" dT="2026-07-22T15:33:58.00" personId="{046b7750-43d4-4bbb-8001-b990b23ad93d}" id="{5acd8c71-617b-4391-a2c9-f2f1af6d8049}" done="0">
    <x18tc:text xml:space="preserve">21/07 chegou 1.630 unidades</x18tc:text>
  </x18tc:threadedComment>
  <x18tc:threadedComment ref="K246" dT="2026-07-22T16:57:13.00" personId="{046b7750-43d4-4bbb-8001-b990b23ad93d}" id="{52f95e80-c8dd-4b92-a5cb-7f1fc08a7b11}" done="0">
    <x18tc:text xml:space="preserve">chegou 1.058 unidades - será realizada a entrada dessa quantidade</x18tc:text>
  </x18tc:threadedComment>
  <x18tc:threadedComment ref="K361" dT="2026-07-20T13:56:41.00" personId="{046b7750-43d4-4bbb-8001-b990b23ad93d}" id="{76b7e435-b081-4460-a7f1-e2c3b1f9a856}" done="0">
    <x18tc:text xml:space="preserve">20/07 entrei com 1000pçs</x18tc:text>
  </x18tc:threadedComment>
  <x18tc:threadedComment ref="K637" dT="2026-08-04T16:13:48.00" personId="{046b7750-43d4-4bbb-8001-b990b23ad93d}" id="{b6269ccd-a600-4eee-9dbd-7ec4fb234c5c}" done="0">
    <x18tc:text xml:space="preserve">veio faltando 1pç</x18tc:text>
  </x18tc:threadedComment>
  <x18tc:threadedComment ref="K665" dT="2026-08-04T20:53:54.00" personId="{046b7750-43d4-4bbb-8001-b990b23ad93d}" id="{38a0edf3-ee95-41dc-97ee-b2c65349f7f8}" done="0">
    <x18tc:text xml:space="preserve">chegou outro modelo, foi passado ao vendedor e ao financeiro</x18tc:text>
  </x18tc:threadedComment>
  <x18tc:threadedComment ref="K558" dT="2026-07-27T15:30:27.00" personId="{046b7750-43d4-4bbb-8001-b990b23ad93d}" id="{536680a8-c25a-4146-808b-9899296d66e0}" done="0">
    <x18tc:text xml:space="preserve">27/07 chegou 18pçs</x18tc:text>
  </x18tc:threadedComment>
  <x18tc:threadedComment ref="K296" dT="2026-07-27T15:42:55.00" personId="{046b7750-43d4-4bbb-8001-b990b23ad93d}" id="{530d0552-7dff-48bf-aaaf-006d3780d3fe}" done="0">
    <x18tc:text xml:space="preserve">27/07 chegou 800pçs</x18tc:text>
  </x18tc:threadedComment>
  <x18tc:threadedComment ref="K296" dT="2026-07-27T15:44:27.00" personId="{046b7750-43d4-4bbb-8001-b990b23ad93d}" id="{9ea7696f-085a-4798-93e6-ae7effd9fb5d}" parentId="{530d0552-7dff-48bf-aaaf-006d3780d3fe}">
    <x18tc:text xml:space="preserve">15/07 chegou 600pçs</x18tc:text>
  </x18tc:threadedComment>
  <x18tc:threadedComment ref="K599" dT="2026-08-04T14:44:11.00" personId="{046b7750-43d4-4bbb-8001-b990b23ad93d}" id="{7db5fe88-e6b3-4ed0-baf9-204fb1fe5e9d}" done="0">
    <x18tc:text xml:space="preserve">chegou de varias marcas, entrada realizada conforme a marca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384" dT="2026-06-25T16:51:59.00" personId="{17977e4e-2172-48bf-9602-1112fb6156ff}" id="{444090da-e686-4715-bbef-c181fedd0c5a}" done="0">
    <x18tc:text xml:space="preserve">fiz a entrada de 500 unidades</x18tc:text>
  </x18tc:threadedComment>
  <x18tc:threadedComment ref="K602" dT="2026-06-30T20:06:43.00" personId="{17977e4e-2172-48bf-9602-1112fb6156ff}" id="{0df6691f-5023-4c3d-b0dd-22e6fd2ad24c}" done="0">
    <x18tc:text xml:space="preserve">feito a entrada adiantado, pedido do Isaac</x18tc:text>
  </x18tc:threadedComment>
  <x18tc:threadedComment ref="K558" dT="2026-07-02T18:34:10.00" personId="{17977e4e-2172-48bf-9602-1112fb6156ff}" id="{d3ba946d-a7c0-4205-b55b-fd8dfc298312}" done="0">
    <x18tc:text xml:space="preserve">veio 1202</x18tc:text>
  </x18tc:threadedComment>
  <x18tc:threadedComment ref="K101" dT="2026-06-08T16:14:40.00" personId="{17977e4e-2172-48bf-9602-1112fb6156ff}" id="{17826284-6b34-41c7-ab67-cfa71c31f00a}" done="0">
    <x18tc:text xml:space="preserve">foi feito a entrada de 100 para guilherme</x18tc:text>
  </x18tc:threadedComment>
  <x18tc:threadedComment ref="K101" dT="2026-06-17T11:04:42.00" personId="{046b7750-43d4-4bbb-8001-b990b23ad93d}" id="{e5c480d7-c930-44ec-a09b-591808fac649}" parentId="{17826284-6b34-41c7-ab67-cfa71c31f00a}">
    <x18tc:text xml:space="preserve">08/06 foi feito a entrada de 70 para Guilherme 
16/06 foi feito a entrada de 24 para Guilherme</x18tc:text>
  </x18tc:threadedComment>
  <x18tc:threadedComment ref="K101" dT="2026-07-23T19:09:13.00" personId="{046b7750-43d4-4bbb-8001-b990b23ad93d}" id="{f75f8696-f0e2-4eec-885e-0951751fa64c}" parentId="{17826284-6b34-41c7-ab67-cfa71c31f00a}">
    <x18tc:text xml:space="preserve">23/07 feito a entrada de 120pçs</x18tc:text>
  </x18tc:threadedComment>
  <x18tc:threadedComment ref="K334" dT="2026-06-22T01:39:18.00" personId="{046b7750-43d4-4bbb-8001-b990b23ad93d}" id="{6722edfb-eab7-4c3e-b9db-29c3be6846fc}" done="0">
    <x18tc:text xml:space="preserve">Foi realizado a entrada de 111pçs, conforme a NF recebida.</x18tc:text>
  </x18tc:threadedComment>
  <x18tc:threadedComment ref="K100" dT="2026-06-09T20:19:21.00" personId="{17977e4e-2172-48bf-9602-1112fb6156ff}" id="{e103ee4d-1380-4bf2-9733-191cfb79a415}" done="0">
    <x18tc:text xml:space="preserve">entrei com 250 para yhan</x18tc:text>
  </x18tc:threadedComment>
  <x18tc:threadedComment ref="K100" dT="2026-06-10T14:15:28.00" personId="{17977e4e-2172-48bf-9602-1112fb6156ff}" id="{e1f7e16b-dd72-4b8a-8605-22d25a6a28b2}" parentId="{e103ee4d-1380-4bf2-9733-191cfb79a415}">
    <x18tc:text xml:space="preserve">entrei com 24 guilherme</x18tc:text>
  </x18tc:threadedComment>
  <x18tc:threadedComment ref="K100" dT="2026-06-10T14:28:12.00" personId="{17977e4e-2172-48bf-9602-1112fb6156ff}" id="{5e92f03d-b2cf-4d82-92c7-3aa49150fee6}" parentId="{e103ee4d-1380-4bf2-9733-191cfb79a415}">
    <x18tc:text xml:space="preserve">entrei com mais 102 guilherme</x18tc:text>
  </x18tc:threadedComment>
  <x18tc:threadedComment ref="K102" dT="2026-06-09T20:19:35.00" personId="{17977e4e-2172-48bf-9602-1112fb6156ff}" id="{35384d71-4adf-4414-91eb-bb515eeeccd4}" done="0">
    <x18tc:text xml:space="preserve">entrei com 50 para yhan</x18tc:text>
  </x18tc:threadedComment>
  <x18tc:threadedComment ref="P53" dT="2026-06-10T19:50:18.00" personId="{046b7750-43d4-4bbb-8001-b990b23ad93d}" id="{6760f6e6-c8c8-444f-bf8f-0432893bc487}" done="0">
    <x18tc:text xml:space="preserve">dia 10/06 entrei com  440pçs</x18tc:text>
  </x18tc:threadedComment>
  <x18tc:threadedComment ref="H162" dT="2026-06-12T14:05:46.00" personId="{1e0a5941-74fd-472e-aea4-de78c347ffac}" id="{eda3de3e-b6ef-42b9-b10a-9512c308e758}" done="0">
    <x18tc:text xml:space="preserve">Não tinha saldo em estoque! Bomvink informou após faturamento da NF</x18tc:text>
  </x18tc:threadedComment>
  <x18tc:threadedComment ref="K233" dT="2026-06-17T21:05:55.00" personId="{17977e4e-2172-48bf-9602-1112fb6156ff}" id="{2e83187b-f34a-4e51-949d-3afd7bffe64d}" done="0">
    <x18tc:text xml:space="preserve">entrei com 100 para yhan</x18tc:text>
  </x18tc:threadedComment>
  <x18tc:threadedComment ref="K199" dT="2026-06-18T14:04:46.00" personId="{17977e4e-2172-48bf-9602-1112fb6156ff}" id="{73262beb-5779-4c0c-8966-d9fa507e4984}" done="0">
    <x18tc:text xml:space="preserve">Fiz a entrada de 450. Esperando restante chegar.</x18tc:text>
  </x18tc:threadedComment>
  <x18tc:threadedComment ref="K255" dT="2026-06-18T14:24:38.00" personId="{17977e4e-2172-48bf-9602-1112fb6156ff}" id="{5c399295-bb0e-454f-b3f6-c11b90f943ef}" done="0">
    <x18tc:text xml:space="preserve">foi feito a entrada de 50 peças para guilherme</x18tc:text>
  </x18tc:threadedComment>
  <x18tc:threadedComment ref="K255" dT="2026-06-19T14:38:12.00" personId="{17977e4e-2172-48bf-9602-1112fb6156ff}" id="{ddd4ff61-9ca0-472f-b3e9-efc64e83d6e9}" parentId="{5c399295-bb0e-454f-b3f6-c11b90f943ef}">
    <x18tc:text xml:space="preserve">fiz 1410 para estoque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56" dT="2026-08-26T12:16:59.00" personId="{046b7750-43d4-4bbb-8001-b990b23ad93d}" id="{a3545fa7-911a-4845-8b76-d4d599b925d1}" done="0">
    <x18tc:text xml:space="preserve">chegou 516 unidades</x18tc:text>
  </x18tc:threadedComment>
  <x18tc:threadedComment ref="K57" dT="2026-08-26T12:17:13.00" personId="{046b7750-43d4-4bbb-8001-b990b23ad93d}" id="{4efc1339-e942-4a9f-adf5-7eae27390c92}" done="0">
    <x18tc:text xml:space="preserve">chegou 484 unidades</x18tc:text>
  </x18tc:threadedComment>
  <x18tc:threadedComment ref="K68" dT="2026-08-13T14:43:48.00" personId="{046b7750-43d4-4bbb-8001-b990b23ad93d}" id="{0cac6db9-a632-475b-8da1-c0823f0af0bd}" done="0">
    <x18tc:text xml:space="preserve">o pedido foi de 200pçs e  chegou 200pçs</x18tc:text>
  </x18tc:threadedComment>
  <x18tc:threadedComment ref="K160" dT="2026-09-08T15:30:06.00" personId="{17977e4e-2172-48bf-9602-1112fb6156ff}" id="{a9f72890-5eeb-427d-b10e-26a3fdb62a31}" done="0">
    <x18tc:text xml:space="preserve">NO DIA 08/09 FOI REALIZADO ENTRADA DE 510 MONITOR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04" dT="2026-09-28T17:05:51.00" personId="{046b7750-43d4-4bbb-8001-b990b23ad93d}" id="{21473be1-c2ba-436e-b78c-de571421d7e6}" done="0">
    <x18tc:text xml:space="preserve">chegou 500pçs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ompras@binariotecnologia.com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Compras@binariotecnologia.com.br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Compras@binariotecnologia.com.br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mailto:Compras@binariotecnologia.com.br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mailto:Compras@binariotecnologia.com.br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mailto:Compras@binariotecnologia.com.br" TargetMode="External"/><Relationship Id="rId5" Type="http://schemas.openxmlformats.org/officeDocument/2006/relationships/drawing" Target="../drawings/drawing6.xml"/><Relationship Id="rId6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mailto:Compras@binariotecnologia.com.br" TargetMode="Externa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Compras@binariotecnologia.com.br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Compras@binariotecnologia.com.br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43"/>
    <col customWidth="1" min="2" max="2" width="19.43"/>
    <col customWidth="1" min="3" max="3" width="11.86"/>
    <col customWidth="1" min="4" max="4" width="8.86"/>
    <col customWidth="1" min="5" max="5" width="18.43"/>
    <col customWidth="1" min="6" max="6" width="15.43"/>
    <col customWidth="1" min="7" max="7" width="58.86"/>
    <col customWidth="1" min="8" max="8" width="16.0"/>
    <col customWidth="1" min="9" max="9" width="16.86"/>
    <col customWidth="1" min="10" max="10" width="17.71"/>
    <col customWidth="1" min="11" max="11" width="22.29"/>
    <col customWidth="1" min="12" max="12" width="25.86"/>
    <col customWidth="1" min="13" max="13" width="12.57"/>
    <col customWidth="1" min="14" max="18" width="22.29"/>
    <col customWidth="1" min="19" max="19" width="12.43"/>
    <col customWidth="1" min="20" max="25" width="8.71"/>
  </cols>
  <sheetData>
    <row r="1" ht="63.75" customHeight="1">
      <c r="A1" s="1" t="s">
        <v>0</v>
      </c>
      <c r="B1" s="2" t="s">
        <v>1</v>
      </c>
      <c r="C1" s="3"/>
      <c r="D1" s="3"/>
      <c r="E1" s="3"/>
      <c r="F1" s="3"/>
      <c r="G1" s="5"/>
    </row>
    <row r="2" ht="39.0" customHeight="1">
      <c r="B2" s="8" t="s">
        <v>2</v>
      </c>
      <c r="C2" s="9" t="s">
        <v>3</v>
      </c>
      <c r="D2" s="10"/>
      <c r="E2" s="10"/>
      <c r="F2" s="11"/>
      <c r="G2" s="12"/>
    </row>
    <row r="3" ht="32.25" customHeight="1">
      <c r="B3" s="14" t="s">
        <v>6</v>
      </c>
      <c r="C3" s="15" t="s">
        <v>5</v>
      </c>
      <c r="D3" s="16"/>
      <c r="E3" s="16"/>
      <c r="F3" s="17"/>
      <c r="G3" s="12"/>
    </row>
    <row r="4">
      <c r="B4" s="7"/>
      <c r="E4" s="18"/>
      <c r="G4" s="12"/>
    </row>
    <row r="5">
      <c r="B5" s="19">
        <f>TODAY()</f>
        <v>46294</v>
      </c>
      <c r="E5" s="18"/>
      <c r="G5" s="12"/>
    </row>
    <row r="6" ht="15.0" customHeight="1">
      <c r="B6" s="7"/>
      <c r="E6" s="18"/>
      <c r="G6" s="12"/>
    </row>
    <row r="7">
      <c r="B7" s="27" t="s">
        <v>8</v>
      </c>
      <c r="C7" s="24" t="s">
        <v>9</v>
      </c>
      <c r="D7" s="24" t="s">
        <v>14</v>
      </c>
      <c r="E7" s="22" t="s">
        <v>11</v>
      </c>
      <c r="F7" s="23" t="s">
        <v>13</v>
      </c>
      <c r="G7" s="28" t="s">
        <v>15</v>
      </c>
      <c r="H7" s="28" t="s">
        <v>16</v>
      </c>
      <c r="I7" s="28" t="s">
        <v>17</v>
      </c>
      <c r="J7" s="28" t="s">
        <v>18</v>
      </c>
      <c r="K7" s="29" t="s">
        <v>19</v>
      </c>
      <c r="L7" s="28" t="s">
        <v>29</v>
      </c>
      <c r="M7" s="28" t="s">
        <v>22</v>
      </c>
      <c r="N7" s="30" t="s">
        <v>23</v>
      </c>
      <c r="O7" s="24" t="s">
        <v>24</v>
      </c>
      <c r="P7" s="24" t="s">
        <v>26</v>
      </c>
      <c r="Q7" s="24" t="s">
        <v>27</v>
      </c>
      <c r="R7" s="24" t="s">
        <v>27</v>
      </c>
      <c r="S7" s="24" t="s">
        <v>27</v>
      </c>
    </row>
    <row r="8">
      <c r="B8" s="34">
        <v>46048.0</v>
      </c>
      <c r="C8" s="36">
        <v>202348.0</v>
      </c>
      <c r="D8" s="36">
        <v>100.0</v>
      </c>
      <c r="E8" s="38">
        <v>18.4022</v>
      </c>
      <c r="F8" s="43">
        <f t="shared" ref="F8:F32" si="1">E8*D8</f>
        <v>1840.22</v>
      </c>
      <c r="G8" s="36" t="s">
        <v>47</v>
      </c>
      <c r="H8" s="36"/>
      <c r="I8" s="36" t="s">
        <v>48</v>
      </c>
      <c r="J8" s="36" t="s">
        <v>49</v>
      </c>
      <c r="K8" s="36"/>
      <c r="L8" s="36" t="s">
        <v>51</v>
      </c>
      <c r="M8" s="36">
        <v>1.0</v>
      </c>
      <c r="N8" s="45">
        <v>46057.0</v>
      </c>
      <c r="O8" s="36"/>
      <c r="P8" s="36"/>
      <c r="Q8" s="36"/>
      <c r="R8" s="36"/>
      <c r="S8" s="36"/>
    </row>
    <row r="9">
      <c r="B9" s="34">
        <v>46050.0</v>
      </c>
      <c r="C9" s="36"/>
      <c r="D9" s="36">
        <v>50.0</v>
      </c>
      <c r="E9" s="38">
        <v>320.0</v>
      </c>
      <c r="F9" s="43">
        <f t="shared" si="1"/>
        <v>16000</v>
      </c>
      <c r="G9" s="36" t="s">
        <v>56</v>
      </c>
      <c r="H9" s="36"/>
      <c r="I9" s="36" t="s">
        <v>58</v>
      </c>
      <c r="J9" s="36" t="s">
        <v>60</v>
      </c>
      <c r="K9" s="36"/>
      <c r="L9" s="36" t="s">
        <v>61</v>
      </c>
      <c r="M9" s="36">
        <v>31.0</v>
      </c>
      <c r="N9" s="36"/>
      <c r="O9" s="36"/>
      <c r="P9" s="36"/>
      <c r="Q9" s="36"/>
      <c r="R9" s="36"/>
      <c r="S9" s="36"/>
    </row>
    <row r="10">
      <c r="B10" s="34">
        <v>46052.0</v>
      </c>
      <c r="C10" s="36">
        <v>98096.0</v>
      </c>
      <c r="D10" s="36">
        <v>15.0</v>
      </c>
      <c r="E10" s="38">
        <v>1749.0016</v>
      </c>
      <c r="F10" s="43">
        <f t="shared" si="1"/>
        <v>26235.024</v>
      </c>
      <c r="G10" s="36" t="s">
        <v>65</v>
      </c>
      <c r="H10" s="36">
        <v>6892.0</v>
      </c>
      <c r="I10" s="36" t="s">
        <v>66</v>
      </c>
      <c r="J10" s="36" t="s">
        <v>40</v>
      </c>
      <c r="K10" s="36"/>
      <c r="L10" s="36" t="s">
        <v>68</v>
      </c>
      <c r="M10" s="36">
        <v>31.0</v>
      </c>
      <c r="N10" s="36"/>
      <c r="O10" s="36"/>
      <c r="P10" s="45"/>
      <c r="Q10" s="45">
        <v>46082.0</v>
      </c>
      <c r="R10" s="45">
        <v>46112.0</v>
      </c>
      <c r="S10" s="45">
        <v>46142.0</v>
      </c>
    </row>
    <row r="11">
      <c r="B11" s="34">
        <v>46052.0</v>
      </c>
      <c r="C11" s="36">
        <v>98100.0</v>
      </c>
      <c r="D11" s="36">
        <v>7.0</v>
      </c>
      <c r="E11" s="38">
        <v>3199.9963</v>
      </c>
      <c r="F11" s="43">
        <f t="shared" si="1"/>
        <v>22399.9741</v>
      </c>
      <c r="G11" s="36" t="s">
        <v>71</v>
      </c>
      <c r="H11" s="36">
        <v>2848.0</v>
      </c>
      <c r="I11" s="36" t="s">
        <v>66</v>
      </c>
      <c r="J11" s="36" t="s">
        <v>40</v>
      </c>
      <c r="K11" s="36"/>
      <c r="L11" s="36" t="s">
        <v>68</v>
      </c>
      <c r="M11" s="36">
        <v>31.0</v>
      </c>
      <c r="N11" s="36"/>
      <c r="O11" s="36"/>
      <c r="P11" s="45"/>
      <c r="Q11" s="45">
        <v>46082.0</v>
      </c>
      <c r="R11" s="45">
        <v>46112.0</v>
      </c>
      <c r="S11" s="45">
        <v>46142.0</v>
      </c>
    </row>
    <row r="12">
      <c r="B12" s="34">
        <v>46052.0</v>
      </c>
      <c r="C12" s="36">
        <v>98108.0</v>
      </c>
      <c r="D12" s="36">
        <v>15.0</v>
      </c>
      <c r="E12" s="38">
        <v>1749.0016</v>
      </c>
      <c r="F12" s="43">
        <f t="shared" si="1"/>
        <v>26235.024</v>
      </c>
      <c r="G12" s="36" t="s">
        <v>65</v>
      </c>
      <c r="H12" s="36">
        <v>36892.0</v>
      </c>
      <c r="I12" s="36" t="s">
        <v>66</v>
      </c>
      <c r="J12" s="36" t="s">
        <v>40</v>
      </c>
      <c r="K12" s="36"/>
      <c r="L12" s="36" t="s">
        <v>68</v>
      </c>
      <c r="M12" s="36">
        <v>31.0</v>
      </c>
      <c r="N12" s="36"/>
      <c r="O12" s="36"/>
      <c r="P12" s="36"/>
      <c r="Q12" s="45">
        <v>46082.0</v>
      </c>
      <c r="R12" s="45">
        <v>46112.0</v>
      </c>
      <c r="S12" s="45">
        <v>46142.0</v>
      </c>
    </row>
    <row r="13">
      <c r="B13" s="34">
        <v>46052.0</v>
      </c>
      <c r="C13" s="36">
        <v>98112.0</v>
      </c>
      <c r="D13" s="36">
        <v>15.0</v>
      </c>
      <c r="E13" s="38">
        <v>1749.0016</v>
      </c>
      <c r="F13" s="43">
        <f t="shared" si="1"/>
        <v>26235.024</v>
      </c>
      <c r="G13" s="36" t="s">
        <v>65</v>
      </c>
      <c r="H13" s="36">
        <v>36892.0</v>
      </c>
      <c r="I13" s="36" t="s">
        <v>66</v>
      </c>
      <c r="J13" s="36" t="s">
        <v>40</v>
      </c>
      <c r="K13" s="36"/>
      <c r="L13" s="36" t="s">
        <v>68</v>
      </c>
      <c r="M13" s="36">
        <v>31.0</v>
      </c>
      <c r="N13" s="36"/>
      <c r="O13" s="36"/>
      <c r="P13" s="36"/>
      <c r="Q13" s="45">
        <v>46082.0</v>
      </c>
      <c r="R13" s="45">
        <v>46112.0</v>
      </c>
      <c r="S13" s="45">
        <v>46142.0</v>
      </c>
    </row>
    <row r="14">
      <c r="B14" s="34">
        <v>46052.0</v>
      </c>
      <c r="C14" s="36">
        <v>98117.0</v>
      </c>
      <c r="D14" s="36">
        <v>8.0</v>
      </c>
      <c r="E14" s="38">
        <v>3199.9963</v>
      </c>
      <c r="F14" s="43">
        <f t="shared" si="1"/>
        <v>25599.9704</v>
      </c>
      <c r="G14" s="36" t="s">
        <v>71</v>
      </c>
      <c r="H14" s="36">
        <v>32848.0</v>
      </c>
      <c r="I14" s="36" t="s">
        <v>66</v>
      </c>
      <c r="J14" s="36" t="s">
        <v>40</v>
      </c>
      <c r="K14" s="36"/>
      <c r="L14" s="36" t="s">
        <v>68</v>
      </c>
      <c r="M14" s="36">
        <v>31.0</v>
      </c>
      <c r="N14" s="36"/>
      <c r="O14" s="36"/>
      <c r="P14" s="36"/>
      <c r="Q14" s="45">
        <v>46082.0</v>
      </c>
      <c r="R14" s="45">
        <v>46112.0</v>
      </c>
      <c r="S14" s="45">
        <v>46142.0</v>
      </c>
    </row>
    <row r="15">
      <c r="B15" s="34">
        <v>46052.0</v>
      </c>
      <c r="C15" s="36">
        <v>98120.0</v>
      </c>
      <c r="D15" s="36">
        <v>8.0</v>
      </c>
      <c r="E15" s="38">
        <v>3199.9963</v>
      </c>
      <c r="F15" s="43">
        <f t="shared" si="1"/>
        <v>25599.9704</v>
      </c>
      <c r="G15" s="36" t="s">
        <v>71</v>
      </c>
      <c r="H15" s="36">
        <v>32848.0</v>
      </c>
      <c r="I15" s="36" t="s">
        <v>66</v>
      </c>
      <c r="J15" s="36" t="s">
        <v>40</v>
      </c>
      <c r="K15" s="36"/>
      <c r="L15" s="36" t="s">
        <v>68</v>
      </c>
      <c r="M15" s="36">
        <v>31.0</v>
      </c>
      <c r="N15" s="36"/>
      <c r="O15" s="36"/>
      <c r="P15" s="36"/>
      <c r="Q15" s="45">
        <v>46082.0</v>
      </c>
      <c r="R15" s="45">
        <v>46112.0</v>
      </c>
      <c r="S15" s="45">
        <v>46142.0</v>
      </c>
    </row>
    <row r="16">
      <c r="B16" s="34">
        <v>46052.0</v>
      </c>
      <c r="C16" s="36">
        <v>98121.0</v>
      </c>
      <c r="D16" s="36">
        <v>7.0</v>
      </c>
      <c r="E16" s="38">
        <v>3199.9963</v>
      </c>
      <c r="F16" s="43">
        <f t="shared" si="1"/>
        <v>22399.9741</v>
      </c>
      <c r="G16" s="36" t="s">
        <v>71</v>
      </c>
      <c r="H16" s="36">
        <v>32848.0</v>
      </c>
      <c r="I16" s="36" t="s">
        <v>66</v>
      </c>
      <c r="J16" s="36" t="s">
        <v>40</v>
      </c>
      <c r="K16" s="36"/>
      <c r="L16" s="36" t="s">
        <v>68</v>
      </c>
      <c r="M16" s="36">
        <v>31.0</v>
      </c>
      <c r="N16" s="36"/>
      <c r="O16" s="36"/>
      <c r="P16" s="36"/>
      <c r="Q16" s="45">
        <v>46082.0</v>
      </c>
      <c r="R16" s="45">
        <v>46112.0</v>
      </c>
      <c r="S16" s="45">
        <v>46142.0</v>
      </c>
    </row>
    <row r="17">
      <c r="B17" s="34">
        <v>46052.0</v>
      </c>
      <c r="C17" s="36">
        <v>98122.0</v>
      </c>
      <c r="D17" s="36">
        <v>15.0</v>
      </c>
      <c r="E17" s="38">
        <v>1749.0016</v>
      </c>
      <c r="F17" s="43">
        <f t="shared" si="1"/>
        <v>26235.024</v>
      </c>
      <c r="G17" s="36" t="s">
        <v>65</v>
      </c>
      <c r="H17" s="36">
        <v>36892.0</v>
      </c>
      <c r="I17" s="36" t="s">
        <v>66</v>
      </c>
      <c r="J17" s="36" t="s">
        <v>40</v>
      </c>
      <c r="K17" s="36"/>
      <c r="L17" s="36" t="s">
        <v>68</v>
      </c>
      <c r="M17" s="36">
        <v>31.0</v>
      </c>
      <c r="N17" s="36"/>
      <c r="O17" s="36"/>
      <c r="P17" s="36"/>
      <c r="Q17" s="45">
        <v>46082.0</v>
      </c>
      <c r="R17" s="45">
        <v>46112.0</v>
      </c>
      <c r="S17" s="45">
        <v>46142.0</v>
      </c>
    </row>
    <row r="18">
      <c r="B18" s="34">
        <v>46052.0</v>
      </c>
      <c r="C18" s="36">
        <v>98020.0</v>
      </c>
      <c r="D18" s="36">
        <v>20.0</v>
      </c>
      <c r="E18" s="38">
        <v>520.037</v>
      </c>
      <c r="F18" s="43">
        <f t="shared" si="1"/>
        <v>10400.74</v>
      </c>
      <c r="G18" s="36" t="s">
        <v>105</v>
      </c>
      <c r="H18" s="36">
        <v>25863.0</v>
      </c>
      <c r="I18" s="36" t="s">
        <v>106</v>
      </c>
      <c r="J18" s="36" t="s">
        <v>40</v>
      </c>
      <c r="K18" s="36" t="s">
        <v>60</v>
      </c>
      <c r="L18" s="36" t="s">
        <v>68</v>
      </c>
      <c r="M18" s="36">
        <v>31.0</v>
      </c>
      <c r="N18" s="36"/>
      <c r="O18" s="36"/>
      <c r="P18" s="36"/>
      <c r="Q18" s="45">
        <v>46082.0</v>
      </c>
      <c r="R18" s="45">
        <v>46112.0</v>
      </c>
      <c r="S18" s="45">
        <v>46142.0</v>
      </c>
    </row>
    <row r="19">
      <c r="B19" s="34">
        <v>46052.0</v>
      </c>
      <c r="C19" s="36">
        <v>98020.0</v>
      </c>
      <c r="D19" s="36">
        <v>15.0</v>
      </c>
      <c r="E19" s="38">
        <v>627.3114</v>
      </c>
      <c r="F19" s="43">
        <f t="shared" si="1"/>
        <v>9409.671</v>
      </c>
      <c r="G19" s="36" t="s">
        <v>111</v>
      </c>
      <c r="H19" s="36">
        <v>23283.0</v>
      </c>
      <c r="I19" s="36" t="s">
        <v>106</v>
      </c>
      <c r="J19" s="36" t="s">
        <v>40</v>
      </c>
      <c r="K19" s="36" t="s">
        <v>60</v>
      </c>
      <c r="L19" s="36" t="s">
        <v>68</v>
      </c>
      <c r="M19" s="36">
        <v>31.0</v>
      </c>
      <c r="N19" s="36"/>
      <c r="O19" s="36"/>
      <c r="P19" s="36"/>
      <c r="Q19" s="45">
        <v>46082.0</v>
      </c>
      <c r="R19" s="45">
        <v>46112.0</v>
      </c>
      <c r="S19" s="45">
        <v>46142.0</v>
      </c>
    </row>
    <row r="20">
      <c r="B20" s="34">
        <v>46052.0</v>
      </c>
      <c r="C20" s="36">
        <v>98020.0</v>
      </c>
      <c r="D20" s="36">
        <v>15.0</v>
      </c>
      <c r="E20" s="38">
        <v>789.0516</v>
      </c>
      <c r="F20" s="43">
        <f t="shared" si="1"/>
        <v>11835.774</v>
      </c>
      <c r="G20" s="36" t="s">
        <v>119</v>
      </c>
      <c r="H20" s="36">
        <v>34160.0</v>
      </c>
      <c r="I20" s="36" t="s">
        <v>106</v>
      </c>
      <c r="J20" s="36" t="s">
        <v>40</v>
      </c>
      <c r="K20" s="36" t="s">
        <v>60</v>
      </c>
      <c r="L20" s="36" t="s">
        <v>68</v>
      </c>
      <c r="M20" s="36">
        <v>31.0</v>
      </c>
      <c r="N20" s="36"/>
      <c r="O20" s="36"/>
      <c r="P20" s="36"/>
      <c r="Q20" s="45">
        <v>46082.0</v>
      </c>
      <c r="R20" s="45">
        <v>46112.0</v>
      </c>
      <c r="S20" s="45">
        <v>46142.0</v>
      </c>
    </row>
    <row r="21">
      <c r="B21" s="34">
        <v>46052.0</v>
      </c>
      <c r="C21" s="36">
        <v>98020.0</v>
      </c>
      <c r="D21" s="36">
        <v>30.0</v>
      </c>
      <c r="E21" s="38">
        <v>512.9032</v>
      </c>
      <c r="F21" s="43">
        <f t="shared" si="1"/>
        <v>15387.096</v>
      </c>
      <c r="G21" s="36" t="s">
        <v>125</v>
      </c>
      <c r="H21" s="36">
        <v>34169.0</v>
      </c>
      <c r="I21" s="36" t="s">
        <v>106</v>
      </c>
      <c r="J21" s="36" t="s">
        <v>40</v>
      </c>
      <c r="K21" s="36" t="s">
        <v>60</v>
      </c>
      <c r="L21" s="36" t="s">
        <v>68</v>
      </c>
      <c r="M21" s="36">
        <v>31.0</v>
      </c>
      <c r="N21" s="36"/>
      <c r="O21" s="36"/>
      <c r="P21" s="36"/>
      <c r="Q21" s="45">
        <v>46082.0</v>
      </c>
      <c r="R21" s="45">
        <v>46112.0</v>
      </c>
      <c r="S21" s="45">
        <v>46142.0</v>
      </c>
    </row>
    <row r="22">
      <c r="B22" s="34">
        <v>46052.0</v>
      </c>
      <c r="C22" s="36">
        <v>98020.0</v>
      </c>
      <c r="D22" s="36">
        <v>3.0</v>
      </c>
      <c r="E22" s="38">
        <v>1972.7472</v>
      </c>
      <c r="F22" s="43">
        <f t="shared" si="1"/>
        <v>5918.2416</v>
      </c>
      <c r="G22" s="36" t="s">
        <v>129</v>
      </c>
      <c r="H22" s="36">
        <v>34171.0</v>
      </c>
      <c r="I22" s="36" t="s">
        <v>106</v>
      </c>
      <c r="J22" s="36" t="s">
        <v>40</v>
      </c>
      <c r="K22" s="36" t="s">
        <v>60</v>
      </c>
      <c r="L22" s="36" t="s">
        <v>68</v>
      </c>
      <c r="M22" s="36">
        <v>31.0</v>
      </c>
      <c r="N22" s="36"/>
      <c r="O22" s="36"/>
      <c r="P22" s="36"/>
      <c r="Q22" s="45">
        <v>46082.0</v>
      </c>
      <c r="R22" s="45">
        <v>46112.0</v>
      </c>
      <c r="S22" s="45">
        <v>46142.0</v>
      </c>
    </row>
    <row r="23" ht="15.75" customHeight="1">
      <c r="B23" s="34">
        <v>46052.0</v>
      </c>
      <c r="C23" s="36">
        <v>98020.0</v>
      </c>
      <c r="D23" s="36">
        <v>5.0</v>
      </c>
      <c r="E23" s="38">
        <v>1183.6483</v>
      </c>
      <c r="F23" s="43">
        <f t="shared" si="1"/>
        <v>5918.2415</v>
      </c>
      <c r="G23" s="36" t="s">
        <v>136</v>
      </c>
      <c r="H23" s="36">
        <v>35447.0</v>
      </c>
      <c r="I23" s="36" t="s">
        <v>106</v>
      </c>
      <c r="J23" s="36" t="s">
        <v>40</v>
      </c>
      <c r="K23" s="36" t="s">
        <v>60</v>
      </c>
      <c r="L23" s="36" t="s">
        <v>68</v>
      </c>
      <c r="M23" s="36">
        <v>31.0</v>
      </c>
      <c r="N23" s="36"/>
      <c r="O23" s="36"/>
      <c r="P23" s="36"/>
      <c r="Q23" s="45">
        <v>46082.0</v>
      </c>
      <c r="R23" s="45">
        <v>46112.0</v>
      </c>
      <c r="S23" s="45">
        <v>46142.0</v>
      </c>
    </row>
    <row r="24" ht="15.75" customHeight="1">
      <c r="B24" s="34">
        <v>46054.0</v>
      </c>
      <c r="C24" s="36">
        <v>3934.0</v>
      </c>
      <c r="D24" s="36">
        <v>440.0</v>
      </c>
      <c r="E24" s="38">
        <v>210.0</v>
      </c>
      <c r="F24" s="43">
        <f t="shared" si="1"/>
        <v>92400</v>
      </c>
      <c r="G24" s="36" t="s">
        <v>143</v>
      </c>
      <c r="H24" s="36" t="s">
        <v>144</v>
      </c>
      <c r="I24" s="36" t="s">
        <v>146</v>
      </c>
      <c r="J24" s="36" t="s">
        <v>49</v>
      </c>
      <c r="K24" s="36"/>
      <c r="L24" s="36" t="s">
        <v>150</v>
      </c>
      <c r="M24" s="36">
        <v>31.0</v>
      </c>
      <c r="N24" s="36"/>
      <c r="O24" s="36"/>
      <c r="P24" s="36"/>
      <c r="Q24" s="36"/>
      <c r="R24" s="36"/>
      <c r="S24" s="36"/>
    </row>
    <row r="25" ht="15.75" customHeight="1">
      <c r="B25" s="34">
        <v>46054.0</v>
      </c>
      <c r="C25" s="36">
        <v>3934.0</v>
      </c>
      <c r="D25" s="36">
        <v>1200.0</v>
      </c>
      <c r="E25" s="38">
        <v>80.0</v>
      </c>
      <c r="F25" s="43">
        <f t="shared" si="1"/>
        <v>96000</v>
      </c>
      <c r="G25" s="36" t="s">
        <v>143</v>
      </c>
      <c r="H25" s="36" t="s">
        <v>153</v>
      </c>
      <c r="I25" s="36" t="s">
        <v>146</v>
      </c>
      <c r="J25" s="36" t="s">
        <v>49</v>
      </c>
      <c r="K25" s="36"/>
      <c r="L25" s="36" t="s">
        <v>150</v>
      </c>
      <c r="M25" s="36">
        <v>31.0</v>
      </c>
      <c r="N25" s="36"/>
      <c r="O25" s="36"/>
      <c r="P25" s="36"/>
      <c r="Q25" s="36"/>
      <c r="R25" s="36"/>
      <c r="S25" s="36"/>
    </row>
    <row r="26" ht="15.75" customHeight="1">
      <c r="B26" s="34">
        <v>46055.0</v>
      </c>
      <c r="C26" s="36">
        <v>7891.0</v>
      </c>
      <c r="D26" s="36">
        <v>22.0</v>
      </c>
      <c r="E26" s="38">
        <v>81.5</v>
      </c>
      <c r="F26" s="43">
        <f t="shared" si="1"/>
        <v>1793</v>
      </c>
      <c r="G26" s="36" t="s">
        <v>161</v>
      </c>
      <c r="H26" s="36"/>
      <c r="I26" s="36" t="s">
        <v>48</v>
      </c>
      <c r="J26" s="36" t="s">
        <v>162</v>
      </c>
      <c r="K26" s="36"/>
      <c r="L26" s="36" t="s">
        <v>81</v>
      </c>
      <c r="M26" s="36">
        <v>31.0</v>
      </c>
      <c r="N26" s="45"/>
      <c r="O26" s="45">
        <v>46056.0</v>
      </c>
      <c r="P26" s="36"/>
      <c r="Q26" s="36"/>
      <c r="R26" s="36"/>
      <c r="S26" s="36"/>
    </row>
    <row r="27" ht="15.75" customHeight="1">
      <c r="B27" s="34">
        <v>46055.0</v>
      </c>
      <c r="C27" s="36">
        <v>7891.0</v>
      </c>
      <c r="D27" s="36">
        <v>3.0</v>
      </c>
      <c r="E27" s="38">
        <v>81.5</v>
      </c>
      <c r="F27" s="43">
        <f t="shared" si="1"/>
        <v>244.5</v>
      </c>
      <c r="G27" s="36" t="s">
        <v>165</v>
      </c>
      <c r="H27" s="36"/>
      <c r="I27" s="36" t="s">
        <v>48</v>
      </c>
      <c r="J27" s="36" t="s">
        <v>162</v>
      </c>
      <c r="K27" s="36"/>
      <c r="L27" s="36" t="s">
        <v>81</v>
      </c>
      <c r="M27" s="36">
        <v>31.0</v>
      </c>
      <c r="N27" s="45"/>
      <c r="O27" s="45">
        <v>46056.0</v>
      </c>
      <c r="P27" s="36"/>
      <c r="Q27" s="36"/>
      <c r="R27" s="36"/>
      <c r="S27" s="36"/>
    </row>
    <row r="28" ht="15.75" customHeight="1">
      <c r="B28" s="34">
        <v>46055.0</v>
      </c>
      <c r="C28" s="36">
        <v>7891.0</v>
      </c>
      <c r="D28" s="36">
        <v>63.0</v>
      </c>
      <c r="E28" s="38">
        <v>82.9</v>
      </c>
      <c r="F28" s="43">
        <f t="shared" si="1"/>
        <v>5222.7</v>
      </c>
      <c r="G28" s="36" t="s">
        <v>169</v>
      </c>
      <c r="H28" s="36"/>
      <c r="I28" s="36" t="s">
        <v>48</v>
      </c>
      <c r="J28" s="36" t="s">
        <v>162</v>
      </c>
      <c r="K28" s="36"/>
      <c r="L28" s="36" t="s">
        <v>81</v>
      </c>
      <c r="M28" s="36">
        <v>31.0</v>
      </c>
      <c r="N28" s="45"/>
      <c r="O28" s="45">
        <v>46056.0</v>
      </c>
      <c r="P28" s="36"/>
      <c r="Q28" s="36"/>
      <c r="R28" s="36"/>
      <c r="S28" s="36"/>
    </row>
    <row r="29" ht="15.75" customHeight="1">
      <c r="B29" s="34">
        <v>46055.0</v>
      </c>
      <c r="C29" s="36">
        <v>4696.0</v>
      </c>
      <c r="D29" s="36">
        <v>4.0</v>
      </c>
      <c r="E29" s="38">
        <v>179.9</v>
      </c>
      <c r="F29" s="43">
        <f t="shared" si="1"/>
        <v>719.6</v>
      </c>
      <c r="G29" s="36" t="s">
        <v>181</v>
      </c>
      <c r="H29" s="36" t="s">
        <v>184</v>
      </c>
      <c r="I29" s="36" t="s">
        <v>185</v>
      </c>
      <c r="J29" s="36" t="s">
        <v>49</v>
      </c>
      <c r="K29" s="36"/>
      <c r="L29" s="36" t="s">
        <v>186</v>
      </c>
      <c r="M29" s="36">
        <v>1.0</v>
      </c>
      <c r="N29" s="36"/>
      <c r="O29" s="36"/>
      <c r="P29" s="36"/>
      <c r="Q29" s="36"/>
      <c r="R29" s="36"/>
      <c r="S29" s="36"/>
    </row>
    <row r="30" ht="15.75" customHeight="1">
      <c r="B30" s="34">
        <v>46055.0</v>
      </c>
      <c r="C30" s="36">
        <v>4696.0</v>
      </c>
      <c r="D30" s="36">
        <v>10.0</v>
      </c>
      <c r="E30" s="38">
        <v>139.9</v>
      </c>
      <c r="F30" s="43">
        <f t="shared" si="1"/>
        <v>1399</v>
      </c>
      <c r="G30" s="36" t="s">
        <v>191</v>
      </c>
      <c r="H30" s="36" t="s">
        <v>192</v>
      </c>
      <c r="I30" s="36" t="s">
        <v>185</v>
      </c>
      <c r="J30" s="36" t="s">
        <v>49</v>
      </c>
      <c r="K30" s="36"/>
      <c r="L30" s="36" t="s">
        <v>186</v>
      </c>
      <c r="M30" s="36">
        <v>1.0</v>
      </c>
      <c r="N30" s="36"/>
      <c r="O30" s="36"/>
      <c r="P30" s="36"/>
      <c r="Q30" s="36"/>
      <c r="R30" s="36"/>
      <c r="S30" s="36"/>
    </row>
    <row r="31" ht="15.75" customHeight="1">
      <c r="B31" s="34">
        <v>46055.0</v>
      </c>
      <c r="C31" s="36">
        <v>4697.0</v>
      </c>
      <c r="D31" s="36">
        <v>10.0</v>
      </c>
      <c r="E31" s="38">
        <v>179.9</v>
      </c>
      <c r="F31" s="43">
        <f t="shared" si="1"/>
        <v>1799</v>
      </c>
      <c r="G31" s="36" t="s">
        <v>195</v>
      </c>
      <c r="H31" s="36" t="s">
        <v>196</v>
      </c>
      <c r="I31" s="36" t="s">
        <v>185</v>
      </c>
      <c r="J31" s="36" t="s">
        <v>49</v>
      </c>
      <c r="K31" s="36"/>
      <c r="L31" s="36" t="s">
        <v>186</v>
      </c>
      <c r="M31" s="36">
        <v>1.0</v>
      </c>
      <c r="N31" s="36"/>
      <c r="O31" s="36"/>
      <c r="P31" s="36"/>
      <c r="Q31" s="36"/>
      <c r="R31" s="36"/>
      <c r="S31" s="36"/>
    </row>
    <row r="32" ht="15.75" customHeight="1">
      <c r="B32" s="34">
        <v>46055.0</v>
      </c>
      <c r="C32" s="36">
        <v>4697.0</v>
      </c>
      <c r="D32" s="36">
        <v>2.0</v>
      </c>
      <c r="E32" s="38">
        <v>889.9</v>
      </c>
      <c r="F32" s="43">
        <f t="shared" si="1"/>
        <v>1779.8</v>
      </c>
      <c r="G32" s="36" t="s">
        <v>197</v>
      </c>
      <c r="H32" s="36" t="s">
        <v>198</v>
      </c>
      <c r="I32" s="36" t="s">
        <v>185</v>
      </c>
      <c r="J32" s="36" t="s">
        <v>49</v>
      </c>
      <c r="K32" s="36"/>
      <c r="L32" s="36" t="s">
        <v>186</v>
      </c>
      <c r="M32" s="36">
        <v>1.0</v>
      </c>
      <c r="N32" s="36"/>
      <c r="O32" s="36"/>
      <c r="P32" s="36"/>
      <c r="Q32" s="36"/>
      <c r="R32" s="36"/>
      <c r="S32" s="36"/>
    </row>
    <row r="33" ht="15.75" customHeight="1">
      <c r="B33" s="34">
        <v>46055.0</v>
      </c>
      <c r="C33" s="36"/>
      <c r="D33" s="36">
        <v>1.0</v>
      </c>
      <c r="E33" s="38">
        <v>7600.0</v>
      </c>
      <c r="F33" s="43">
        <v>7600.0</v>
      </c>
      <c r="G33" s="36" t="s">
        <v>201</v>
      </c>
      <c r="H33" s="36"/>
      <c r="I33" s="36" t="s">
        <v>202</v>
      </c>
      <c r="J33" s="36"/>
      <c r="K33" s="36"/>
      <c r="L33" s="36" t="s">
        <v>203</v>
      </c>
      <c r="M33" s="36">
        <v>31.0</v>
      </c>
      <c r="N33" s="45"/>
      <c r="O33" s="45">
        <v>46056.0</v>
      </c>
      <c r="P33" s="36"/>
      <c r="Q33" s="36"/>
      <c r="R33" s="36"/>
      <c r="S33" s="36"/>
    </row>
    <row r="34" ht="15.75" customHeight="1">
      <c r="B34" s="34">
        <v>46055.0</v>
      </c>
      <c r="C34" s="36"/>
      <c r="D34" s="36">
        <v>1.0</v>
      </c>
      <c r="E34" s="38">
        <v>5380.0</v>
      </c>
      <c r="F34" s="43">
        <v>5380.0</v>
      </c>
      <c r="G34" s="36" t="s">
        <v>206</v>
      </c>
      <c r="H34" s="36"/>
      <c r="I34" s="36" t="s">
        <v>202</v>
      </c>
      <c r="J34" s="36"/>
      <c r="K34" s="36"/>
      <c r="L34" s="36" t="s">
        <v>203</v>
      </c>
      <c r="M34" s="36">
        <v>31.0</v>
      </c>
      <c r="N34" s="45"/>
      <c r="O34" s="45">
        <v>46056.0</v>
      </c>
      <c r="P34" s="36"/>
      <c r="Q34" s="36"/>
      <c r="R34" s="36"/>
      <c r="S34" s="36"/>
    </row>
    <row r="35" ht="15.75" customHeight="1">
      <c r="B35" s="34">
        <v>46055.0</v>
      </c>
      <c r="C35" s="36"/>
      <c r="D35" s="36">
        <v>2.0</v>
      </c>
      <c r="E35" s="38">
        <v>590.0</v>
      </c>
      <c r="F35" s="43">
        <f t="shared" ref="F35:F55" si="2">E35*D35</f>
        <v>1180</v>
      </c>
      <c r="G35" s="36" t="s">
        <v>220</v>
      </c>
      <c r="H35" s="36"/>
      <c r="I35" s="36" t="s">
        <v>66</v>
      </c>
      <c r="J35" s="36" t="s">
        <v>49</v>
      </c>
      <c r="K35" s="36"/>
      <c r="L35" s="49" t="s">
        <v>223</v>
      </c>
      <c r="M35" s="36">
        <v>31.0</v>
      </c>
      <c r="N35" s="36"/>
      <c r="O35" s="36"/>
      <c r="P35" s="45">
        <v>46055.0</v>
      </c>
      <c r="Q35" s="36"/>
      <c r="R35" s="36"/>
      <c r="S35" s="36"/>
    </row>
    <row r="36" ht="15.75" customHeight="1">
      <c r="B36" s="34">
        <v>46055.0</v>
      </c>
      <c r="C36" s="36"/>
      <c r="D36" s="36">
        <v>28.0</v>
      </c>
      <c r="E36" s="38">
        <v>2250.0</v>
      </c>
      <c r="F36" s="43">
        <f t="shared" si="2"/>
        <v>63000</v>
      </c>
      <c r="G36" s="36" t="s">
        <v>229</v>
      </c>
      <c r="H36" s="36"/>
      <c r="I36" s="36" t="s">
        <v>66</v>
      </c>
      <c r="J36" s="36" t="s">
        <v>49</v>
      </c>
      <c r="K36" s="36"/>
      <c r="L36" s="49" t="s">
        <v>223</v>
      </c>
      <c r="M36" s="36">
        <v>31.0</v>
      </c>
      <c r="N36" s="36"/>
      <c r="O36" s="36"/>
      <c r="P36" s="45">
        <v>46055.0</v>
      </c>
      <c r="Q36" s="36"/>
      <c r="R36" s="36"/>
      <c r="S36" s="36"/>
    </row>
    <row r="37" ht="15.75" customHeight="1">
      <c r="B37" s="34">
        <v>46055.0</v>
      </c>
      <c r="C37" s="36"/>
      <c r="D37" s="36">
        <v>14.0</v>
      </c>
      <c r="E37" s="38">
        <v>280.0</v>
      </c>
      <c r="F37" s="43">
        <f t="shared" si="2"/>
        <v>3920</v>
      </c>
      <c r="G37" s="36" t="s">
        <v>234</v>
      </c>
      <c r="H37" s="36"/>
      <c r="I37" s="36" t="s">
        <v>66</v>
      </c>
      <c r="J37" s="36" t="s">
        <v>49</v>
      </c>
      <c r="K37" s="36"/>
      <c r="L37" s="49" t="s">
        <v>223</v>
      </c>
      <c r="M37" s="36">
        <v>31.0</v>
      </c>
      <c r="N37" s="50"/>
      <c r="O37" s="50"/>
      <c r="P37" s="45">
        <v>46055.0</v>
      </c>
      <c r="Q37" s="36"/>
      <c r="R37" s="36"/>
      <c r="S37" s="36"/>
    </row>
    <row r="38" ht="15.75" customHeight="1">
      <c r="B38" s="34">
        <v>46055.0</v>
      </c>
      <c r="C38" s="36">
        <v>624.0</v>
      </c>
      <c r="D38" s="36">
        <v>5.0</v>
      </c>
      <c r="E38" s="38">
        <v>1500.0</v>
      </c>
      <c r="F38" s="43">
        <f t="shared" si="2"/>
        <v>7500</v>
      </c>
      <c r="G38" s="36" t="s">
        <v>243</v>
      </c>
      <c r="H38" s="36" t="s">
        <v>245</v>
      </c>
      <c r="I38" s="50" t="s">
        <v>66</v>
      </c>
      <c r="J38" s="36" t="s">
        <v>162</v>
      </c>
      <c r="K38" s="36"/>
      <c r="L38" s="36" t="s">
        <v>150</v>
      </c>
      <c r="M38" s="36">
        <v>1.0</v>
      </c>
      <c r="N38" s="36"/>
      <c r="O38" s="45">
        <v>46063.0</v>
      </c>
      <c r="P38" s="36"/>
      <c r="Q38" s="36"/>
      <c r="R38" s="36"/>
      <c r="S38" s="36"/>
    </row>
    <row r="39" ht="15.75" customHeight="1">
      <c r="B39" s="34">
        <v>46055.0</v>
      </c>
      <c r="C39" s="36">
        <v>4564.0</v>
      </c>
      <c r="D39" s="36">
        <v>1.0</v>
      </c>
      <c r="E39" s="38">
        <v>169.9</v>
      </c>
      <c r="F39" s="43">
        <f t="shared" si="2"/>
        <v>169.9</v>
      </c>
      <c r="G39" s="36" t="s">
        <v>248</v>
      </c>
      <c r="H39" s="36" t="s">
        <v>250</v>
      </c>
      <c r="I39" s="50" t="s">
        <v>252</v>
      </c>
      <c r="J39" s="36" t="s">
        <v>253</v>
      </c>
      <c r="K39" s="36"/>
      <c r="L39" s="36" t="s">
        <v>186</v>
      </c>
      <c r="M39" s="36">
        <v>31.0</v>
      </c>
      <c r="N39" s="36"/>
      <c r="O39" s="45">
        <v>46063.0</v>
      </c>
      <c r="P39" s="36"/>
      <c r="Q39" s="36"/>
      <c r="R39" s="36"/>
      <c r="S39" s="36"/>
    </row>
    <row r="40" ht="15.75" customHeight="1">
      <c r="B40" s="34">
        <v>46055.0</v>
      </c>
      <c r="C40" s="36">
        <v>4564.0</v>
      </c>
      <c r="D40" s="36">
        <v>7.0</v>
      </c>
      <c r="E40" s="38">
        <v>169.9</v>
      </c>
      <c r="F40" s="43">
        <f t="shared" si="2"/>
        <v>1189.3</v>
      </c>
      <c r="G40" s="36" t="s">
        <v>248</v>
      </c>
      <c r="H40" s="36" t="s">
        <v>250</v>
      </c>
      <c r="I40" s="36" t="s">
        <v>252</v>
      </c>
      <c r="J40" s="36" t="s">
        <v>162</v>
      </c>
      <c r="K40" s="36"/>
      <c r="L40" s="36" t="s">
        <v>186</v>
      </c>
      <c r="M40" s="36">
        <v>31.0</v>
      </c>
      <c r="N40" s="36"/>
      <c r="O40" s="45">
        <v>46063.0</v>
      </c>
      <c r="P40" s="36"/>
      <c r="Q40" s="36"/>
      <c r="R40" s="36"/>
      <c r="S40" s="36"/>
    </row>
    <row r="41" ht="15.75" customHeight="1">
      <c r="B41" s="34">
        <v>46055.0</v>
      </c>
      <c r="C41" s="36">
        <v>4564.0</v>
      </c>
      <c r="D41" s="36">
        <v>1.0</v>
      </c>
      <c r="E41" s="38">
        <v>169.9</v>
      </c>
      <c r="F41" s="43">
        <f t="shared" si="2"/>
        <v>169.9</v>
      </c>
      <c r="G41" s="36" t="s">
        <v>260</v>
      </c>
      <c r="H41" s="36" t="s">
        <v>211</v>
      </c>
      <c r="I41" s="36" t="s">
        <v>252</v>
      </c>
      <c r="J41" s="36" t="s">
        <v>253</v>
      </c>
      <c r="K41" s="36"/>
      <c r="L41" s="36" t="s">
        <v>186</v>
      </c>
      <c r="M41" s="36">
        <v>31.0</v>
      </c>
      <c r="N41" s="36"/>
      <c r="O41" s="45">
        <v>46063.0</v>
      </c>
      <c r="P41" s="36"/>
      <c r="Q41" s="36"/>
      <c r="R41" s="36"/>
      <c r="S41" s="36"/>
    </row>
    <row r="42" ht="15.75" customHeight="1">
      <c r="B42" s="34">
        <v>46055.0</v>
      </c>
      <c r="C42" s="36">
        <v>4564.0</v>
      </c>
      <c r="D42" s="36">
        <v>7.0</v>
      </c>
      <c r="E42" s="38">
        <v>169.9</v>
      </c>
      <c r="F42" s="43">
        <f t="shared" si="2"/>
        <v>1189.3</v>
      </c>
      <c r="G42" s="36" t="s">
        <v>260</v>
      </c>
      <c r="H42" s="36" t="s">
        <v>211</v>
      </c>
      <c r="I42" s="36" t="s">
        <v>252</v>
      </c>
      <c r="J42" s="36" t="s">
        <v>162</v>
      </c>
      <c r="K42" s="36"/>
      <c r="L42" s="36" t="s">
        <v>186</v>
      </c>
      <c r="M42" s="36">
        <v>31.0</v>
      </c>
      <c r="N42" s="36"/>
      <c r="O42" s="45">
        <v>46063.0</v>
      </c>
      <c r="P42" s="36"/>
      <c r="Q42" s="36"/>
      <c r="R42" s="36"/>
      <c r="S42" s="36"/>
    </row>
    <row r="43" ht="15.75" customHeight="1">
      <c r="B43" s="34">
        <v>46055.0</v>
      </c>
      <c r="C43" s="36">
        <v>4115.0</v>
      </c>
      <c r="D43" s="36">
        <v>200.0</v>
      </c>
      <c r="E43" s="38">
        <v>6.789</v>
      </c>
      <c r="F43" s="43">
        <f t="shared" si="2"/>
        <v>1357.8</v>
      </c>
      <c r="G43" s="36" t="s">
        <v>267</v>
      </c>
      <c r="H43" s="36" t="s">
        <v>269</v>
      </c>
      <c r="I43" s="36" t="s">
        <v>270</v>
      </c>
      <c r="J43" s="36" t="s">
        <v>49</v>
      </c>
      <c r="K43" s="36"/>
      <c r="L43" s="36" t="s">
        <v>273</v>
      </c>
      <c r="M43" s="36">
        <v>1.0</v>
      </c>
      <c r="N43" s="36"/>
      <c r="O43" s="36"/>
      <c r="P43" s="36"/>
      <c r="Q43" s="36"/>
      <c r="R43" s="36"/>
      <c r="S43" s="36"/>
    </row>
    <row r="44" ht="15.75" customHeight="1">
      <c r="B44" s="34">
        <v>46055.0</v>
      </c>
      <c r="C44" s="36">
        <v>4115.0</v>
      </c>
      <c r="D44" s="36">
        <v>10.0</v>
      </c>
      <c r="E44" s="38">
        <v>186.0</v>
      </c>
      <c r="F44" s="43">
        <f t="shared" si="2"/>
        <v>1860</v>
      </c>
      <c r="G44" s="36" t="s">
        <v>277</v>
      </c>
      <c r="H44" s="36" t="s">
        <v>278</v>
      </c>
      <c r="I44" s="36" t="s">
        <v>270</v>
      </c>
      <c r="J44" s="36" t="s">
        <v>49</v>
      </c>
      <c r="K44" s="36"/>
      <c r="L44" s="36" t="s">
        <v>273</v>
      </c>
      <c r="M44" s="36">
        <v>1.0</v>
      </c>
      <c r="N44" s="36"/>
      <c r="O44" s="36"/>
      <c r="P44" s="36"/>
      <c r="Q44" s="36"/>
      <c r="R44" s="36"/>
      <c r="S44" s="36"/>
    </row>
    <row r="45" ht="15.75" customHeight="1">
      <c r="B45" s="34">
        <v>46055.0</v>
      </c>
      <c r="C45" s="36">
        <v>4144.0</v>
      </c>
      <c r="D45" s="36">
        <v>400.0</v>
      </c>
      <c r="E45" s="38">
        <v>6.789</v>
      </c>
      <c r="F45" s="43">
        <f t="shared" si="2"/>
        <v>2715.6</v>
      </c>
      <c r="G45" s="36" t="s">
        <v>267</v>
      </c>
      <c r="H45" s="36" t="s">
        <v>269</v>
      </c>
      <c r="I45" s="36" t="s">
        <v>270</v>
      </c>
      <c r="J45" s="36" t="s">
        <v>49</v>
      </c>
      <c r="K45" s="36"/>
      <c r="L45" s="36" t="s">
        <v>273</v>
      </c>
      <c r="M45" s="36">
        <v>1.0</v>
      </c>
      <c r="N45" s="36"/>
      <c r="O45" s="36"/>
      <c r="P45" s="36"/>
      <c r="Q45" s="36"/>
      <c r="R45" s="36"/>
      <c r="S45" s="36"/>
    </row>
    <row r="46" ht="15.75" customHeight="1">
      <c r="B46" s="34">
        <v>46055.0</v>
      </c>
      <c r="C46" s="36">
        <v>4144.0</v>
      </c>
      <c r="D46" s="36">
        <v>4.0</v>
      </c>
      <c r="E46" s="38">
        <v>186.0</v>
      </c>
      <c r="F46" s="43">
        <f t="shared" si="2"/>
        <v>744</v>
      </c>
      <c r="G46" s="36" t="s">
        <v>277</v>
      </c>
      <c r="H46" s="36" t="s">
        <v>278</v>
      </c>
      <c r="I46" s="36" t="s">
        <v>270</v>
      </c>
      <c r="J46" s="36" t="s">
        <v>49</v>
      </c>
      <c r="K46" s="36"/>
      <c r="L46" s="36" t="s">
        <v>273</v>
      </c>
      <c r="M46" s="36">
        <v>1.0</v>
      </c>
      <c r="N46" s="36"/>
      <c r="O46" s="36"/>
      <c r="P46" s="36"/>
      <c r="Q46" s="36"/>
      <c r="R46" s="36"/>
      <c r="S46" s="36"/>
    </row>
    <row r="47" ht="15.75" customHeight="1">
      <c r="B47" s="34">
        <v>46055.0</v>
      </c>
      <c r="C47" s="36">
        <v>769997.0</v>
      </c>
      <c r="D47" s="36">
        <v>20.0</v>
      </c>
      <c r="E47" s="38">
        <v>520.04</v>
      </c>
      <c r="F47" s="43">
        <f t="shared" si="2"/>
        <v>10400.8</v>
      </c>
      <c r="G47" s="36" t="s">
        <v>292</v>
      </c>
      <c r="H47" s="36" t="s">
        <v>293</v>
      </c>
      <c r="I47" s="36" t="s">
        <v>106</v>
      </c>
      <c r="J47" s="36" t="s">
        <v>162</v>
      </c>
      <c r="K47" s="36" t="s">
        <v>295</v>
      </c>
      <c r="L47" s="36" t="s">
        <v>68</v>
      </c>
      <c r="M47" s="36">
        <v>31.0</v>
      </c>
      <c r="N47" s="36"/>
      <c r="O47" s="36"/>
      <c r="P47" s="45"/>
      <c r="Q47" s="45">
        <v>46082.0</v>
      </c>
      <c r="R47" s="45">
        <v>46112.0</v>
      </c>
      <c r="S47" s="45">
        <v>46142.0</v>
      </c>
    </row>
    <row r="48" ht="15.75" customHeight="1">
      <c r="B48" s="34">
        <v>46055.0</v>
      </c>
      <c r="C48" s="36">
        <v>769997.0</v>
      </c>
      <c r="D48" s="36">
        <v>15.0</v>
      </c>
      <c r="E48" s="38">
        <v>627.3114</v>
      </c>
      <c r="F48" s="43">
        <f t="shared" si="2"/>
        <v>9409.671</v>
      </c>
      <c r="G48" s="36" t="s">
        <v>301</v>
      </c>
      <c r="H48" s="36" t="s">
        <v>302</v>
      </c>
      <c r="I48" s="36" t="s">
        <v>106</v>
      </c>
      <c r="J48" s="36" t="s">
        <v>162</v>
      </c>
      <c r="K48" s="36" t="s">
        <v>295</v>
      </c>
      <c r="L48" s="36" t="s">
        <v>68</v>
      </c>
      <c r="M48" s="36">
        <v>31.0</v>
      </c>
      <c r="N48" s="36"/>
      <c r="O48" s="36"/>
      <c r="P48" s="36"/>
      <c r="Q48" s="45">
        <v>46082.0</v>
      </c>
      <c r="R48" s="45">
        <v>46112.0</v>
      </c>
      <c r="S48" s="45">
        <v>46142.0</v>
      </c>
    </row>
    <row r="49" ht="15.75" customHeight="1">
      <c r="B49" s="34">
        <v>46055.0</v>
      </c>
      <c r="C49" s="36">
        <v>769997.0</v>
      </c>
      <c r="D49" s="36">
        <v>15.0</v>
      </c>
      <c r="E49" s="38">
        <v>789.0516</v>
      </c>
      <c r="F49" s="43">
        <f t="shared" si="2"/>
        <v>11835.774</v>
      </c>
      <c r="G49" s="36" t="s">
        <v>119</v>
      </c>
      <c r="H49" s="36" t="s">
        <v>307</v>
      </c>
      <c r="I49" s="36" t="s">
        <v>106</v>
      </c>
      <c r="J49" s="36" t="s">
        <v>162</v>
      </c>
      <c r="K49" s="36" t="s">
        <v>295</v>
      </c>
      <c r="L49" s="36" t="s">
        <v>68</v>
      </c>
      <c r="M49" s="36">
        <v>31.0</v>
      </c>
      <c r="N49" s="36"/>
      <c r="O49" s="36"/>
      <c r="P49" s="36"/>
      <c r="Q49" s="45">
        <v>46082.0</v>
      </c>
      <c r="R49" s="45">
        <v>46112.0</v>
      </c>
      <c r="S49" s="45">
        <v>46142.0</v>
      </c>
    </row>
    <row r="50" ht="15.75" customHeight="1">
      <c r="B50" s="34">
        <v>46055.0</v>
      </c>
      <c r="C50" s="36">
        <v>769997.0</v>
      </c>
      <c r="D50" s="36">
        <v>30.0</v>
      </c>
      <c r="E50" s="38">
        <v>512.9032</v>
      </c>
      <c r="F50" s="43">
        <f t="shared" si="2"/>
        <v>15387.096</v>
      </c>
      <c r="G50" s="36" t="s">
        <v>316</v>
      </c>
      <c r="H50" s="36" t="s">
        <v>317</v>
      </c>
      <c r="I50" s="36" t="s">
        <v>106</v>
      </c>
      <c r="J50" s="36" t="s">
        <v>162</v>
      </c>
      <c r="K50" s="36" t="s">
        <v>295</v>
      </c>
      <c r="L50" s="36" t="s">
        <v>68</v>
      </c>
      <c r="M50" s="36">
        <v>31.0</v>
      </c>
      <c r="N50" s="36"/>
      <c r="O50" s="36"/>
      <c r="P50" s="36"/>
      <c r="Q50" s="45">
        <v>46082.0</v>
      </c>
      <c r="R50" s="45">
        <v>46112.0</v>
      </c>
      <c r="S50" s="45">
        <v>46142.0</v>
      </c>
    </row>
    <row r="51" ht="15.75" customHeight="1">
      <c r="B51" s="34">
        <v>46055.0</v>
      </c>
      <c r="C51" s="36">
        <v>769997.0</v>
      </c>
      <c r="D51" s="36">
        <v>3.0</v>
      </c>
      <c r="E51" s="38">
        <v>1972.7472</v>
      </c>
      <c r="F51" s="43">
        <f t="shared" si="2"/>
        <v>5918.2416</v>
      </c>
      <c r="G51" s="36" t="s">
        <v>129</v>
      </c>
      <c r="H51" s="36" t="s">
        <v>320</v>
      </c>
      <c r="I51" s="36" t="s">
        <v>106</v>
      </c>
      <c r="J51" s="36" t="s">
        <v>162</v>
      </c>
      <c r="K51" s="36" t="s">
        <v>295</v>
      </c>
      <c r="L51" s="36" t="s">
        <v>68</v>
      </c>
      <c r="M51" s="36">
        <v>31.0</v>
      </c>
      <c r="N51" s="36"/>
      <c r="O51" s="36"/>
      <c r="P51" s="36"/>
      <c r="Q51" s="45">
        <v>46082.0</v>
      </c>
      <c r="R51" s="45">
        <v>46112.0</v>
      </c>
      <c r="S51" s="45">
        <v>46142.0</v>
      </c>
    </row>
    <row r="52" ht="15.75" customHeight="1">
      <c r="B52" s="34">
        <v>46055.0</v>
      </c>
      <c r="C52" s="36">
        <v>769997.0</v>
      </c>
      <c r="D52" s="36">
        <v>5.0</v>
      </c>
      <c r="E52" s="38">
        <v>1183.6483</v>
      </c>
      <c r="F52" s="43">
        <f t="shared" si="2"/>
        <v>5918.2415</v>
      </c>
      <c r="G52" s="36" t="s">
        <v>324</v>
      </c>
      <c r="H52" s="36" t="s">
        <v>325</v>
      </c>
      <c r="I52" s="36" t="s">
        <v>106</v>
      </c>
      <c r="J52" s="36" t="s">
        <v>162</v>
      </c>
      <c r="K52" s="36" t="s">
        <v>295</v>
      </c>
      <c r="L52" s="36" t="s">
        <v>68</v>
      </c>
      <c r="M52" s="36">
        <v>31.0</v>
      </c>
      <c r="N52" s="36"/>
      <c r="O52" s="36"/>
      <c r="P52" s="36"/>
      <c r="Q52" s="45">
        <v>46082.0</v>
      </c>
      <c r="R52" s="45">
        <v>46112.0</v>
      </c>
      <c r="S52" s="45">
        <v>46142.0</v>
      </c>
    </row>
    <row r="53" ht="15.75" customHeight="1">
      <c r="B53" s="34">
        <v>46055.0</v>
      </c>
      <c r="C53" s="36">
        <v>4024.0</v>
      </c>
      <c r="D53" s="36">
        <v>12.0</v>
      </c>
      <c r="E53" s="38">
        <v>367.0</v>
      </c>
      <c r="F53" s="43">
        <f t="shared" si="2"/>
        <v>4404</v>
      </c>
      <c r="G53" s="36" t="s">
        <v>326</v>
      </c>
      <c r="H53" s="36" t="s">
        <v>327</v>
      </c>
      <c r="I53" s="36" t="s">
        <v>146</v>
      </c>
      <c r="J53" s="36" t="s">
        <v>49</v>
      </c>
      <c r="K53" s="36"/>
      <c r="L53" s="36" t="s">
        <v>150</v>
      </c>
      <c r="M53" s="36">
        <v>31.0</v>
      </c>
      <c r="N53" s="36"/>
      <c r="O53" s="36"/>
      <c r="P53" s="36"/>
      <c r="Q53" s="36"/>
      <c r="R53" s="36"/>
      <c r="S53" s="36"/>
    </row>
    <row r="54" ht="15.75" customHeight="1">
      <c r="B54" s="34">
        <v>46055.0</v>
      </c>
      <c r="C54" s="36" t="s">
        <v>329</v>
      </c>
      <c r="D54" s="36">
        <v>3600.0</v>
      </c>
      <c r="E54" s="38">
        <v>16.96</v>
      </c>
      <c r="F54" s="43">
        <f t="shared" si="2"/>
        <v>61056</v>
      </c>
      <c r="G54" s="36" t="s">
        <v>330</v>
      </c>
      <c r="H54" s="36" t="s">
        <v>331</v>
      </c>
      <c r="I54" s="36" t="s">
        <v>146</v>
      </c>
      <c r="J54" s="36" t="s">
        <v>49</v>
      </c>
      <c r="K54" s="36"/>
      <c r="L54" s="36" t="s">
        <v>333</v>
      </c>
      <c r="M54" s="36">
        <v>31.0</v>
      </c>
      <c r="N54" s="36"/>
      <c r="O54" s="36"/>
      <c r="P54" s="36"/>
      <c r="Q54" s="45">
        <v>46082.0</v>
      </c>
      <c r="R54" s="45">
        <v>46112.0</v>
      </c>
      <c r="S54" s="45">
        <v>46142.0</v>
      </c>
    </row>
    <row r="55" ht="15.75" customHeight="1">
      <c r="B55" s="34">
        <v>46055.0</v>
      </c>
      <c r="C55" s="36" t="s">
        <v>329</v>
      </c>
      <c r="D55" s="36">
        <v>2400.0</v>
      </c>
      <c r="E55" s="38">
        <v>20.0</v>
      </c>
      <c r="F55" s="43">
        <f t="shared" si="2"/>
        <v>48000</v>
      </c>
      <c r="G55" s="36" t="s">
        <v>335</v>
      </c>
      <c r="H55" s="36" t="s">
        <v>336</v>
      </c>
      <c r="I55" s="36" t="s">
        <v>146</v>
      </c>
      <c r="J55" s="36" t="s">
        <v>49</v>
      </c>
      <c r="K55" s="36"/>
      <c r="L55" s="36" t="s">
        <v>333</v>
      </c>
      <c r="M55" s="36">
        <v>31.0</v>
      </c>
      <c r="N55" s="36"/>
      <c r="O55" s="36"/>
      <c r="P55" s="36"/>
      <c r="Q55" s="45">
        <v>46082.0</v>
      </c>
      <c r="R55" s="45">
        <v>46112.0</v>
      </c>
      <c r="S55" s="45">
        <v>46142.0</v>
      </c>
    </row>
    <row r="56" ht="15.75" customHeight="1">
      <c r="B56" s="34">
        <v>46055.0</v>
      </c>
      <c r="C56" s="36">
        <v>905715.0</v>
      </c>
      <c r="D56" s="36">
        <v>150.0</v>
      </c>
      <c r="E56" s="38">
        <v>66.46</v>
      </c>
      <c r="F56" s="43">
        <v>9969.0</v>
      </c>
      <c r="G56" s="36" t="s">
        <v>341</v>
      </c>
      <c r="H56" s="36">
        <v>63139.0</v>
      </c>
      <c r="I56" s="36" t="s">
        <v>58</v>
      </c>
      <c r="J56" s="36" t="s">
        <v>60</v>
      </c>
      <c r="K56" s="36"/>
      <c r="L56" s="49" t="s">
        <v>342</v>
      </c>
      <c r="M56" s="36">
        <v>31.0</v>
      </c>
      <c r="N56" s="45"/>
      <c r="O56" s="45"/>
      <c r="P56" s="45"/>
      <c r="Q56" s="45">
        <v>46085.0</v>
      </c>
      <c r="R56" s="45">
        <v>46115.0</v>
      </c>
      <c r="S56" s="45">
        <v>46145.0</v>
      </c>
    </row>
    <row r="57" ht="15.75" customHeight="1">
      <c r="B57" s="34">
        <v>46056.0</v>
      </c>
      <c r="C57" s="36">
        <v>4129.0</v>
      </c>
      <c r="D57" s="36">
        <v>560.0</v>
      </c>
      <c r="E57" s="38">
        <v>9.7</v>
      </c>
      <c r="F57" s="43">
        <f t="shared" ref="F57:F99" si="3">E57*D57</f>
        <v>5432</v>
      </c>
      <c r="G57" s="36" t="s">
        <v>360</v>
      </c>
      <c r="H57" s="36" t="s">
        <v>361</v>
      </c>
      <c r="I57" s="36" t="s">
        <v>48</v>
      </c>
      <c r="J57" s="36" t="s">
        <v>34</v>
      </c>
      <c r="K57" s="36"/>
      <c r="L57" s="36" t="s">
        <v>87</v>
      </c>
      <c r="M57" s="36">
        <v>31.0</v>
      </c>
      <c r="N57" s="36"/>
      <c r="O57" s="36"/>
      <c r="P57" s="36"/>
      <c r="Q57" s="36"/>
      <c r="R57" s="36"/>
      <c r="S57" s="36"/>
    </row>
    <row r="58" ht="15.75" customHeight="1">
      <c r="B58" s="34">
        <v>46056.0</v>
      </c>
      <c r="C58" s="36">
        <v>4131.0</v>
      </c>
      <c r="D58" s="36">
        <v>800.0</v>
      </c>
      <c r="E58" s="38">
        <v>9.7</v>
      </c>
      <c r="F58" s="43">
        <f t="shared" si="3"/>
        <v>7760</v>
      </c>
      <c r="G58" s="36" t="s">
        <v>360</v>
      </c>
      <c r="H58" s="36" t="s">
        <v>361</v>
      </c>
      <c r="I58" s="36" t="s">
        <v>48</v>
      </c>
      <c r="J58" s="36" t="s">
        <v>34</v>
      </c>
      <c r="K58" s="36"/>
      <c r="L58" s="36" t="s">
        <v>87</v>
      </c>
      <c r="M58" s="36">
        <v>31.0</v>
      </c>
      <c r="N58" s="36"/>
      <c r="O58" s="36"/>
      <c r="P58" s="36"/>
      <c r="Q58" s="36"/>
      <c r="R58" s="36"/>
      <c r="S58" s="36"/>
    </row>
    <row r="59" ht="15.75" customHeight="1">
      <c r="B59" s="34">
        <v>46056.0</v>
      </c>
      <c r="C59" s="36">
        <v>4180.0</v>
      </c>
      <c r="D59" s="36">
        <v>100.0</v>
      </c>
      <c r="E59" s="38">
        <v>6.3</v>
      </c>
      <c r="F59" s="43">
        <f t="shared" si="3"/>
        <v>630</v>
      </c>
      <c r="G59" s="36" t="s">
        <v>369</v>
      </c>
      <c r="H59" s="36" t="s">
        <v>371</v>
      </c>
      <c r="I59" s="36" t="s">
        <v>48</v>
      </c>
      <c r="J59" s="36" t="s">
        <v>49</v>
      </c>
      <c r="K59" s="36"/>
      <c r="L59" s="36" t="s">
        <v>150</v>
      </c>
      <c r="M59" s="36">
        <v>31.0</v>
      </c>
      <c r="N59" s="36"/>
      <c r="O59" s="36"/>
      <c r="P59" s="36"/>
      <c r="Q59" s="36"/>
      <c r="R59" s="36"/>
      <c r="S59" s="36"/>
    </row>
    <row r="60" ht="15.75" customHeight="1">
      <c r="B60" s="34">
        <v>46056.0</v>
      </c>
      <c r="C60" s="36">
        <v>4180.0</v>
      </c>
      <c r="D60" s="36">
        <v>100.0</v>
      </c>
      <c r="E60" s="38">
        <v>6.3</v>
      </c>
      <c r="F60" s="43">
        <f t="shared" si="3"/>
        <v>630</v>
      </c>
      <c r="G60" s="36" t="s">
        <v>369</v>
      </c>
      <c r="H60" s="36" t="s">
        <v>373</v>
      </c>
      <c r="I60" s="36" t="s">
        <v>48</v>
      </c>
      <c r="J60" s="36" t="s">
        <v>49</v>
      </c>
      <c r="K60" s="36"/>
      <c r="L60" s="36" t="s">
        <v>150</v>
      </c>
      <c r="M60" s="36">
        <v>31.0</v>
      </c>
      <c r="N60" s="36"/>
      <c r="O60" s="36"/>
      <c r="P60" s="36"/>
      <c r="Q60" s="36"/>
      <c r="R60" s="36"/>
      <c r="S60" s="36"/>
    </row>
    <row r="61" ht="15.75" customHeight="1">
      <c r="B61" s="34">
        <v>46056.0</v>
      </c>
      <c r="C61" s="36">
        <v>770264.0</v>
      </c>
      <c r="D61" s="36">
        <v>600.0</v>
      </c>
      <c r="E61" s="38">
        <v>85.0025</v>
      </c>
      <c r="F61" s="43">
        <f t="shared" si="3"/>
        <v>51001.5</v>
      </c>
      <c r="G61" s="36" t="s">
        <v>377</v>
      </c>
      <c r="H61" s="36" t="s">
        <v>378</v>
      </c>
      <c r="I61" s="36" t="s">
        <v>48</v>
      </c>
      <c r="J61" s="36" t="s">
        <v>162</v>
      </c>
      <c r="K61" s="36"/>
      <c r="L61" s="36" t="s">
        <v>68</v>
      </c>
      <c r="M61" s="36">
        <v>31.0</v>
      </c>
      <c r="N61" s="36"/>
      <c r="O61" s="36"/>
      <c r="P61" s="36"/>
      <c r="Q61" s="45">
        <v>46086.0</v>
      </c>
      <c r="R61" s="45">
        <v>46116.0</v>
      </c>
      <c r="S61" s="45">
        <v>46146.0</v>
      </c>
    </row>
    <row r="62" ht="15.75" customHeight="1">
      <c r="B62" s="34">
        <v>46056.0</v>
      </c>
      <c r="C62" s="36">
        <v>1526.0</v>
      </c>
      <c r="D62" s="36">
        <v>320.0</v>
      </c>
      <c r="E62" s="38">
        <v>96.8</v>
      </c>
      <c r="F62" s="43">
        <f t="shared" si="3"/>
        <v>30976</v>
      </c>
      <c r="G62" s="36" t="s">
        <v>380</v>
      </c>
      <c r="H62" s="36" t="s">
        <v>381</v>
      </c>
      <c r="I62" s="36" t="s">
        <v>48</v>
      </c>
      <c r="J62" s="36" t="s">
        <v>49</v>
      </c>
      <c r="K62" s="36"/>
      <c r="L62" s="36" t="s">
        <v>382</v>
      </c>
      <c r="M62" s="36">
        <v>1.0</v>
      </c>
      <c r="N62" s="36"/>
      <c r="O62" s="36"/>
      <c r="P62" s="36"/>
      <c r="Q62" s="36"/>
      <c r="R62" s="36"/>
      <c r="S62" s="36"/>
    </row>
    <row r="63" ht="15.75" customHeight="1">
      <c r="B63" s="34">
        <v>46056.0</v>
      </c>
      <c r="C63" s="36">
        <v>4168.0</v>
      </c>
      <c r="D63" s="36">
        <v>100.0</v>
      </c>
      <c r="E63" s="38">
        <v>63.0</v>
      </c>
      <c r="F63" s="43">
        <f t="shared" si="3"/>
        <v>6300</v>
      </c>
      <c r="G63" s="36" t="s">
        <v>384</v>
      </c>
      <c r="H63" s="35" t="s">
        <v>386</v>
      </c>
      <c r="I63" s="36" t="s">
        <v>77</v>
      </c>
      <c r="J63" s="36" t="s">
        <v>40</v>
      </c>
      <c r="K63" s="36" t="s">
        <v>79</v>
      </c>
      <c r="L63" s="36" t="s">
        <v>87</v>
      </c>
      <c r="M63" s="36">
        <v>31.0</v>
      </c>
      <c r="N63" s="36"/>
      <c r="O63" s="36"/>
      <c r="P63" s="36"/>
      <c r="Q63" s="36"/>
      <c r="R63" s="36"/>
      <c r="S63" s="36"/>
    </row>
    <row r="64" ht="15.75" customHeight="1">
      <c r="B64" s="34">
        <v>46056.0</v>
      </c>
      <c r="C64" s="36">
        <v>4837.0</v>
      </c>
      <c r="D64" s="36">
        <v>48.0</v>
      </c>
      <c r="E64" s="38">
        <v>36.9</v>
      </c>
      <c r="F64" s="43">
        <f t="shared" si="3"/>
        <v>1771.2</v>
      </c>
      <c r="G64" s="36" t="s">
        <v>389</v>
      </c>
      <c r="H64" s="36" t="s">
        <v>391</v>
      </c>
      <c r="I64" s="36" t="s">
        <v>106</v>
      </c>
      <c r="J64" s="36" t="s">
        <v>162</v>
      </c>
      <c r="K64" s="36" t="s">
        <v>295</v>
      </c>
      <c r="L64" s="36" t="s">
        <v>186</v>
      </c>
      <c r="M64" s="36">
        <v>1.0</v>
      </c>
      <c r="N64" s="36"/>
      <c r="O64" s="36"/>
      <c r="P64" s="36"/>
      <c r="Q64" s="36"/>
      <c r="R64" s="36"/>
      <c r="S64" s="36"/>
    </row>
    <row r="65" ht="15.75" customHeight="1">
      <c r="B65" s="34">
        <v>46056.0</v>
      </c>
      <c r="C65" s="36">
        <v>4837.0</v>
      </c>
      <c r="D65" s="36">
        <v>120.0</v>
      </c>
      <c r="E65" s="38">
        <v>14.9</v>
      </c>
      <c r="F65" s="43">
        <f t="shared" si="3"/>
        <v>1788</v>
      </c>
      <c r="G65" s="36" t="s">
        <v>394</v>
      </c>
      <c r="H65" s="36" t="s">
        <v>395</v>
      </c>
      <c r="I65" s="36" t="s">
        <v>106</v>
      </c>
      <c r="J65" s="36" t="s">
        <v>162</v>
      </c>
      <c r="K65" s="36" t="s">
        <v>295</v>
      </c>
      <c r="L65" s="36" t="s">
        <v>186</v>
      </c>
      <c r="M65" s="36">
        <v>1.0</v>
      </c>
      <c r="N65" s="36"/>
      <c r="O65" s="36"/>
      <c r="P65" s="36"/>
      <c r="Q65" s="36"/>
      <c r="R65" s="36"/>
      <c r="S65" s="36"/>
    </row>
    <row r="66" ht="15.75" customHeight="1">
      <c r="B66" s="34">
        <v>46056.0</v>
      </c>
      <c r="C66" s="36">
        <v>4837.0</v>
      </c>
      <c r="D66" s="36">
        <v>60.0</v>
      </c>
      <c r="E66" s="38">
        <v>27.99</v>
      </c>
      <c r="F66" s="43">
        <f t="shared" si="3"/>
        <v>1679.4</v>
      </c>
      <c r="G66" s="36" t="s">
        <v>400</v>
      </c>
      <c r="H66" s="36" t="s">
        <v>402</v>
      </c>
      <c r="I66" s="36" t="s">
        <v>106</v>
      </c>
      <c r="J66" s="36" t="s">
        <v>162</v>
      </c>
      <c r="K66" s="36" t="s">
        <v>295</v>
      </c>
      <c r="L66" s="36" t="s">
        <v>186</v>
      </c>
      <c r="M66" s="36">
        <v>1.0</v>
      </c>
      <c r="N66" s="36"/>
      <c r="O66" s="36"/>
      <c r="P66" s="36"/>
      <c r="Q66" s="36"/>
      <c r="R66" s="36"/>
      <c r="S66" s="36"/>
    </row>
    <row r="67" ht="15.75" customHeight="1">
      <c r="B67" s="34">
        <v>46056.0</v>
      </c>
      <c r="C67" s="36">
        <v>4837.0</v>
      </c>
      <c r="D67" s="36">
        <v>240.0</v>
      </c>
      <c r="E67" s="38">
        <v>6.99</v>
      </c>
      <c r="F67" s="43">
        <f t="shared" si="3"/>
        <v>1677.6</v>
      </c>
      <c r="G67" s="36" t="s">
        <v>410</v>
      </c>
      <c r="H67" s="36" t="s">
        <v>411</v>
      </c>
      <c r="I67" s="36" t="s">
        <v>106</v>
      </c>
      <c r="J67" s="36" t="s">
        <v>162</v>
      </c>
      <c r="K67" s="36" t="s">
        <v>295</v>
      </c>
      <c r="L67" s="36" t="s">
        <v>186</v>
      </c>
      <c r="M67" s="36">
        <v>1.0</v>
      </c>
      <c r="N67" s="36"/>
      <c r="O67" s="36"/>
      <c r="P67" s="36"/>
      <c r="Q67" s="36"/>
      <c r="R67" s="36"/>
      <c r="S67" s="36"/>
    </row>
    <row r="68" ht="15.75" customHeight="1">
      <c r="B68" s="34">
        <v>46056.0</v>
      </c>
      <c r="C68" s="36">
        <v>4837.0</v>
      </c>
      <c r="D68" s="36">
        <v>120.0</v>
      </c>
      <c r="E68" s="38">
        <v>25.99</v>
      </c>
      <c r="F68" s="43">
        <f t="shared" si="3"/>
        <v>3118.8</v>
      </c>
      <c r="G68" s="36" t="s">
        <v>418</v>
      </c>
      <c r="H68" s="36" t="s">
        <v>419</v>
      </c>
      <c r="I68" s="36" t="s">
        <v>106</v>
      </c>
      <c r="J68" s="36" t="s">
        <v>162</v>
      </c>
      <c r="K68" s="36" t="s">
        <v>295</v>
      </c>
      <c r="L68" s="36" t="s">
        <v>186</v>
      </c>
      <c r="M68" s="36">
        <v>1.0</v>
      </c>
      <c r="N68" s="36"/>
      <c r="O68" s="36"/>
      <c r="P68" s="36"/>
      <c r="Q68" s="36"/>
      <c r="R68" s="36"/>
      <c r="S68" s="36"/>
    </row>
    <row r="69" ht="15.75" customHeight="1">
      <c r="B69" s="34">
        <v>46056.0</v>
      </c>
      <c r="C69" s="36">
        <v>4168.0</v>
      </c>
      <c r="D69" s="36">
        <v>100.0</v>
      </c>
      <c r="E69" s="38">
        <v>63.0</v>
      </c>
      <c r="F69" s="43">
        <f t="shared" si="3"/>
        <v>6300</v>
      </c>
      <c r="G69" s="36" t="s">
        <v>425</v>
      </c>
      <c r="H69" s="36" t="s">
        <v>386</v>
      </c>
      <c r="I69" s="36" t="s">
        <v>106</v>
      </c>
      <c r="J69" s="36" t="s">
        <v>162</v>
      </c>
      <c r="K69" s="36" t="s">
        <v>295</v>
      </c>
      <c r="L69" s="36" t="s">
        <v>186</v>
      </c>
      <c r="M69" s="36">
        <v>1.0</v>
      </c>
      <c r="N69" s="36"/>
      <c r="O69" s="36"/>
      <c r="P69" s="36"/>
      <c r="Q69" s="36"/>
      <c r="R69" s="36"/>
      <c r="S69" s="36"/>
    </row>
    <row r="70" ht="15.75" customHeight="1">
      <c r="B70" s="34">
        <v>46056.0</v>
      </c>
      <c r="C70" s="36">
        <v>4168.0</v>
      </c>
      <c r="D70" s="36">
        <v>100.0</v>
      </c>
      <c r="E70" s="38">
        <v>60.0</v>
      </c>
      <c r="F70" s="43">
        <f t="shared" si="3"/>
        <v>6000</v>
      </c>
      <c r="G70" s="36" t="s">
        <v>429</v>
      </c>
      <c r="H70" s="36" t="s">
        <v>430</v>
      </c>
      <c r="I70" s="36" t="s">
        <v>106</v>
      </c>
      <c r="J70" s="36" t="s">
        <v>162</v>
      </c>
      <c r="K70" s="36" t="s">
        <v>295</v>
      </c>
      <c r="L70" s="36" t="s">
        <v>186</v>
      </c>
      <c r="M70" s="36">
        <v>1.0</v>
      </c>
      <c r="N70" s="50"/>
      <c r="O70" s="50"/>
      <c r="P70" s="36"/>
      <c r="Q70" s="36"/>
      <c r="R70" s="36"/>
      <c r="S70" s="36"/>
    </row>
    <row r="71" ht="15.75" customHeight="1">
      <c r="B71" s="34">
        <v>46056.0</v>
      </c>
      <c r="C71" s="36">
        <v>4168.0</v>
      </c>
      <c r="D71" s="36">
        <v>100.0</v>
      </c>
      <c r="E71" s="38">
        <v>60.0</v>
      </c>
      <c r="F71" s="43">
        <f t="shared" si="3"/>
        <v>6000</v>
      </c>
      <c r="G71" s="36" t="s">
        <v>436</v>
      </c>
      <c r="H71" s="36" t="s">
        <v>430</v>
      </c>
      <c r="I71" s="36" t="s">
        <v>106</v>
      </c>
      <c r="J71" s="36" t="s">
        <v>40</v>
      </c>
      <c r="K71" s="36" t="s">
        <v>79</v>
      </c>
      <c r="L71" s="36" t="s">
        <v>87</v>
      </c>
      <c r="M71" s="36">
        <v>31.0</v>
      </c>
      <c r="N71" s="36"/>
      <c r="O71" s="36"/>
      <c r="P71" s="36"/>
      <c r="Q71" s="36"/>
      <c r="R71" s="36"/>
      <c r="S71" s="36"/>
    </row>
    <row r="72" ht="15.75" customHeight="1">
      <c r="B72" s="34">
        <v>46056.0</v>
      </c>
      <c r="C72" s="36">
        <v>4838.0</v>
      </c>
      <c r="D72" s="36">
        <v>60.0</v>
      </c>
      <c r="E72" s="38">
        <v>23.9</v>
      </c>
      <c r="F72" s="43">
        <f t="shared" si="3"/>
        <v>1434</v>
      </c>
      <c r="G72" s="36" t="s">
        <v>442</v>
      </c>
      <c r="H72" s="36" t="s">
        <v>444</v>
      </c>
      <c r="I72" s="36" t="s">
        <v>106</v>
      </c>
      <c r="J72" s="36" t="s">
        <v>162</v>
      </c>
      <c r="K72" s="36" t="s">
        <v>295</v>
      </c>
      <c r="L72" s="36" t="s">
        <v>186</v>
      </c>
      <c r="M72" s="36">
        <v>1.0</v>
      </c>
      <c r="N72" s="36"/>
      <c r="O72" s="36"/>
      <c r="P72" s="36"/>
      <c r="Q72" s="36"/>
      <c r="R72" s="36"/>
      <c r="S72" s="36"/>
    </row>
    <row r="73" ht="15.75" customHeight="1">
      <c r="B73" s="34">
        <v>46056.0</v>
      </c>
      <c r="C73" s="36">
        <v>654.0</v>
      </c>
      <c r="D73" s="36">
        <v>5.0</v>
      </c>
      <c r="E73" s="38">
        <v>360.0</v>
      </c>
      <c r="F73" s="43">
        <f t="shared" si="3"/>
        <v>1800</v>
      </c>
      <c r="G73" s="36" t="s">
        <v>449</v>
      </c>
      <c r="H73" s="36" t="s">
        <v>450</v>
      </c>
      <c r="I73" s="53" t="s">
        <v>59</v>
      </c>
      <c r="J73" s="36" t="s">
        <v>34</v>
      </c>
      <c r="K73" s="36"/>
      <c r="L73" s="36" t="s">
        <v>151</v>
      </c>
      <c r="M73" s="36">
        <v>31.0</v>
      </c>
      <c r="N73" s="36"/>
      <c r="O73" s="36"/>
      <c r="P73" s="36"/>
      <c r="Q73" s="36"/>
      <c r="R73" s="36"/>
      <c r="S73" s="36"/>
    </row>
    <row r="74" ht="15.75" customHeight="1">
      <c r="B74" s="34">
        <v>46056.0</v>
      </c>
      <c r="C74" s="36">
        <v>654.0</v>
      </c>
      <c r="D74" s="36">
        <v>5.0</v>
      </c>
      <c r="E74" s="38">
        <v>288.0</v>
      </c>
      <c r="F74" s="43">
        <f t="shared" si="3"/>
        <v>1440</v>
      </c>
      <c r="G74" s="36" t="s">
        <v>449</v>
      </c>
      <c r="H74" s="36" t="s">
        <v>461</v>
      </c>
      <c r="I74" s="53" t="s">
        <v>146</v>
      </c>
      <c r="J74" s="36" t="s">
        <v>34</v>
      </c>
      <c r="K74" s="36"/>
      <c r="L74" s="36" t="s">
        <v>151</v>
      </c>
      <c r="M74" s="36">
        <v>31.0</v>
      </c>
      <c r="N74" s="36"/>
      <c r="O74" s="36"/>
      <c r="P74" s="36"/>
      <c r="Q74" s="36"/>
      <c r="R74" s="36"/>
      <c r="S74" s="36"/>
    </row>
    <row r="75" ht="15.75" customHeight="1">
      <c r="B75" s="34">
        <v>46056.0</v>
      </c>
      <c r="C75" s="36">
        <v>1557.0</v>
      </c>
      <c r="D75" s="36">
        <v>15.0</v>
      </c>
      <c r="E75" s="38">
        <v>180.0</v>
      </c>
      <c r="F75" s="43">
        <f t="shared" si="3"/>
        <v>2700</v>
      </c>
      <c r="G75" s="36" t="s">
        <v>463</v>
      </c>
      <c r="H75" s="36" t="s">
        <v>464</v>
      </c>
      <c r="I75" s="53" t="s">
        <v>146</v>
      </c>
      <c r="J75" s="36" t="s">
        <v>49</v>
      </c>
      <c r="K75" s="36"/>
      <c r="L75" s="36" t="s">
        <v>62</v>
      </c>
      <c r="M75" s="36">
        <v>31.0</v>
      </c>
      <c r="N75" s="36"/>
      <c r="O75" s="36"/>
      <c r="P75" s="36"/>
      <c r="Q75" s="36"/>
      <c r="R75" s="36"/>
      <c r="S75" s="36"/>
    </row>
    <row r="76" ht="15.75" customHeight="1">
      <c r="B76" s="34">
        <v>46056.0</v>
      </c>
      <c r="C76" s="36">
        <v>1551.0</v>
      </c>
      <c r="D76" s="36">
        <v>10.0</v>
      </c>
      <c r="E76" s="38">
        <v>180.0</v>
      </c>
      <c r="F76" s="43">
        <f t="shared" si="3"/>
        <v>1800</v>
      </c>
      <c r="G76" s="36" t="s">
        <v>463</v>
      </c>
      <c r="H76" s="36" t="s">
        <v>464</v>
      </c>
      <c r="I76" s="53" t="s">
        <v>146</v>
      </c>
      <c r="J76" s="36" t="s">
        <v>49</v>
      </c>
      <c r="K76" s="36"/>
      <c r="L76" s="36" t="s">
        <v>62</v>
      </c>
      <c r="M76" s="36">
        <v>31.0</v>
      </c>
      <c r="N76" s="36"/>
      <c r="O76" s="36"/>
      <c r="P76" s="36"/>
      <c r="Q76" s="36"/>
      <c r="R76" s="36"/>
      <c r="S76" s="36"/>
    </row>
    <row r="77" ht="15.75" customHeight="1">
      <c r="B77" s="34">
        <v>46056.0</v>
      </c>
      <c r="C77" s="36">
        <v>1551.0</v>
      </c>
      <c r="D77" s="36">
        <v>5.0</v>
      </c>
      <c r="E77" s="38">
        <v>189.0</v>
      </c>
      <c r="F77" s="43">
        <f t="shared" si="3"/>
        <v>945</v>
      </c>
      <c r="G77" s="36" t="s">
        <v>474</v>
      </c>
      <c r="H77" s="36" t="s">
        <v>475</v>
      </c>
      <c r="I77" s="53" t="s">
        <v>146</v>
      </c>
      <c r="J77" s="36" t="s">
        <v>49</v>
      </c>
      <c r="K77" s="36"/>
      <c r="L77" s="36" t="s">
        <v>62</v>
      </c>
      <c r="M77" s="36">
        <v>31.0</v>
      </c>
      <c r="N77" s="36"/>
      <c r="O77" s="36"/>
      <c r="P77" s="36"/>
      <c r="Q77" s="36"/>
      <c r="R77" s="36"/>
      <c r="S77" s="36"/>
    </row>
    <row r="78" ht="15.75" customHeight="1">
      <c r="B78" s="34">
        <v>46056.0</v>
      </c>
      <c r="C78" s="36"/>
      <c r="D78" s="36">
        <v>50.0</v>
      </c>
      <c r="E78" s="38">
        <v>28.0</v>
      </c>
      <c r="F78" s="43">
        <f t="shared" si="3"/>
        <v>1400</v>
      </c>
      <c r="G78" s="36" t="s">
        <v>478</v>
      </c>
      <c r="H78" s="36"/>
      <c r="I78" s="36" t="s">
        <v>146</v>
      </c>
      <c r="J78" s="36" t="s">
        <v>49</v>
      </c>
      <c r="K78" s="36"/>
      <c r="L78" s="36"/>
      <c r="M78" s="36"/>
      <c r="N78" s="45"/>
      <c r="O78" s="45">
        <v>46057.0</v>
      </c>
      <c r="P78" s="36"/>
      <c r="Q78" s="36"/>
      <c r="R78" s="36"/>
      <c r="S78" s="36"/>
    </row>
    <row r="79" ht="15.75" customHeight="1">
      <c r="B79" s="34">
        <v>46056.0</v>
      </c>
      <c r="C79" s="36"/>
      <c r="D79" s="36">
        <v>57.0</v>
      </c>
      <c r="E79" s="38">
        <v>110.0</v>
      </c>
      <c r="F79" s="43">
        <f t="shared" si="3"/>
        <v>6270</v>
      </c>
      <c r="G79" s="36" t="s">
        <v>483</v>
      </c>
      <c r="H79" s="36"/>
      <c r="I79" s="36" t="s">
        <v>146</v>
      </c>
      <c r="J79" s="36" t="s">
        <v>49</v>
      </c>
      <c r="K79" s="36"/>
      <c r="L79" s="36"/>
      <c r="M79" s="36"/>
      <c r="N79" s="45"/>
      <c r="O79" s="45">
        <v>46057.0</v>
      </c>
      <c r="P79" s="36"/>
      <c r="Q79" s="36"/>
      <c r="R79" s="36"/>
      <c r="S79" s="36"/>
    </row>
    <row r="80" ht="15.75" customHeight="1">
      <c r="B80" s="34">
        <v>46056.0</v>
      </c>
      <c r="C80" s="50">
        <v>770264.0</v>
      </c>
      <c r="D80" s="36">
        <v>600.0</v>
      </c>
      <c r="E80" s="38">
        <v>85.0</v>
      </c>
      <c r="F80" s="43">
        <f t="shared" si="3"/>
        <v>51000</v>
      </c>
      <c r="G80" s="50" t="s">
        <v>488</v>
      </c>
      <c r="H80" s="50">
        <v>32769.0</v>
      </c>
      <c r="I80" s="36" t="s">
        <v>162</v>
      </c>
      <c r="J80" s="36" t="s">
        <v>162</v>
      </c>
      <c r="K80" s="36"/>
      <c r="L80" s="36"/>
      <c r="M80" s="36">
        <v>31.0</v>
      </c>
      <c r="N80" s="36"/>
      <c r="O80" s="36"/>
      <c r="P80" s="36"/>
      <c r="Q80" s="45">
        <v>46086.0</v>
      </c>
      <c r="R80" s="45">
        <v>46116.0</v>
      </c>
      <c r="S80" s="45">
        <v>46146.0</v>
      </c>
    </row>
    <row r="81" ht="15.75" customHeight="1">
      <c r="B81" s="34">
        <v>46056.0</v>
      </c>
      <c r="C81" s="36">
        <v>4166.0</v>
      </c>
      <c r="D81" s="36">
        <v>20.0</v>
      </c>
      <c r="E81" s="38">
        <v>275.0</v>
      </c>
      <c r="F81" s="43">
        <f t="shared" si="3"/>
        <v>5500</v>
      </c>
      <c r="G81" s="36" t="s">
        <v>490</v>
      </c>
      <c r="H81" s="36" t="s">
        <v>492</v>
      </c>
      <c r="I81" s="36" t="s">
        <v>300</v>
      </c>
      <c r="J81" s="36" t="s">
        <v>40</v>
      </c>
      <c r="K81" s="36"/>
      <c r="L81" s="36" t="s">
        <v>87</v>
      </c>
      <c r="M81" s="36">
        <v>31.0</v>
      </c>
      <c r="N81" s="54"/>
      <c r="O81" s="45">
        <v>46057.0</v>
      </c>
      <c r="P81" s="36"/>
      <c r="Q81" s="36"/>
      <c r="R81" s="36"/>
      <c r="S81" s="36"/>
    </row>
    <row r="82" ht="15.75" customHeight="1">
      <c r="B82" s="34">
        <v>46056.0</v>
      </c>
      <c r="C82" s="36">
        <v>2547.0</v>
      </c>
      <c r="D82" s="36">
        <v>500.0</v>
      </c>
      <c r="E82" s="38">
        <v>87.0</v>
      </c>
      <c r="F82" s="43">
        <f t="shared" si="3"/>
        <v>43500</v>
      </c>
      <c r="G82" s="36" t="s">
        <v>499</v>
      </c>
      <c r="H82" s="36" t="s">
        <v>123</v>
      </c>
      <c r="I82" s="36" t="s">
        <v>59</v>
      </c>
      <c r="J82" s="36" t="s">
        <v>34</v>
      </c>
      <c r="K82" s="36"/>
      <c r="L82" s="36" t="s">
        <v>62</v>
      </c>
      <c r="M82" s="36">
        <v>31.0</v>
      </c>
      <c r="N82" s="36"/>
      <c r="O82" s="36"/>
      <c r="P82" s="36"/>
      <c r="Q82" s="36"/>
      <c r="R82" s="36"/>
      <c r="S82" s="36"/>
    </row>
    <row r="83" ht="15.75" customHeight="1">
      <c r="B83" s="34">
        <v>46056.0</v>
      </c>
      <c r="C83" s="36">
        <v>2548.0</v>
      </c>
      <c r="D83" s="36">
        <v>15.0</v>
      </c>
      <c r="E83" s="38">
        <v>2250.0</v>
      </c>
      <c r="F83" s="43">
        <f t="shared" si="3"/>
        <v>33750</v>
      </c>
      <c r="G83" s="36" t="s">
        <v>507</v>
      </c>
      <c r="H83" s="36" t="s">
        <v>509</v>
      </c>
      <c r="I83" s="36" t="s">
        <v>59</v>
      </c>
      <c r="J83" s="36" t="s">
        <v>34</v>
      </c>
      <c r="K83" s="36"/>
      <c r="L83" s="36" t="s">
        <v>62</v>
      </c>
      <c r="M83" s="36">
        <v>31.0</v>
      </c>
      <c r="N83" s="36"/>
      <c r="O83" s="36"/>
      <c r="P83" s="36"/>
      <c r="Q83" s="36"/>
      <c r="R83" s="36"/>
      <c r="S83" s="36"/>
    </row>
    <row r="84" ht="15.75" customHeight="1">
      <c r="B84" s="34">
        <v>46056.0</v>
      </c>
      <c r="C84" s="36"/>
      <c r="D84" s="36">
        <v>400.0</v>
      </c>
      <c r="E84" s="38">
        <v>33.5</v>
      </c>
      <c r="F84" s="43">
        <f t="shared" si="3"/>
        <v>13400</v>
      </c>
      <c r="G84" s="55" t="s">
        <v>514</v>
      </c>
      <c r="H84" s="53" t="s">
        <v>518</v>
      </c>
      <c r="I84" s="36" t="s">
        <v>32</v>
      </c>
      <c r="J84" s="36" t="s">
        <v>34</v>
      </c>
      <c r="K84" s="36"/>
      <c r="L84" s="36" t="s">
        <v>519</v>
      </c>
      <c r="M84" s="36">
        <v>1.0</v>
      </c>
      <c r="N84" s="36"/>
      <c r="O84" s="36"/>
      <c r="P84" s="36"/>
      <c r="Q84" s="36"/>
      <c r="R84" s="36"/>
      <c r="S84" s="36"/>
    </row>
    <row r="85" ht="15.75" customHeight="1">
      <c r="B85" s="34">
        <v>46056.0</v>
      </c>
      <c r="C85" s="36">
        <v>2362.0</v>
      </c>
      <c r="D85" s="36">
        <v>250.0</v>
      </c>
      <c r="E85" s="38">
        <v>199.0</v>
      </c>
      <c r="F85" s="43">
        <f t="shared" si="3"/>
        <v>49750</v>
      </c>
      <c r="G85" s="36" t="s">
        <v>524</v>
      </c>
      <c r="H85" s="36"/>
      <c r="I85" s="36" t="s">
        <v>32</v>
      </c>
      <c r="J85" s="36" t="s">
        <v>40</v>
      </c>
      <c r="K85" s="36"/>
      <c r="L85" s="36" t="s">
        <v>525</v>
      </c>
      <c r="M85" s="36">
        <v>31.0</v>
      </c>
      <c r="N85" s="36"/>
      <c r="O85" s="36"/>
      <c r="P85" s="36"/>
      <c r="Q85" s="56"/>
      <c r="R85" s="57"/>
      <c r="S85" s="57"/>
    </row>
    <row r="86" ht="15.75" customHeight="1">
      <c r="B86" s="34">
        <v>46057.0</v>
      </c>
      <c r="C86" s="36"/>
      <c r="D86" s="36">
        <v>2.0</v>
      </c>
      <c r="E86" s="38">
        <v>8100.0</v>
      </c>
      <c r="F86" s="43">
        <f t="shared" si="3"/>
        <v>16200</v>
      </c>
      <c r="G86" s="50" t="s">
        <v>531</v>
      </c>
      <c r="H86" s="50"/>
      <c r="I86" s="36" t="s">
        <v>202</v>
      </c>
      <c r="J86" s="36" t="s">
        <v>49</v>
      </c>
      <c r="K86" s="36"/>
      <c r="L86" s="36"/>
      <c r="M86" s="36">
        <v>31.0</v>
      </c>
      <c r="N86" s="45"/>
      <c r="O86" s="45">
        <v>46057.0</v>
      </c>
      <c r="P86" s="45">
        <v>46057.0</v>
      </c>
      <c r="Q86" s="36"/>
      <c r="R86" s="36"/>
      <c r="S86" s="36"/>
    </row>
    <row r="87" ht="15.75" customHeight="1">
      <c r="B87" s="34">
        <v>46057.0</v>
      </c>
      <c r="C87" s="36"/>
      <c r="D87" s="36">
        <v>2.0</v>
      </c>
      <c r="E87" s="38">
        <v>3580.0</v>
      </c>
      <c r="F87" s="43">
        <f t="shared" si="3"/>
        <v>7160</v>
      </c>
      <c r="G87" s="36" t="s">
        <v>536</v>
      </c>
      <c r="H87" s="36"/>
      <c r="I87" s="36" t="s">
        <v>202</v>
      </c>
      <c r="J87" s="36" t="s">
        <v>49</v>
      </c>
      <c r="K87" s="36"/>
      <c r="L87" s="36"/>
      <c r="M87" s="36">
        <v>31.0</v>
      </c>
      <c r="N87" s="45"/>
      <c r="O87" s="45">
        <v>46057.0</v>
      </c>
      <c r="P87" s="45">
        <v>46057.0</v>
      </c>
      <c r="Q87" s="36"/>
      <c r="R87" s="36"/>
      <c r="S87" s="36"/>
    </row>
    <row r="88" ht="15.75" customHeight="1">
      <c r="B88" s="34">
        <v>46057.0</v>
      </c>
      <c r="C88" s="36"/>
      <c r="D88" s="36">
        <v>1.0</v>
      </c>
      <c r="E88" s="38">
        <v>7850.0</v>
      </c>
      <c r="F88" s="43">
        <f t="shared" si="3"/>
        <v>7850</v>
      </c>
      <c r="G88" s="36" t="s">
        <v>539</v>
      </c>
      <c r="H88" s="36"/>
      <c r="I88" s="36" t="s">
        <v>202</v>
      </c>
      <c r="J88" s="36" t="s">
        <v>49</v>
      </c>
      <c r="K88" s="36"/>
      <c r="L88" s="36"/>
      <c r="M88" s="36">
        <v>31.0</v>
      </c>
      <c r="N88" s="45"/>
      <c r="O88" s="45">
        <v>46057.0</v>
      </c>
      <c r="P88" s="45">
        <v>46057.0</v>
      </c>
      <c r="Q88" s="36"/>
      <c r="R88" s="36"/>
      <c r="S88" s="36"/>
    </row>
    <row r="89" ht="15.75" customHeight="1">
      <c r="B89" s="34">
        <v>46057.0</v>
      </c>
      <c r="C89" s="36"/>
      <c r="D89" s="36">
        <v>3.0</v>
      </c>
      <c r="E89" s="38">
        <v>3580.0</v>
      </c>
      <c r="F89" s="43">
        <f t="shared" si="3"/>
        <v>10740</v>
      </c>
      <c r="G89" s="36" t="s">
        <v>542</v>
      </c>
      <c r="H89" s="50"/>
      <c r="I89" s="36" t="s">
        <v>202</v>
      </c>
      <c r="J89" s="36" t="s">
        <v>49</v>
      </c>
      <c r="K89" s="36"/>
      <c r="L89" s="36"/>
      <c r="M89" s="36">
        <v>31.0</v>
      </c>
      <c r="N89" s="45"/>
      <c r="O89" s="45"/>
      <c r="P89" s="45">
        <v>46057.0</v>
      </c>
      <c r="Q89" s="36"/>
      <c r="R89" s="36"/>
      <c r="S89" s="36"/>
    </row>
    <row r="90" ht="15.75" customHeight="1">
      <c r="B90" s="34">
        <v>46057.0</v>
      </c>
      <c r="C90" s="36"/>
      <c r="D90" s="36">
        <v>1.0</v>
      </c>
      <c r="E90" s="38">
        <v>8100.0</v>
      </c>
      <c r="F90" s="43">
        <f t="shared" si="3"/>
        <v>8100</v>
      </c>
      <c r="G90" s="36" t="s">
        <v>531</v>
      </c>
      <c r="H90" s="36"/>
      <c r="I90" s="36" t="s">
        <v>202</v>
      </c>
      <c r="J90" s="36" t="s">
        <v>49</v>
      </c>
      <c r="K90" s="36"/>
      <c r="L90" s="36"/>
      <c r="M90" s="36">
        <v>31.0</v>
      </c>
      <c r="N90" s="45"/>
      <c r="O90" s="45">
        <v>46057.0</v>
      </c>
      <c r="P90" s="45">
        <v>46057.0</v>
      </c>
      <c r="Q90" s="36"/>
      <c r="R90" s="36"/>
      <c r="S90" s="36"/>
    </row>
    <row r="91" ht="15.75" customHeight="1">
      <c r="B91" s="34">
        <v>46057.0</v>
      </c>
      <c r="C91" s="55">
        <v>1120632.0</v>
      </c>
      <c r="D91" s="36">
        <v>5000.0</v>
      </c>
      <c r="E91" s="38">
        <v>19.965</v>
      </c>
      <c r="F91" s="43">
        <f t="shared" si="3"/>
        <v>99825</v>
      </c>
      <c r="G91" s="55" t="s">
        <v>549</v>
      </c>
      <c r="H91" s="53" t="s">
        <v>550</v>
      </c>
      <c r="I91" s="36" t="s">
        <v>66</v>
      </c>
      <c r="J91" s="36" t="s">
        <v>162</v>
      </c>
      <c r="K91" s="36"/>
      <c r="L91" s="36" t="s">
        <v>552</v>
      </c>
      <c r="M91" s="36">
        <v>31.0</v>
      </c>
      <c r="N91" s="36"/>
      <c r="O91" s="36"/>
      <c r="P91" s="36"/>
      <c r="Q91" s="36" t="s">
        <v>554</v>
      </c>
      <c r="R91" s="36" t="s">
        <v>554</v>
      </c>
      <c r="S91" s="36" t="s">
        <v>554</v>
      </c>
    </row>
    <row r="92" ht="15.75" customHeight="1">
      <c r="B92" s="34">
        <v>46057.0</v>
      </c>
      <c r="C92" s="36">
        <v>4478.0</v>
      </c>
      <c r="D92" s="36">
        <v>100.0</v>
      </c>
      <c r="E92" s="38">
        <v>10.2</v>
      </c>
      <c r="F92" s="43">
        <f t="shared" si="3"/>
        <v>1020</v>
      </c>
      <c r="G92" s="36" t="s">
        <v>560</v>
      </c>
      <c r="H92" s="36" t="s">
        <v>561</v>
      </c>
      <c r="I92" s="36" t="s">
        <v>562</v>
      </c>
      <c r="J92" s="36" t="s">
        <v>162</v>
      </c>
      <c r="K92" s="36" t="s">
        <v>563</v>
      </c>
      <c r="L92" s="36" t="s">
        <v>564</v>
      </c>
      <c r="M92" s="36">
        <v>1.0</v>
      </c>
      <c r="N92" s="36"/>
      <c r="O92" s="36"/>
      <c r="P92" s="36"/>
      <c r="Q92" s="36"/>
      <c r="R92" s="36"/>
      <c r="S92" s="36"/>
    </row>
    <row r="93" ht="15.75" customHeight="1">
      <c r="B93" s="34">
        <v>46057.0</v>
      </c>
      <c r="C93" s="36">
        <v>4289.0</v>
      </c>
      <c r="D93" s="36">
        <v>500.0</v>
      </c>
      <c r="E93" s="38">
        <v>6.3</v>
      </c>
      <c r="F93" s="43">
        <f t="shared" si="3"/>
        <v>3150</v>
      </c>
      <c r="G93" s="36" t="s">
        <v>570</v>
      </c>
      <c r="H93" s="36" t="s">
        <v>572</v>
      </c>
      <c r="I93" s="36" t="s">
        <v>106</v>
      </c>
      <c r="J93" s="36" t="s">
        <v>162</v>
      </c>
      <c r="K93" s="36" t="s">
        <v>295</v>
      </c>
      <c r="L93" s="36" t="s">
        <v>87</v>
      </c>
      <c r="M93" s="36">
        <v>1.0</v>
      </c>
      <c r="N93" s="36"/>
      <c r="O93" s="36"/>
      <c r="P93" s="36"/>
      <c r="Q93" s="36"/>
      <c r="R93" s="36"/>
      <c r="S93" s="36"/>
    </row>
    <row r="94" ht="15.75" customHeight="1">
      <c r="B94" s="34">
        <v>46057.0</v>
      </c>
      <c r="C94" s="36">
        <v>1599.0</v>
      </c>
      <c r="D94" s="36">
        <v>40.0</v>
      </c>
      <c r="E94" s="38">
        <v>166.5</v>
      </c>
      <c r="F94" s="43">
        <f t="shared" si="3"/>
        <v>6660</v>
      </c>
      <c r="G94" s="36" t="s">
        <v>575</v>
      </c>
      <c r="H94" s="36" t="s">
        <v>577</v>
      </c>
      <c r="I94" s="36" t="s">
        <v>146</v>
      </c>
      <c r="J94" s="36" t="s">
        <v>49</v>
      </c>
      <c r="K94" s="36"/>
      <c r="L94" s="36" t="s">
        <v>62</v>
      </c>
      <c r="M94" s="36">
        <v>31.0</v>
      </c>
      <c r="N94" s="54"/>
      <c r="O94" s="45">
        <v>46057.0</v>
      </c>
      <c r="P94" s="36"/>
      <c r="Q94" s="36"/>
      <c r="R94" s="36"/>
      <c r="S94" s="36"/>
    </row>
    <row r="95" ht="15.75" customHeight="1">
      <c r="B95" s="34">
        <v>46057.0</v>
      </c>
      <c r="C95" s="36">
        <v>4358.0</v>
      </c>
      <c r="D95" s="36">
        <v>40.0</v>
      </c>
      <c r="E95" s="38">
        <v>265.0</v>
      </c>
      <c r="F95" s="43">
        <f t="shared" si="3"/>
        <v>10600</v>
      </c>
      <c r="G95" s="36" t="s">
        <v>143</v>
      </c>
      <c r="H95" s="36" t="s">
        <v>580</v>
      </c>
      <c r="I95" s="36" t="s">
        <v>146</v>
      </c>
      <c r="J95" s="36" t="s">
        <v>49</v>
      </c>
      <c r="K95" s="36"/>
      <c r="L95" s="36" t="s">
        <v>87</v>
      </c>
      <c r="M95" s="36">
        <v>31.0</v>
      </c>
      <c r="N95" s="36"/>
      <c r="O95" s="36">
        <v>46057.0</v>
      </c>
      <c r="P95" s="36"/>
      <c r="Q95" s="36"/>
      <c r="R95" s="36"/>
      <c r="S95" s="36"/>
    </row>
    <row r="96" ht="15.75" customHeight="1">
      <c r="B96" s="34">
        <v>46057.0</v>
      </c>
      <c r="C96" s="36">
        <v>4358.0</v>
      </c>
      <c r="D96" s="36">
        <v>100.0</v>
      </c>
      <c r="E96" s="38">
        <v>410.0</v>
      </c>
      <c r="F96" s="43">
        <f t="shared" si="3"/>
        <v>41000</v>
      </c>
      <c r="G96" s="36" t="s">
        <v>583</v>
      </c>
      <c r="H96" s="36" t="s">
        <v>584</v>
      </c>
      <c r="I96" s="36" t="s">
        <v>146</v>
      </c>
      <c r="J96" s="36" t="s">
        <v>49</v>
      </c>
      <c r="K96" s="36"/>
      <c r="L96" s="36" t="s">
        <v>87</v>
      </c>
      <c r="M96" s="36">
        <v>31.0</v>
      </c>
      <c r="N96" s="36"/>
      <c r="O96" s="36">
        <v>46057.0</v>
      </c>
      <c r="P96" s="36"/>
      <c r="Q96" s="36"/>
      <c r="R96" s="36"/>
      <c r="S96" s="36"/>
    </row>
    <row r="97" ht="15.75" customHeight="1">
      <c r="B97" s="34">
        <v>46057.0</v>
      </c>
      <c r="C97" s="36">
        <v>4358.0</v>
      </c>
      <c r="D97" s="36">
        <v>100.0</v>
      </c>
      <c r="E97" s="38">
        <v>300.0</v>
      </c>
      <c r="F97" s="43">
        <f t="shared" si="3"/>
        <v>30000</v>
      </c>
      <c r="G97" s="36" t="s">
        <v>143</v>
      </c>
      <c r="H97" s="36" t="s">
        <v>590</v>
      </c>
      <c r="I97" s="36" t="s">
        <v>146</v>
      </c>
      <c r="J97" s="36" t="s">
        <v>49</v>
      </c>
      <c r="K97" s="36"/>
      <c r="L97" s="36" t="s">
        <v>87</v>
      </c>
      <c r="M97" s="36">
        <v>31.0</v>
      </c>
      <c r="N97" s="56"/>
      <c r="O97" s="45">
        <v>46057.0</v>
      </c>
      <c r="P97" s="36"/>
      <c r="Q97" s="36"/>
      <c r="R97" s="36"/>
      <c r="S97" s="36"/>
    </row>
    <row r="98" ht="15.75" customHeight="1">
      <c r="B98" s="34">
        <v>46057.0</v>
      </c>
      <c r="C98" s="36"/>
      <c r="D98" s="36">
        <v>1000.0</v>
      </c>
      <c r="E98" s="38">
        <v>98.0</v>
      </c>
      <c r="F98" s="43">
        <f t="shared" si="3"/>
        <v>98000</v>
      </c>
      <c r="G98" s="36" t="s">
        <v>595</v>
      </c>
      <c r="H98" s="36"/>
      <c r="I98" s="36" t="s">
        <v>146</v>
      </c>
      <c r="J98" s="36" t="s">
        <v>49</v>
      </c>
      <c r="K98" s="36"/>
      <c r="L98" s="36" t="s">
        <v>597</v>
      </c>
      <c r="M98" s="36">
        <v>31.0</v>
      </c>
      <c r="N98" s="45"/>
      <c r="O98" s="45">
        <v>46057.0</v>
      </c>
      <c r="P98" s="45">
        <v>46057.0</v>
      </c>
      <c r="Q98" s="36"/>
      <c r="R98" s="36"/>
      <c r="S98" s="36"/>
    </row>
    <row r="99" ht="15.75" customHeight="1">
      <c r="B99" s="34">
        <v>46058.0</v>
      </c>
      <c r="C99" s="36">
        <v>69881.0</v>
      </c>
      <c r="D99" s="36">
        <v>300.0</v>
      </c>
      <c r="E99" s="38">
        <v>52.91</v>
      </c>
      <c r="F99" s="43">
        <f t="shared" si="3"/>
        <v>15873</v>
      </c>
      <c r="G99" s="36" t="s">
        <v>603</v>
      </c>
      <c r="H99" s="53" t="s">
        <v>604</v>
      </c>
      <c r="I99" s="36" t="s">
        <v>48</v>
      </c>
      <c r="J99" s="36" t="s">
        <v>162</v>
      </c>
      <c r="K99" s="36"/>
      <c r="L99" s="36" t="s">
        <v>519</v>
      </c>
      <c r="M99" s="36">
        <v>31.0</v>
      </c>
      <c r="N99" s="36"/>
      <c r="O99" s="45">
        <v>46071.0</v>
      </c>
      <c r="P99" s="45">
        <v>46058.0</v>
      </c>
      <c r="Q99" s="36"/>
      <c r="R99" s="36"/>
      <c r="S99" s="36"/>
    </row>
    <row r="100" ht="15.75" customHeight="1">
      <c r="B100" s="34">
        <v>46058.0</v>
      </c>
      <c r="C100" s="36"/>
      <c r="D100" s="36"/>
      <c r="E100" s="38"/>
      <c r="F100" s="43">
        <v>84.0</v>
      </c>
      <c r="G100" s="36" t="s">
        <v>608</v>
      </c>
      <c r="H100" s="36"/>
      <c r="I100" s="36" t="s">
        <v>202</v>
      </c>
      <c r="J100" s="36" t="s">
        <v>609</v>
      </c>
      <c r="K100" s="36" t="s">
        <v>611</v>
      </c>
      <c r="L100" s="36"/>
      <c r="M100" s="36"/>
      <c r="N100" s="36"/>
      <c r="O100" s="36"/>
      <c r="P100" s="45">
        <v>46058.0</v>
      </c>
      <c r="Q100" s="36"/>
      <c r="R100" s="36"/>
      <c r="S100" s="36"/>
    </row>
    <row r="101" ht="15.75" customHeight="1">
      <c r="B101" s="34">
        <v>46058.0</v>
      </c>
      <c r="C101" s="36"/>
      <c r="D101" s="36">
        <v>1.0</v>
      </c>
      <c r="E101" s="38">
        <v>5450.0</v>
      </c>
      <c r="F101" s="43">
        <f t="shared" ref="F101:F115" si="4">E101*D101</f>
        <v>5450</v>
      </c>
      <c r="G101" s="50" t="s">
        <v>618</v>
      </c>
      <c r="H101" s="50"/>
      <c r="I101" s="36" t="s">
        <v>202</v>
      </c>
      <c r="J101" s="36" t="s">
        <v>49</v>
      </c>
      <c r="K101" s="36"/>
      <c r="L101" s="36"/>
      <c r="M101" s="36">
        <v>31.0</v>
      </c>
      <c r="N101" s="36"/>
      <c r="O101" s="36"/>
      <c r="P101" s="45">
        <v>46058.0</v>
      </c>
      <c r="Q101" s="36"/>
      <c r="R101" s="36"/>
      <c r="S101" s="36"/>
    </row>
    <row r="102" ht="15.0" customHeight="1">
      <c r="B102" s="34">
        <v>46058.0</v>
      </c>
      <c r="C102" s="36"/>
      <c r="D102" s="36">
        <v>1.0</v>
      </c>
      <c r="E102" s="38">
        <v>8950.0</v>
      </c>
      <c r="F102" s="43">
        <f t="shared" si="4"/>
        <v>8950</v>
      </c>
      <c r="G102" s="36" t="s">
        <v>621</v>
      </c>
      <c r="H102" s="36"/>
      <c r="I102" s="36" t="s">
        <v>202</v>
      </c>
      <c r="J102" s="36" t="s">
        <v>49</v>
      </c>
      <c r="K102" s="36"/>
      <c r="L102" s="36"/>
      <c r="M102" s="36">
        <v>31.0</v>
      </c>
      <c r="N102" s="36"/>
      <c r="O102" s="36"/>
      <c r="P102" s="36"/>
      <c r="Q102" s="36"/>
      <c r="R102" s="36"/>
      <c r="S102" s="36"/>
    </row>
    <row r="103" ht="18.0" customHeight="1">
      <c r="B103" s="34">
        <v>46058.0</v>
      </c>
      <c r="C103" s="36">
        <v>7.0</v>
      </c>
      <c r="D103" s="36">
        <v>10.0</v>
      </c>
      <c r="E103" s="38">
        <v>399.0</v>
      </c>
      <c r="F103" s="43">
        <f t="shared" si="4"/>
        <v>3990</v>
      </c>
      <c r="G103" s="55" t="s">
        <v>579</v>
      </c>
      <c r="H103" s="53">
        <v>2.000000000116E12</v>
      </c>
      <c r="I103" s="36" t="s">
        <v>270</v>
      </c>
      <c r="J103" s="36" t="s">
        <v>49</v>
      </c>
      <c r="K103" s="36"/>
      <c r="L103" s="36" t="s">
        <v>625</v>
      </c>
      <c r="M103" s="36">
        <v>1.0</v>
      </c>
      <c r="N103" s="36"/>
      <c r="O103" s="45">
        <v>45706.0</v>
      </c>
      <c r="P103" s="36"/>
      <c r="Q103" s="36" t="s">
        <v>628</v>
      </c>
      <c r="R103" s="36" t="s">
        <v>629</v>
      </c>
      <c r="S103" s="36" t="s">
        <v>632</v>
      </c>
    </row>
    <row r="104" ht="27.75" customHeight="1">
      <c r="B104" s="34">
        <v>46058.0</v>
      </c>
      <c r="C104" s="36">
        <v>1664.0</v>
      </c>
      <c r="D104" s="36">
        <v>50.0</v>
      </c>
      <c r="E104" s="38">
        <v>90.0</v>
      </c>
      <c r="F104" s="43">
        <f t="shared" si="4"/>
        <v>4500</v>
      </c>
      <c r="G104" s="36" t="s">
        <v>635</v>
      </c>
      <c r="H104" s="36" t="s">
        <v>636</v>
      </c>
      <c r="I104" s="36" t="s">
        <v>270</v>
      </c>
      <c r="J104" s="36" t="s">
        <v>49</v>
      </c>
      <c r="K104" s="36"/>
      <c r="L104" s="36" t="s">
        <v>637</v>
      </c>
      <c r="M104" s="36">
        <v>31.0</v>
      </c>
      <c r="N104" s="36"/>
      <c r="O104" s="36"/>
      <c r="P104" s="36"/>
      <c r="Q104" s="36"/>
      <c r="R104" s="36"/>
      <c r="S104" s="36"/>
    </row>
    <row r="105" ht="15.75" customHeight="1">
      <c r="B105" s="34">
        <v>46058.0</v>
      </c>
      <c r="C105" s="36">
        <v>1664.0</v>
      </c>
      <c r="D105" s="36">
        <v>50.0</v>
      </c>
      <c r="E105" s="38">
        <v>90.0</v>
      </c>
      <c r="F105" s="43">
        <f t="shared" si="4"/>
        <v>4500</v>
      </c>
      <c r="G105" s="36" t="s">
        <v>635</v>
      </c>
      <c r="H105" s="36" t="s">
        <v>636</v>
      </c>
      <c r="I105" s="36" t="s">
        <v>270</v>
      </c>
      <c r="J105" s="36" t="s">
        <v>162</v>
      </c>
      <c r="K105" s="36"/>
      <c r="L105" s="36" t="s">
        <v>637</v>
      </c>
      <c r="M105" s="36">
        <v>31.0</v>
      </c>
      <c r="N105" s="36"/>
      <c r="O105" s="36"/>
      <c r="P105" s="36"/>
      <c r="Q105" s="36"/>
      <c r="R105" s="36"/>
      <c r="S105" s="36"/>
    </row>
    <row r="106" ht="15.75" customHeight="1">
      <c r="B106" s="34">
        <v>46058.0</v>
      </c>
      <c r="C106" s="36">
        <v>737.0</v>
      </c>
      <c r="D106" s="36">
        <v>1.0</v>
      </c>
      <c r="E106" s="38">
        <v>276.5</v>
      </c>
      <c r="F106" s="43">
        <f t="shared" si="4"/>
        <v>276.5</v>
      </c>
      <c r="G106" s="36" t="s">
        <v>644</v>
      </c>
      <c r="H106" s="36" t="s">
        <v>645</v>
      </c>
      <c r="I106" s="36" t="s">
        <v>270</v>
      </c>
      <c r="J106" s="36" t="s">
        <v>49</v>
      </c>
      <c r="K106" s="36" t="s">
        <v>647</v>
      </c>
      <c r="L106" s="36" t="s">
        <v>648</v>
      </c>
      <c r="M106" s="36">
        <v>1.0</v>
      </c>
      <c r="N106" s="36"/>
      <c r="O106" s="36"/>
      <c r="P106" s="36"/>
      <c r="Q106" s="36"/>
      <c r="R106" s="36"/>
      <c r="S106" s="36"/>
    </row>
    <row r="107" ht="15.75" customHeight="1">
      <c r="B107" s="34">
        <v>46058.0</v>
      </c>
      <c r="C107" s="36">
        <v>737.0</v>
      </c>
      <c r="D107" s="36">
        <v>1.0</v>
      </c>
      <c r="E107" s="38">
        <v>252.0</v>
      </c>
      <c r="F107" s="43">
        <f t="shared" si="4"/>
        <v>252</v>
      </c>
      <c r="G107" s="36" t="s">
        <v>644</v>
      </c>
      <c r="H107" s="36" t="s">
        <v>652</v>
      </c>
      <c r="I107" s="36" t="s">
        <v>270</v>
      </c>
      <c r="J107" s="36" t="s">
        <v>49</v>
      </c>
      <c r="K107" s="36" t="s">
        <v>647</v>
      </c>
      <c r="L107" s="36" t="s">
        <v>648</v>
      </c>
      <c r="M107" s="36">
        <v>1.0</v>
      </c>
      <c r="N107" s="36"/>
      <c r="O107" s="36"/>
      <c r="P107" s="36"/>
      <c r="Q107" s="36"/>
      <c r="R107" s="36"/>
      <c r="S107" s="36"/>
    </row>
    <row r="108" ht="15.75" customHeight="1">
      <c r="B108" s="34">
        <v>46058.0</v>
      </c>
      <c r="C108" s="36">
        <v>737.0</v>
      </c>
      <c r="D108" s="36">
        <v>1.0</v>
      </c>
      <c r="E108" s="38">
        <v>343.0</v>
      </c>
      <c r="F108" s="43">
        <f t="shared" si="4"/>
        <v>343</v>
      </c>
      <c r="G108" s="36" t="s">
        <v>644</v>
      </c>
      <c r="H108" s="36" t="s">
        <v>657</v>
      </c>
      <c r="I108" s="36" t="s">
        <v>270</v>
      </c>
      <c r="J108" s="36" t="s">
        <v>49</v>
      </c>
      <c r="K108" s="36" t="s">
        <v>647</v>
      </c>
      <c r="L108" s="36" t="s">
        <v>648</v>
      </c>
      <c r="M108" s="36">
        <v>1.0</v>
      </c>
      <c r="N108" s="36"/>
      <c r="O108" s="36"/>
      <c r="P108" s="36"/>
      <c r="Q108" s="36"/>
      <c r="R108" s="36"/>
      <c r="S108" s="36"/>
    </row>
    <row r="109" ht="15.75" customHeight="1">
      <c r="B109" s="34">
        <v>46058.0</v>
      </c>
      <c r="C109" s="36">
        <v>737.0</v>
      </c>
      <c r="D109" s="36">
        <v>1.0</v>
      </c>
      <c r="E109" s="38">
        <v>244.0</v>
      </c>
      <c r="F109" s="43">
        <f t="shared" si="4"/>
        <v>244</v>
      </c>
      <c r="G109" s="50" t="s">
        <v>644</v>
      </c>
      <c r="H109" s="36" t="s">
        <v>664</v>
      </c>
      <c r="I109" s="50" t="s">
        <v>270</v>
      </c>
      <c r="J109" s="36" t="s">
        <v>49</v>
      </c>
      <c r="K109" s="36" t="s">
        <v>647</v>
      </c>
      <c r="L109" s="36" t="s">
        <v>648</v>
      </c>
      <c r="M109" s="36">
        <v>1.0</v>
      </c>
      <c r="N109" s="36"/>
      <c r="O109" s="36"/>
      <c r="P109" s="36"/>
      <c r="Q109" s="36"/>
      <c r="R109" s="36"/>
      <c r="S109" s="36"/>
    </row>
    <row r="110" ht="15.75" customHeight="1">
      <c r="B110" s="34">
        <v>46058.0</v>
      </c>
      <c r="C110" s="36">
        <v>737.0</v>
      </c>
      <c r="D110" s="36">
        <v>1.0</v>
      </c>
      <c r="E110" s="38">
        <v>288.0</v>
      </c>
      <c r="F110" s="43">
        <f t="shared" si="4"/>
        <v>288</v>
      </c>
      <c r="G110" s="36" t="s">
        <v>644</v>
      </c>
      <c r="H110" s="36" t="s">
        <v>669</v>
      </c>
      <c r="I110" s="36" t="s">
        <v>270</v>
      </c>
      <c r="J110" s="36" t="s">
        <v>49</v>
      </c>
      <c r="K110" s="36" t="s">
        <v>647</v>
      </c>
      <c r="L110" s="36" t="s">
        <v>648</v>
      </c>
      <c r="M110" s="36">
        <v>1.0</v>
      </c>
      <c r="N110" s="36"/>
      <c r="O110" s="36"/>
      <c r="P110" s="36"/>
      <c r="Q110" s="36"/>
      <c r="R110" s="36"/>
      <c r="S110" s="36"/>
    </row>
    <row r="111" ht="15.75" customHeight="1">
      <c r="B111" s="34">
        <v>46058.0</v>
      </c>
      <c r="C111" s="36">
        <v>737.0</v>
      </c>
      <c r="D111" s="36">
        <v>1.0</v>
      </c>
      <c r="E111" s="38">
        <v>344.0</v>
      </c>
      <c r="F111" s="43">
        <f t="shared" si="4"/>
        <v>344</v>
      </c>
      <c r="G111" s="36" t="s">
        <v>644</v>
      </c>
      <c r="H111" s="36" t="s">
        <v>674</v>
      </c>
      <c r="I111" s="36" t="s">
        <v>270</v>
      </c>
      <c r="J111" s="36" t="s">
        <v>49</v>
      </c>
      <c r="K111" s="36" t="s">
        <v>647</v>
      </c>
      <c r="L111" s="36" t="s">
        <v>648</v>
      </c>
      <c r="M111" s="36">
        <v>1.0</v>
      </c>
      <c r="N111" s="36"/>
      <c r="O111" s="36"/>
      <c r="P111" s="36"/>
      <c r="Q111" s="36"/>
      <c r="R111" s="36"/>
      <c r="S111" s="36"/>
    </row>
    <row r="112" ht="15.75" customHeight="1">
      <c r="B112" s="34">
        <v>46058.0</v>
      </c>
      <c r="C112" s="36">
        <v>737.0</v>
      </c>
      <c r="D112" s="36">
        <v>1.0</v>
      </c>
      <c r="E112" s="38">
        <v>360.0</v>
      </c>
      <c r="F112" s="43">
        <f t="shared" si="4"/>
        <v>360</v>
      </c>
      <c r="G112" s="36" t="s">
        <v>644</v>
      </c>
      <c r="H112" s="36" t="s">
        <v>681</v>
      </c>
      <c r="I112" s="36" t="s">
        <v>270</v>
      </c>
      <c r="J112" s="36" t="s">
        <v>49</v>
      </c>
      <c r="K112" s="36" t="s">
        <v>647</v>
      </c>
      <c r="L112" s="36" t="s">
        <v>648</v>
      </c>
      <c r="M112" s="36">
        <v>1.0</v>
      </c>
      <c r="N112" s="36"/>
      <c r="O112" s="36"/>
      <c r="P112" s="36"/>
      <c r="Q112" s="36"/>
      <c r="R112" s="36"/>
      <c r="S112" s="36"/>
    </row>
    <row r="113" ht="15.75" customHeight="1">
      <c r="B113" s="34">
        <v>46058.0</v>
      </c>
      <c r="C113" s="36">
        <v>770625.0</v>
      </c>
      <c r="D113" s="36">
        <v>20.0</v>
      </c>
      <c r="E113" s="38">
        <v>1538.7254</v>
      </c>
      <c r="F113" s="43">
        <f t="shared" si="4"/>
        <v>30774.508</v>
      </c>
      <c r="G113" s="36" t="s">
        <v>682</v>
      </c>
      <c r="H113" s="36" t="s">
        <v>683</v>
      </c>
      <c r="I113" s="36" t="s">
        <v>270</v>
      </c>
      <c r="J113" s="36" t="s">
        <v>49</v>
      </c>
      <c r="K113" s="36"/>
      <c r="L113" s="36" t="s">
        <v>68</v>
      </c>
      <c r="M113" s="36">
        <v>31.0</v>
      </c>
      <c r="N113" s="36"/>
      <c r="O113" s="36"/>
      <c r="P113" s="36"/>
      <c r="Q113" s="45">
        <v>46089.0</v>
      </c>
      <c r="R113" s="45">
        <v>46119.0</v>
      </c>
      <c r="S113" s="45">
        <v>46149.0</v>
      </c>
    </row>
    <row r="114" ht="15.75" customHeight="1">
      <c r="B114" s="34">
        <v>46058.0</v>
      </c>
      <c r="C114" s="36">
        <v>1658.0</v>
      </c>
      <c r="D114" s="36">
        <v>10.0</v>
      </c>
      <c r="E114" s="38">
        <v>414.0</v>
      </c>
      <c r="F114" s="43">
        <f t="shared" si="4"/>
        <v>4140</v>
      </c>
      <c r="G114" s="36" t="s">
        <v>380</v>
      </c>
      <c r="H114" s="36" t="s">
        <v>687</v>
      </c>
      <c r="I114" s="36" t="s">
        <v>146</v>
      </c>
      <c r="J114" s="36" t="s">
        <v>49</v>
      </c>
      <c r="K114" s="36"/>
      <c r="L114" s="36" t="s">
        <v>688</v>
      </c>
      <c r="M114" s="36">
        <v>31.0</v>
      </c>
      <c r="N114" s="56"/>
      <c r="O114" s="45">
        <v>46058.0</v>
      </c>
      <c r="P114" s="36"/>
      <c r="Q114" s="36"/>
      <c r="R114" s="36"/>
      <c r="S114" s="36"/>
    </row>
    <row r="115" ht="15.75" customHeight="1">
      <c r="B115" s="34">
        <v>46058.0</v>
      </c>
      <c r="C115" s="36">
        <v>4492.0</v>
      </c>
      <c r="D115" s="36">
        <v>300.0</v>
      </c>
      <c r="E115" s="38">
        <v>32.0</v>
      </c>
      <c r="F115" s="43">
        <f t="shared" si="4"/>
        <v>9600</v>
      </c>
      <c r="G115" s="36" t="s">
        <v>690</v>
      </c>
      <c r="H115" s="36" t="s">
        <v>692</v>
      </c>
      <c r="I115" s="36" t="s">
        <v>694</v>
      </c>
      <c r="J115" s="36" t="s">
        <v>49</v>
      </c>
      <c r="K115" s="36"/>
      <c r="L115" s="36" t="s">
        <v>150</v>
      </c>
      <c r="M115" s="36">
        <v>1.0</v>
      </c>
      <c r="N115" s="36"/>
      <c r="O115" s="36"/>
      <c r="P115" s="36"/>
      <c r="Q115" s="36"/>
      <c r="R115" s="36"/>
      <c r="S115" s="36"/>
    </row>
    <row r="116" ht="15.75" customHeight="1">
      <c r="B116" s="34">
        <v>46058.0</v>
      </c>
      <c r="C116" s="36"/>
      <c r="D116" s="36">
        <v>8.0</v>
      </c>
      <c r="E116" s="38">
        <f>F116/D116</f>
        <v>999.9</v>
      </c>
      <c r="F116" s="43">
        <v>7999.2</v>
      </c>
      <c r="G116" s="36" t="s">
        <v>702</v>
      </c>
      <c r="H116" s="36">
        <v>40402.0</v>
      </c>
      <c r="I116" s="36" t="s">
        <v>703</v>
      </c>
      <c r="J116" s="36" t="s">
        <v>49</v>
      </c>
      <c r="K116" s="36" t="s">
        <v>705</v>
      </c>
      <c r="L116" s="36" t="s">
        <v>708</v>
      </c>
      <c r="M116" s="36">
        <v>1.0</v>
      </c>
      <c r="N116" s="36"/>
      <c r="O116" s="36"/>
      <c r="P116" s="36"/>
      <c r="Q116" s="36"/>
      <c r="R116" s="36"/>
      <c r="S116" s="36"/>
    </row>
    <row r="117" ht="15.75" customHeight="1">
      <c r="B117" s="34">
        <v>46058.0</v>
      </c>
      <c r="C117" s="36">
        <v>737.0</v>
      </c>
      <c r="D117" s="36">
        <v>1.0</v>
      </c>
      <c r="E117" s="38">
        <v>276.5</v>
      </c>
      <c r="F117" s="36">
        <v>276.5</v>
      </c>
      <c r="G117" s="36" t="s">
        <v>713</v>
      </c>
      <c r="H117" s="36"/>
      <c r="I117" s="36" t="s">
        <v>300</v>
      </c>
      <c r="J117" s="36" t="s">
        <v>34</v>
      </c>
      <c r="K117" s="36"/>
      <c r="L117" s="36" t="s">
        <v>151</v>
      </c>
      <c r="M117" s="36">
        <v>1.0</v>
      </c>
      <c r="N117" s="36"/>
      <c r="O117" s="36"/>
      <c r="P117" s="36"/>
      <c r="Q117" s="36"/>
      <c r="R117" s="36"/>
      <c r="S117" s="36"/>
    </row>
    <row r="118" ht="15.75" customHeight="1">
      <c r="B118" s="34">
        <v>46058.0</v>
      </c>
      <c r="C118" s="36">
        <v>737.0</v>
      </c>
      <c r="D118" s="36">
        <v>1.0</v>
      </c>
      <c r="E118" s="38">
        <v>252.0</v>
      </c>
      <c r="F118" s="36">
        <v>252.0</v>
      </c>
      <c r="G118" s="36" t="s">
        <v>716</v>
      </c>
      <c r="H118" s="36"/>
      <c r="I118" s="36" t="s">
        <v>300</v>
      </c>
      <c r="J118" s="36" t="s">
        <v>34</v>
      </c>
      <c r="K118" s="36"/>
      <c r="L118" s="36" t="s">
        <v>151</v>
      </c>
      <c r="M118" s="36">
        <v>1.0</v>
      </c>
      <c r="N118" s="36"/>
      <c r="O118" s="36"/>
      <c r="P118" s="36"/>
      <c r="Q118" s="36"/>
      <c r="R118" s="36"/>
      <c r="S118" s="36"/>
    </row>
    <row r="119" ht="15.75" customHeight="1">
      <c r="B119" s="34">
        <v>46058.0</v>
      </c>
      <c r="C119" s="36">
        <v>737.0</v>
      </c>
      <c r="D119" s="36">
        <v>1.0</v>
      </c>
      <c r="E119" s="38">
        <v>343.0</v>
      </c>
      <c r="F119" s="36">
        <v>343.0</v>
      </c>
      <c r="G119" s="36" t="s">
        <v>720</v>
      </c>
      <c r="H119" s="36"/>
      <c r="I119" s="36" t="s">
        <v>300</v>
      </c>
      <c r="J119" s="36" t="s">
        <v>34</v>
      </c>
      <c r="K119" s="36"/>
      <c r="L119" s="36" t="s">
        <v>151</v>
      </c>
      <c r="M119" s="36">
        <v>1.0</v>
      </c>
      <c r="N119" s="36"/>
      <c r="O119" s="36"/>
      <c r="P119" s="36"/>
      <c r="Q119" s="36"/>
      <c r="R119" s="36"/>
      <c r="S119" s="36"/>
    </row>
    <row r="120" ht="15.75" customHeight="1">
      <c r="B120" s="34">
        <v>46058.0</v>
      </c>
      <c r="C120" s="36">
        <v>737.0</v>
      </c>
      <c r="D120" s="36">
        <v>1.0</v>
      </c>
      <c r="E120" s="38">
        <v>244.0</v>
      </c>
      <c r="F120" s="36">
        <v>244.0</v>
      </c>
      <c r="G120" s="36" t="s">
        <v>727</v>
      </c>
      <c r="H120" s="36"/>
      <c r="I120" s="36" t="s">
        <v>300</v>
      </c>
      <c r="J120" s="36" t="s">
        <v>34</v>
      </c>
      <c r="K120" s="36"/>
      <c r="L120" s="36" t="s">
        <v>151</v>
      </c>
      <c r="M120" s="36">
        <v>1.0</v>
      </c>
      <c r="N120" s="36"/>
      <c r="O120" s="36"/>
      <c r="P120" s="36"/>
      <c r="Q120" s="36"/>
      <c r="R120" s="36"/>
      <c r="S120" s="36"/>
    </row>
    <row r="121" ht="15.75" customHeight="1">
      <c r="B121" s="34">
        <v>46058.0</v>
      </c>
      <c r="C121" s="36">
        <v>737.0</v>
      </c>
      <c r="D121" s="36">
        <v>1.0</v>
      </c>
      <c r="E121" s="38">
        <v>288.0</v>
      </c>
      <c r="F121" s="36">
        <v>288.0</v>
      </c>
      <c r="G121" s="36" t="s">
        <v>729</v>
      </c>
      <c r="H121" s="36"/>
      <c r="I121" s="36" t="s">
        <v>300</v>
      </c>
      <c r="J121" s="36" t="s">
        <v>34</v>
      </c>
      <c r="K121" s="36"/>
      <c r="L121" s="36" t="s">
        <v>151</v>
      </c>
      <c r="M121" s="36">
        <v>1.0</v>
      </c>
      <c r="N121" s="36"/>
      <c r="O121" s="36"/>
      <c r="P121" s="36"/>
      <c r="Q121" s="36"/>
      <c r="R121" s="36"/>
      <c r="S121" s="36"/>
    </row>
    <row r="122" ht="15.75" customHeight="1">
      <c r="B122" s="34">
        <v>46058.0</v>
      </c>
      <c r="C122" s="36">
        <v>737.0</v>
      </c>
      <c r="D122" s="36">
        <v>1.0</v>
      </c>
      <c r="E122" s="38">
        <v>344.0</v>
      </c>
      <c r="F122" s="36">
        <v>344.0</v>
      </c>
      <c r="G122" s="36" t="s">
        <v>733</v>
      </c>
      <c r="H122" s="36"/>
      <c r="I122" s="36" t="s">
        <v>300</v>
      </c>
      <c r="J122" s="36" t="s">
        <v>34</v>
      </c>
      <c r="K122" s="36"/>
      <c r="L122" s="36" t="s">
        <v>151</v>
      </c>
      <c r="M122" s="36">
        <v>1.0</v>
      </c>
      <c r="N122" s="36"/>
      <c r="O122" s="36"/>
      <c r="P122" s="36"/>
      <c r="Q122" s="36"/>
      <c r="R122" s="36"/>
      <c r="S122" s="36"/>
    </row>
    <row r="123" ht="15.75" customHeight="1">
      <c r="B123" s="34">
        <v>46058.0</v>
      </c>
      <c r="C123" s="36">
        <v>737.0</v>
      </c>
      <c r="D123" s="36">
        <v>1.0</v>
      </c>
      <c r="E123" s="38">
        <v>360.0</v>
      </c>
      <c r="F123" s="36">
        <v>360.0</v>
      </c>
      <c r="G123" s="36" t="s">
        <v>450</v>
      </c>
      <c r="H123" s="36"/>
      <c r="I123" s="36" t="s">
        <v>300</v>
      </c>
      <c r="J123" s="36" t="s">
        <v>34</v>
      </c>
      <c r="K123" s="36"/>
      <c r="L123" s="36" t="s">
        <v>151</v>
      </c>
      <c r="M123" s="36">
        <v>1.0</v>
      </c>
      <c r="N123" s="36"/>
      <c r="O123" s="36"/>
      <c r="P123" s="36"/>
      <c r="Q123" s="36"/>
      <c r="R123" s="36"/>
      <c r="S123" s="36"/>
    </row>
    <row r="124" ht="15.75" customHeight="1">
      <c r="B124" s="34">
        <v>46059.0</v>
      </c>
      <c r="C124" s="36">
        <v>756.0</v>
      </c>
      <c r="D124" s="36">
        <v>6.0</v>
      </c>
      <c r="E124" s="38">
        <v>1602.0</v>
      </c>
      <c r="F124" s="43">
        <f>E124*D124</f>
        <v>9612</v>
      </c>
      <c r="G124" s="50" t="s">
        <v>743</v>
      </c>
      <c r="H124" s="36" t="s">
        <v>746</v>
      </c>
      <c r="I124" s="36" t="s">
        <v>48</v>
      </c>
      <c r="J124" s="36" t="s">
        <v>49</v>
      </c>
      <c r="K124" s="36"/>
      <c r="L124" s="36"/>
      <c r="M124" s="36">
        <v>31.0</v>
      </c>
      <c r="N124" s="36"/>
      <c r="O124" s="36"/>
      <c r="P124" s="36"/>
      <c r="Q124" s="36"/>
      <c r="R124" s="36"/>
      <c r="S124" s="36"/>
    </row>
    <row r="125" ht="15.75" customHeight="1">
      <c r="B125" s="34">
        <v>46059.0</v>
      </c>
      <c r="C125" s="36"/>
      <c r="D125" s="36">
        <v>50.0</v>
      </c>
      <c r="E125" s="38"/>
      <c r="F125" s="43"/>
      <c r="G125" s="36" t="s">
        <v>747</v>
      </c>
      <c r="H125" s="36" t="s">
        <v>749</v>
      </c>
      <c r="I125" s="36" t="s">
        <v>48</v>
      </c>
      <c r="J125" s="36" t="s">
        <v>49</v>
      </c>
      <c r="K125" s="36"/>
      <c r="L125" s="36" t="s">
        <v>751</v>
      </c>
      <c r="M125" s="36"/>
      <c r="N125" s="45"/>
      <c r="O125" s="36"/>
      <c r="P125" s="36"/>
      <c r="Q125" s="36"/>
      <c r="R125" s="36"/>
      <c r="S125" s="36"/>
    </row>
    <row r="126" ht="15.75" customHeight="1">
      <c r="B126" s="34">
        <v>46059.0</v>
      </c>
      <c r="C126" s="36"/>
      <c r="D126" s="36">
        <v>120.0</v>
      </c>
      <c r="E126" s="38">
        <v>4.35</v>
      </c>
      <c r="F126" s="43">
        <f t="shared" ref="F126:F135" si="5">E126*D126</f>
        <v>522</v>
      </c>
      <c r="G126" s="36" t="s">
        <v>757</v>
      </c>
      <c r="H126" s="36">
        <v>1134.0</v>
      </c>
      <c r="I126" s="36" t="s">
        <v>48</v>
      </c>
      <c r="J126" s="36" t="s">
        <v>162</v>
      </c>
      <c r="K126" s="36"/>
      <c r="L126" s="36" t="s">
        <v>759</v>
      </c>
      <c r="M126" s="36">
        <v>1.0</v>
      </c>
      <c r="N126" s="36"/>
      <c r="O126" s="45">
        <v>46071.0</v>
      </c>
      <c r="P126" s="36"/>
      <c r="Q126" s="36"/>
      <c r="R126" s="36"/>
      <c r="S126" s="36"/>
    </row>
    <row r="127" ht="15.75" customHeight="1">
      <c r="B127" s="34">
        <v>46059.0</v>
      </c>
      <c r="C127" s="36"/>
      <c r="D127" s="36">
        <v>72.0</v>
      </c>
      <c r="E127" s="38">
        <v>6.13</v>
      </c>
      <c r="F127" s="43">
        <f t="shared" si="5"/>
        <v>441.36</v>
      </c>
      <c r="G127" s="36" t="s">
        <v>762</v>
      </c>
      <c r="H127" s="36">
        <v>1135.0</v>
      </c>
      <c r="I127" s="36" t="s">
        <v>48</v>
      </c>
      <c r="J127" s="36" t="s">
        <v>162</v>
      </c>
      <c r="K127" s="36"/>
      <c r="L127" s="36" t="s">
        <v>759</v>
      </c>
      <c r="M127" s="36">
        <v>1.0</v>
      </c>
      <c r="N127" s="36"/>
      <c r="O127" s="45">
        <v>46071.0</v>
      </c>
      <c r="P127" s="36"/>
      <c r="Q127" s="36"/>
      <c r="R127" s="36"/>
      <c r="S127" s="36"/>
    </row>
    <row r="128" ht="15.75" customHeight="1">
      <c r="B128" s="34">
        <v>46059.0</v>
      </c>
      <c r="C128" s="36"/>
      <c r="D128" s="36">
        <v>50.0</v>
      </c>
      <c r="E128" s="38">
        <v>11.41</v>
      </c>
      <c r="F128" s="43">
        <f t="shared" si="5"/>
        <v>570.5</v>
      </c>
      <c r="G128" s="36" t="s">
        <v>767</v>
      </c>
      <c r="H128" s="36">
        <v>1611.0</v>
      </c>
      <c r="I128" s="36" t="s">
        <v>48</v>
      </c>
      <c r="J128" s="36" t="s">
        <v>162</v>
      </c>
      <c r="K128" s="36"/>
      <c r="L128" s="36" t="s">
        <v>759</v>
      </c>
      <c r="M128" s="36">
        <v>1.0</v>
      </c>
      <c r="N128" s="36"/>
      <c r="O128" s="45">
        <v>46071.0</v>
      </c>
      <c r="P128" s="36"/>
      <c r="Q128" s="36"/>
      <c r="R128" s="36"/>
      <c r="S128" s="36"/>
    </row>
    <row r="129" ht="15.75" customHeight="1">
      <c r="B129" s="34">
        <v>46059.0</v>
      </c>
      <c r="C129" s="36"/>
      <c r="D129" s="36">
        <v>60.0</v>
      </c>
      <c r="E129" s="38">
        <v>8.49</v>
      </c>
      <c r="F129" s="43">
        <f t="shared" si="5"/>
        <v>509.4</v>
      </c>
      <c r="G129" s="36" t="s">
        <v>773</v>
      </c>
      <c r="H129" s="36">
        <v>145.0</v>
      </c>
      <c r="I129" s="36" t="s">
        <v>48</v>
      </c>
      <c r="J129" s="36" t="s">
        <v>162</v>
      </c>
      <c r="K129" s="36"/>
      <c r="L129" s="36" t="s">
        <v>759</v>
      </c>
      <c r="M129" s="36">
        <v>1.0</v>
      </c>
      <c r="N129" s="36"/>
      <c r="O129" s="45">
        <v>46071.0</v>
      </c>
      <c r="P129" s="36"/>
      <c r="Q129" s="36"/>
      <c r="R129" s="36"/>
      <c r="S129" s="36"/>
    </row>
    <row r="130" ht="15.75" customHeight="1">
      <c r="B130" s="34">
        <v>46059.0</v>
      </c>
      <c r="C130" s="36">
        <v>766.0</v>
      </c>
      <c r="D130" s="36">
        <v>2.0</v>
      </c>
      <c r="E130" s="38">
        <v>1491.0</v>
      </c>
      <c r="F130" s="43">
        <f t="shared" si="5"/>
        <v>2982</v>
      </c>
      <c r="G130" s="36" t="s">
        <v>743</v>
      </c>
      <c r="H130" s="36" t="s">
        <v>779</v>
      </c>
      <c r="I130" s="36" t="s">
        <v>48</v>
      </c>
      <c r="J130" s="36" t="s">
        <v>49</v>
      </c>
      <c r="K130" s="36"/>
      <c r="L130" s="36" t="s">
        <v>648</v>
      </c>
      <c r="M130" s="36">
        <v>5.0</v>
      </c>
      <c r="N130" s="36"/>
      <c r="O130" s="36"/>
      <c r="P130" s="36"/>
      <c r="Q130" s="36"/>
      <c r="R130" s="36"/>
      <c r="S130" s="36"/>
    </row>
    <row r="131" ht="15.75" customHeight="1">
      <c r="B131" s="34">
        <v>46059.0</v>
      </c>
      <c r="C131" s="36">
        <v>4638.0</v>
      </c>
      <c r="D131" s="36">
        <v>400.0</v>
      </c>
      <c r="E131" s="38">
        <v>80.0</v>
      </c>
      <c r="F131" s="43">
        <f t="shared" si="5"/>
        <v>32000</v>
      </c>
      <c r="G131" s="36" t="s">
        <v>143</v>
      </c>
      <c r="H131" s="36" t="s">
        <v>153</v>
      </c>
      <c r="I131" s="36" t="s">
        <v>48</v>
      </c>
      <c r="J131" s="36" t="s">
        <v>49</v>
      </c>
      <c r="K131" s="36"/>
      <c r="L131" s="36" t="s">
        <v>150</v>
      </c>
      <c r="M131" s="36">
        <v>31.0</v>
      </c>
      <c r="N131" s="36"/>
      <c r="O131" s="36"/>
      <c r="P131" s="36"/>
      <c r="Q131" s="36"/>
      <c r="R131" s="36"/>
      <c r="S131" s="36"/>
    </row>
    <row r="132" ht="15.75" customHeight="1">
      <c r="B132" s="34">
        <v>46059.0</v>
      </c>
      <c r="C132" s="36">
        <v>756.0</v>
      </c>
      <c r="D132" s="36">
        <v>6.0</v>
      </c>
      <c r="E132" s="38">
        <v>1602.0</v>
      </c>
      <c r="F132" s="43">
        <f t="shared" si="5"/>
        <v>9612</v>
      </c>
      <c r="G132" s="36" t="s">
        <v>743</v>
      </c>
      <c r="H132" s="36" t="s">
        <v>788</v>
      </c>
      <c r="I132" s="36" t="s">
        <v>48</v>
      </c>
      <c r="J132" s="36" t="s">
        <v>49</v>
      </c>
      <c r="K132" s="36"/>
      <c r="L132" s="36" t="s">
        <v>648</v>
      </c>
      <c r="M132" s="36">
        <v>5.0</v>
      </c>
      <c r="N132" s="36"/>
      <c r="O132" s="36"/>
      <c r="P132" s="36"/>
      <c r="Q132" s="36"/>
      <c r="R132" s="36"/>
      <c r="S132" s="36"/>
    </row>
    <row r="133" ht="15.75" customHeight="1">
      <c r="B133" s="34">
        <v>46059.0</v>
      </c>
      <c r="C133" s="36"/>
      <c r="D133" s="36">
        <v>2.0</v>
      </c>
      <c r="E133" s="38">
        <v>2380.0</v>
      </c>
      <c r="F133" s="43">
        <f t="shared" si="5"/>
        <v>4760</v>
      </c>
      <c r="G133" s="36" t="s">
        <v>791</v>
      </c>
      <c r="H133" s="36"/>
      <c r="I133" s="36" t="s">
        <v>202</v>
      </c>
      <c r="J133" s="36" t="s">
        <v>49</v>
      </c>
      <c r="K133" s="36"/>
      <c r="L133" s="36"/>
      <c r="M133" s="36">
        <v>31.0</v>
      </c>
      <c r="N133" s="36"/>
      <c r="O133" s="36"/>
      <c r="P133" s="36"/>
      <c r="Q133" s="36"/>
      <c r="R133" s="36"/>
      <c r="S133" s="36"/>
    </row>
    <row r="134" ht="15.75" customHeight="1">
      <c r="B134" s="34">
        <v>46059.0</v>
      </c>
      <c r="C134" s="36">
        <v>115517.0</v>
      </c>
      <c r="D134" s="36">
        <v>20.0</v>
      </c>
      <c r="E134" s="38">
        <v>18.37</v>
      </c>
      <c r="F134" s="43">
        <f t="shared" si="5"/>
        <v>367.4</v>
      </c>
      <c r="G134" s="55" t="s">
        <v>794</v>
      </c>
      <c r="H134" s="53" t="s">
        <v>796</v>
      </c>
      <c r="I134" s="36" t="s">
        <v>66</v>
      </c>
      <c r="J134" s="36" t="s">
        <v>49</v>
      </c>
      <c r="K134" s="36"/>
      <c r="L134" s="36"/>
      <c r="M134" s="36">
        <v>1.0</v>
      </c>
      <c r="N134" s="45">
        <v>46059.0</v>
      </c>
      <c r="O134" s="36"/>
      <c r="P134" s="36"/>
      <c r="Q134" s="36"/>
      <c r="R134" s="36"/>
      <c r="S134" s="36"/>
    </row>
    <row r="135" ht="15.75" customHeight="1">
      <c r="B135" s="34">
        <v>46059.0</v>
      </c>
      <c r="C135" s="36">
        <v>3654.0</v>
      </c>
      <c r="D135" s="36">
        <v>120.0</v>
      </c>
      <c r="E135" s="38">
        <v>12.6</v>
      </c>
      <c r="F135" s="43">
        <f t="shared" si="5"/>
        <v>1512</v>
      </c>
      <c r="G135" s="50" t="s">
        <v>801</v>
      </c>
      <c r="H135" s="50" t="s">
        <v>803</v>
      </c>
      <c r="I135" s="36" t="s">
        <v>270</v>
      </c>
      <c r="J135" s="36" t="s">
        <v>49</v>
      </c>
      <c r="K135" s="36"/>
      <c r="L135" s="36" t="s">
        <v>806</v>
      </c>
      <c r="M135" s="36">
        <v>1.0</v>
      </c>
      <c r="N135" s="36"/>
      <c r="O135" s="36"/>
      <c r="P135" s="36"/>
      <c r="Q135" s="36"/>
      <c r="R135" s="36"/>
      <c r="S135" s="36"/>
    </row>
    <row r="136" ht="15.75" customHeight="1">
      <c r="B136" s="34">
        <v>46059.0</v>
      </c>
      <c r="C136" s="36"/>
      <c r="D136" s="36">
        <f>301-50</f>
        <v>251</v>
      </c>
      <c r="E136" s="38"/>
      <c r="F136" s="43"/>
      <c r="G136" s="36" t="s">
        <v>747</v>
      </c>
      <c r="H136" s="36" t="s">
        <v>749</v>
      </c>
      <c r="I136" s="36" t="s">
        <v>146</v>
      </c>
      <c r="J136" s="36" t="s">
        <v>162</v>
      </c>
      <c r="K136" s="36"/>
      <c r="L136" s="36" t="s">
        <v>751</v>
      </c>
      <c r="M136" s="36">
        <v>31.0</v>
      </c>
      <c r="N136" s="45">
        <v>46059.0</v>
      </c>
      <c r="O136" s="36"/>
      <c r="P136" s="36"/>
      <c r="Q136" s="36"/>
      <c r="R136" s="36"/>
      <c r="S136" s="36"/>
    </row>
    <row r="137" ht="15.75" customHeight="1">
      <c r="B137" s="34">
        <v>46059.0</v>
      </c>
      <c r="C137" s="36"/>
      <c r="D137" s="36">
        <v>100.0</v>
      </c>
      <c r="E137" s="38"/>
      <c r="F137" s="43"/>
      <c r="G137" s="36" t="s">
        <v>814</v>
      </c>
      <c r="H137" s="36" t="s">
        <v>749</v>
      </c>
      <c r="I137" s="36" t="s">
        <v>146</v>
      </c>
      <c r="J137" s="36" t="s">
        <v>162</v>
      </c>
      <c r="K137" s="36"/>
      <c r="L137" s="36" t="s">
        <v>751</v>
      </c>
      <c r="M137" s="36">
        <v>31.0</v>
      </c>
      <c r="N137" s="45">
        <v>46059.0</v>
      </c>
      <c r="O137" s="36"/>
      <c r="P137" s="36"/>
      <c r="Q137" s="36"/>
      <c r="R137" s="36"/>
      <c r="S137" s="36"/>
    </row>
    <row r="138" ht="15.75" customHeight="1">
      <c r="B138" s="34">
        <v>46059.0</v>
      </c>
      <c r="C138" s="36"/>
      <c r="D138" s="36">
        <v>60.0</v>
      </c>
      <c r="E138" s="38"/>
      <c r="F138" s="43"/>
      <c r="G138" s="36" t="s">
        <v>816</v>
      </c>
      <c r="H138" s="36" t="s">
        <v>749</v>
      </c>
      <c r="I138" s="36" t="s">
        <v>146</v>
      </c>
      <c r="J138" s="36" t="s">
        <v>49</v>
      </c>
      <c r="K138" s="36"/>
      <c r="L138" s="36" t="s">
        <v>751</v>
      </c>
      <c r="M138" s="36">
        <v>31.0</v>
      </c>
      <c r="N138" s="45">
        <v>46059.0</v>
      </c>
      <c r="O138" s="36"/>
      <c r="P138" s="36"/>
      <c r="Q138" s="36"/>
      <c r="R138" s="36"/>
      <c r="S138" s="36"/>
    </row>
    <row r="139" ht="15.75" customHeight="1">
      <c r="B139" s="60">
        <v>46059.0</v>
      </c>
      <c r="C139" s="61">
        <v>4639.0</v>
      </c>
      <c r="D139" s="61">
        <v>20.0</v>
      </c>
      <c r="E139" s="62">
        <v>235.0</v>
      </c>
      <c r="F139" s="63">
        <f t="shared" ref="F139:F195" si="6">E139*D139</f>
        <v>4700</v>
      </c>
      <c r="G139" s="61" t="s">
        <v>829</v>
      </c>
      <c r="H139" s="61" t="s">
        <v>830</v>
      </c>
      <c r="I139" s="61" t="s">
        <v>146</v>
      </c>
      <c r="J139" s="61" t="s">
        <v>49</v>
      </c>
      <c r="K139" s="61"/>
      <c r="L139" s="61" t="s">
        <v>150</v>
      </c>
      <c r="M139" s="61">
        <v>31.0</v>
      </c>
      <c r="N139" s="36"/>
      <c r="O139" s="36"/>
      <c r="P139" s="36"/>
      <c r="Q139" s="36"/>
      <c r="R139" s="36"/>
      <c r="S139" s="36"/>
    </row>
    <row r="140" ht="15.75" customHeight="1">
      <c r="B140" s="34">
        <v>46059.0</v>
      </c>
      <c r="C140" s="36">
        <v>4216331.0</v>
      </c>
      <c r="D140" s="36">
        <v>6.0</v>
      </c>
      <c r="E140" s="38">
        <v>1058.63</v>
      </c>
      <c r="F140" s="43">
        <f t="shared" si="6"/>
        <v>6351.78</v>
      </c>
      <c r="G140" s="55" t="s">
        <v>834</v>
      </c>
      <c r="H140" s="36"/>
      <c r="I140" s="53" t="s">
        <v>835</v>
      </c>
      <c r="J140" s="36" t="s">
        <v>49</v>
      </c>
      <c r="K140" s="36" t="s">
        <v>836</v>
      </c>
      <c r="L140" s="36" t="s">
        <v>837</v>
      </c>
      <c r="M140" s="36">
        <v>1.0</v>
      </c>
      <c r="N140" s="36"/>
      <c r="O140" s="45">
        <v>46077.0</v>
      </c>
      <c r="P140" s="36"/>
      <c r="Q140" s="45">
        <v>46090.0</v>
      </c>
      <c r="R140" s="36"/>
      <c r="S140" s="36"/>
    </row>
    <row r="141" ht="15.75" customHeight="1">
      <c r="B141" s="34">
        <v>46062.0</v>
      </c>
      <c r="C141" s="36">
        <v>799.0</v>
      </c>
      <c r="D141" s="36">
        <v>6.0</v>
      </c>
      <c r="E141" s="38">
        <v>1602.0</v>
      </c>
      <c r="F141" s="43">
        <f t="shared" si="6"/>
        <v>9612</v>
      </c>
      <c r="G141" s="50" t="s">
        <v>743</v>
      </c>
      <c r="H141" s="36" t="s">
        <v>788</v>
      </c>
      <c r="I141" s="36" t="s">
        <v>48</v>
      </c>
      <c r="J141" s="36" t="s">
        <v>49</v>
      </c>
      <c r="K141" s="36"/>
      <c r="L141" s="36" t="s">
        <v>648</v>
      </c>
      <c r="M141" s="36">
        <v>5.0</v>
      </c>
      <c r="N141" s="36"/>
      <c r="O141" s="36"/>
      <c r="P141" s="36"/>
      <c r="Q141" s="36"/>
      <c r="R141" s="36"/>
      <c r="S141" s="36"/>
    </row>
    <row r="142" ht="15.75" customHeight="1">
      <c r="B142" s="34">
        <v>46062.0</v>
      </c>
      <c r="C142" s="36"/>
      <c r="D142" s="36">
        <v>3.0</v>
      </c>
      <c r="E142" s="38">
        <v>7950.0</v>
      </c>
      <c r="F142" s="43">
        <f t="shared" si="6"/>
        <v>23850</v>
      </c>
      <c r="G142" s="36" t="s">
        <v>850</v>
      </c>
      <c r="H142" s="36"/>
      <c r="I142" s="36" t="s">
        <v>202</v>
      </c>
      <c r="J142" s="36" t="s">
        <v>49</v>
      </c>
      <c r="K142" s="36"/>
      <c r="L142" s="36"/>
      <c r="M142" s="36">
        <v>31.0</v>
      </c>
      <c r="N142" s="36"/>
      <c r="O142" s="36"/>
      <c r="P142" s="36"/>
      <c r="Q142" s="36"/>
      <c r="R142" s="36"/>
      <c r="S142" s="36"/>
    </row>
    <row r="143" ht="15.75" customHeight="1">
      <c r="B143" s="34">
        <v>46062.0</v>
      </c>
      <c r="C143" s="36">
        <v>1567.0</v>
      </c>
      <c r="D143" s="36">
        <v>5000.0</v>
      </c>
      <c r="E143" s="38">
        <v>0.43</v>
      </c>
      <c r="F143" s="43">
        <f t="shared" si="6"/>
        <v>2150</v>
      </c>
      <c r="G143" s="36" t="s">
        <v>853</v>
      </c>
      <c r="H143" s="36">
        <v>1409.0</v>
      </c>
      <c r="I143" s="36" t="s">
        <v>66</v>
      </c>
      <c r="J143" s="36" t="s">
        <v>162</v>
      </c>
      <c r="K143" s="36" t="s">
        <v>857</v>
      </c>
      <c r="L143" s="36" t="s">
        <v>858</v>
      </c>
      <c r="M143" s="36">
        <v>1.0</v>
      </c>
      <c r="N143" s="36"/>
      <c r="O143" s="45">
        <v>46062.0</v>
      </c>
      <c r="P143" s="36"/>
      <c r="Q143" s="36"/>
      <c r="R143" s="36"/>
      <c r="S143" s="36"/>
    </row>
    <row r="144" ht="15.75" customHeight="1">
      <c r="B144" s="34">
        <v>46062.0</v>
      </c>
      <c r="C144" s="36">
        <v>2746.0</v>
      </c>
      <c r="D144" s="36">
        <v>1.0</v>
      </c>
      <c r="E144" s="38">
        <v>388.8</v>
      </c>
      <c r="F144" s="43">
        <f t="shared" si="6"/>
        <v>388.8</v>
      </c>
      <c r="G144" s="36" t="s">
        <v>859</v>
      </c>
      <c r="H144" s="36" t="s">
        <v>860</v>
      </c>
      <c r="I144" s="36" t="s">
        <v>252</v>
      </c>
      <c r="J144" s="36" t="s">
        <v>253</v>
      </c>
      <c r="K144" s="36"/>
      <c r="L144" s="36" t="s">
        <v>186</v>
      </c>
      <c r="M144" s="36">
        <v>31.0</v>
      </c>
      <c r="N144" s="36"/>
      <c r="O144" s="36"/>
      <c r="P144" s="36"/>
      <c r="Q144" s="36"/>
      <c r="R144" s="36"/>
      <c r="S144" s="36"/>
    </row>
    <row r="145" ht="15.75" customHeight="1">
      <c r="B145" s="34">
        <v>46062.0</v>
      </c>
      <c r="C145" s="36">
        <v>2747.0</v>
      </c>
      <c r="D145" s="36">
        <v>1.0</v>
      </c>
      <c r="E145" s="38">
        <v>1399.9</v>
      </c>
      <c r="F145" s="43">
        <f t="shared" si="6"/>
        <v>1399.9</v>
      </c>
      <c r="G145" s="36" t="s">
        <v>869</v>
      </c>
      <c r="H145" s="36" t="s">
        <v>870</v>
      </c>
      <c r="I145" s="36" t="s">
        <v>252</v>
      </c>
      <c r="J145" s="36" t="s">
        <v>253</v>
      </c>
      <c r="K145" s="36"/>
      <c r="L145" s="36" t="s">
        <v>186</v>
      </c>
      <c r="M145" s="36">
        <v>31.0</v>
      </c>
      <c r="N145" s="36"/>
      <c r="O145" s="36"/>
      <c r="P145" s="36"/>
      <c r="Q145" s="36"/>
      <c r="R145" s="36"/>
      <c r="S145" s="36"/>
    </row>
    <row r="146" ht="15.75" customHeight="1">
      <c r="B146" s="34">
        <v>46062.0</v>
      </c>
      <c r="C146" s="36">
        <v>906728.0</v>
      </c>
      <c r="D146" s="36">
        <v>25.0</v>
      </c>
      <c r="E146" s="38">
        <v>49.9</v>
      </c>
      <c r="F146" s="43">
        <f t="shared" si="6"/>
        <v>1247.5</v>
      </c>
      <c r="G146" s="36" t="s">
        <v>878</v>
      </c>
      <c r="H146" s="36">
        <v>31815.0</v>
      </c>
      <c r="I146" s="36" t="s">
        <v>270</v>
      </c>
      <c r="J146" s="36" t="s">
        <v>162</v>
      </c>
      <c r="K146" s="36"/>
      <c r="L146" s="36" t="s">
        <v>342</v>
      </c>
      <c r="M146" s="36">
        <v>1.0</v>
      </c>
      <c r="N146" s="36"/>
      <c r="O146" s="36"/>
      <c r="P146" s="36"/>
      <c r="Q146" s="36"/>
      <c r="R146" s="36"/>
      <c r="S146" s="36"/>
    </row>
    <row r="147" ht="15.75" customHeight="1">
      <c r="B147" s="34">
        <v>46062.0</v>
      </c>
      <c r="C147" s="36">
        <v>906728.0</v>
      </c>
      <c r="D147" s="36">
        <v>106.0</v>
      </c>
      <c r="E147" s="38">
        <v>49.9</v>
      </c>
      <c r="F147" s="43">
        <f t="shared" si="6"/>
        <v>5289.4</v>
      </c>
      <c r="G147" s="36" t="s">
        <v>878</v>
      </c>
      <c r="H147" s="36">
        <v>37350.0</v>
      </c>
      <c r="I147" s="36" t="s">
        <v>270</v>
      </c>
      <c r="J147" s="36" t="s">
        <v>162</v>
      </c>
      <c r="K147" s="36"/>
      <c r="L147" s="36" t="s">
        <v>342</v>
      </c>
      <c r="M147" s="36">
        <v>1.0</v>
      </c>
      <c r="N147" s="36"/>
      <c r="O147" s="36"/>
      <c r="P147" s="36"/>
      <c r="Q147" s="36"/>
      <c r="R147" s="36"/>
      <c r="S147" s="36"/>
    </row>
    <row r="148" ht="15.75" customHeight="1">
      <c r="B148" s="34">
        <v>46062.0</v>
      </c>
      <c r="C148" s="36">
        <v>906728.0</v>
      </c>
      <c r="D148" s="36">
        <v>50.0</v>
      </c>
      <c r="E148" s="38">
        <v>49.9</v>
      </c>
      <c r="F148" s="43">
        <f t="shared" si="6"/>
        <v>2495</v>
      </c>
      <c r="G148" s="36" t="s">
        <v>878</v>
      </c>
      <c r="H148" s="36">
        <v>37552.0</v>
      </c>
      <c r="I148" s="36" t="s">
        <v>270</v>
      </c>
      <c r="J148" s="36" t="s">
        <v>162</v>
      </c>
      <c r="K148" s="36"/>
      <c r="L148" s="36" t="s">
        <v>342</v>
      </c>
      <c r="M148" s="36">
        <v>1.0</v>
      </c>
      <c r="N148" s="36"/>
      <c r="O148" s="36"/>
      <c r="P148" s="36"/>
      <c r="Q148" s="36"/>
      <c r="R148" s="36"/>
      <c r="S148" s="36"/>
    </row>
    <row r="149" ht="15.75" customHeight="1">
      <c r="B149" s="34">
        <v>46062.0</v>
      </c>
      <c r="C149" s="36">
        <v>906728.0</v>
      </c>
      <c r="D149" s="36">
        <v>25.0</v>
      </c>
      <c r="E149" s="38">
        <v>49.9</v>
      </c>
      <c r="F149" s="43">
        <f t="shared" si="6"/>
        <v>1247.5</v>
      </c>
      <c r="G149" s="36" t="s">
        <v>878</v>
      </c>
      <c r="H149" s="36">
        <v>55089.0</v>
      </c>
      <c r="I149" s="36" t="s">
        <v>270</v>
      </c>
      <c r="J149" s="36" t="s">
        <v>162</v>
      </c>
      <c r="K149" s="36"/>
      <c r="L149" s="36" t="s">
        <v>342</v>
      </c>
      <c r="M149" s="36">
        <v>1.0</v>
      </c>
      <c r="N149" s="36"/>
      <c r="O149" s="36"/>
      <c r="P149" s="36"/>
      <c r="Q149" s="36"/>
      <c r="R149" s="36"/>
      <c r="S149" s="36"/>
    </row>
    <row r="150" ht="15.75" customHeight="1">
      <c r="B150" s="34">
        <v>46062.0</v>
      </c>
      <c r="C150" s="36">
        <v>906728.0</v>
      </c>
      <c r="D150" s="36">
        <v>17.0</v>
      </c>
      <c r="E150" s="38">
        <v>49.9</v>
      </c>
      <c r="F150" s="43">
        <f t="shared" si="6"/>
        <v>848.3</v>
      </c>
      <c r="G150" s="36" t="s">
        <v>878</v>
      </c>
      <c r="H150" s="36">
        <v>28626.0</v>
      </c>
      <c r="I150" s="36" t="s">
        <v>270</v>
      </c>
      <c r="J150" s="36" t="s">
        <v>162</v>
      </c>
      <c r="K150" s="36"/>
      <c r="L150" s="36" t="s">
        <v>342</v>
      </c>
      <c r="M150" s="36">
        <v>1.0</v>
      </c>
      <c r="N150" s="36"/>
      <c r="O150" s="36"/>
      <c r="P150" s="36"/>
      <c r="Q150" s="36"/>
      <c r="R150" s="36"/>
      <c r="S150" s="36"/>
    </row>
    <row r="151" ht="15.75" customHeight="1">
      <c r="B151" s="34">
        <v>46062.0</v>
      </c>
      <c r="C151" s="36">
        <v>906728.0</v>
      </c>
      <c r="D151" s="36">
        <v>27.0</v>
      </c>
      <c r="E151" s="38">
        <v>49.9</v>
      </c>
      <c r="F151" s="43">
        <f t="shared" si="6"/>
        <v>1347.3</v>
      </c>
      <c r="G151" s="36" t="s">
        <v>878</v>
      </c>
      <c r="H151" s="36">
        <v>31226.0</v>
      </c>
      <c r="I151" s="36" t="s">
        <v>270</v>
      </c>
      <c r="J151" s="36" t="s">
        <v>162</v>
      </c>
      <c r="K151" s="36"/>
      <c r="L151" s="36" t="s">
        <v>342</v>
      </c>
      <c r="M151" s="36">
        <v>1.0</v>
      </c>
      <c r="N151" s="36"/>
      <c r="O151" s="36"/>
      <c r="P151" s="36"/>
      <c r="Q151" s="45">
        <v>46092.0</v>
      </c>
      <c r="R151" s="45">
        <v>46122.0</v>
      </c>
      <c r="S151" s="45">
        <v>46152.0</v>
      </c>
    </row>
    <row r="152" ht="15.75" customHeight="1">
      <c r="B152" s="34">
        <v>46062.0</v>
      </c>
      <c r="C152" s="36">
        <v>6.0</v>
      </c>
      <c r="D152" s="36">
        <v>500.0</v>
      </c>
      <c r="E152" s="38">
        <v>46.99</v>
      </c>
      <c r="F152" s="43">
        <f t="shared" si="6"/>
        <v>23495</v>
      </c>
      <c r="G152" s="55" t="s">
        <v>909</v>
      </c>
      <c r="H152" s="53">
        <v>2.00000000006E11</v>
      </c>
      <c r="I152" s="36" t="s">
        <v>270</v>
      </c>
      <c r="J152" s="36" t="s">
        <v>49</v>
      </c>
      <c r="K152" s="36"/>
      <c r="L152" s="36" t="s">
        <v>625</v>
      </c>
      <c r="M152" s="36">
        <v>1.0</v>
      </c>
      <c r="N152" s="36"/>
      <c r="O152" s="36"/>
      <c r="P152" s="36"/>
      <c r="Q152" s="36"/>
      <c r="R152" s="36"/>
      <c r="S152" s="36"/>
    </row>
    <row r="153" ht="15.75" customHeight="1">
      <c r="B153" s="34">
        <v>46062.0</v>
      </c>
      <c r="C153" s="36"/>
      <c r="D153" s="36">
        <v>300.0</v>
      </c>
      <c r="E153" s="38">
        <v>23.0</v>
      </c>
      <c r="F153" s="43">
        <f t="shared" si="6"/>
        <v>6900</v>
      </c>
      <c r="G153" s="36" t="s">
        <v>913</v>
      </c>
      <c r="H153" s="36"/>
      <c r="I153" s="36" t="s">
        <v>270</v>
      </c>
      <c r="J153" s="36" t="s">
        <v>49</v>
      </c>
      <c r="K153" s="36"/>
      <c r="L153" s="36" t="s">
        <v>915</v>
      </c>
      <c r="M153" s="36">
        <v>1.0</v>
      </c>
      <c r="N153" s="36"/>
      <c r="O153" s="36"/>
      <c r="P153" s="36"/>
      <c r="Q153" s="36"/>
      <c r="R153" s="36"/>
      <c r="S153" s="36"/>
    </row>
    <row r="154" ht="15.75" customHeight="1">
      <c r="B154" s="34">
        <v>46062.0</v>
      </c>
      <c r="C154" s="36"/>
      <c r="D154" s="36">
        <v>1033.0</v>
      </c>
      <c r="E154" s="38">
        <v>84.0</v>
      </c>
      <c r="F154" s="43">
        <f t="shared" si="6"/>
        <v>86772</v>
      </c>
      <c r="G154" s="36" t="s">
        <v>873</v>
      </c>
      <c r="H154" s="36"/>
      <c r="I154" s="36" t="s">
        <v>270</v>
      </c>
      <c r="J154" s="36" t="s">
        <v>49</v>
      </c>
      <c r="K154" s="36"/>
      <c r="L154" s="36" t="s">
        <v>915</v>
      </c>
      <c r="M154" s="36">
        <v>1.0</v>
      </c>
      <c r="N154" s="36"/>
      <c r="O154" s="36"/>
      <c r="P154" s="36"/>
      <c r="Q154" s="36"/>
      <c r="R154" s="36"/>
      <c r="S154" s="36"/>
    </row>
    <row r="155" ht="15.75" customHeight="1">
      <c r="B155" s="34">
        <v>46062.0</v>
      </c>
      <c r="C155" s="36"/>
      <c r="D155" s="36">
        <v>63.0</v>
      </c>
      <c r="E155" s="38">
        <v>84.0</v>
      </c>
      <c r="F155" s="43">
        <f t="shared" si="6"/>
        <v>5292</v>
      </c>
      <c r="G155" s="36" t="s">
        <v>925</v>
      </c>
      <c r="H155" s="36"/>
      <c r="I155" s="36" t="s">
        <v>270</v>
      </c>
      <c r="J155" s="36" t="s">
        <v>49</v>
      </c>
      <c r="K155" s="36"/>
      <c r="L155" s="36" t="s">
        <v>915</v>
      </c>
      <c r="M155" s="36">
        <v>1.0</v>
      </c>
      <c r="N155" s="36"/>
      <c r="O155" s="36"/>
      <c r="P155" s="36"/>
      <c r="Q155" s="36"/>
      <c r="R155" s="36"/>
      <c r="S155" s="36"/>
    </row>
    <row r="156" ht="15.75" customHeight="1">
      <c r="B156" s="34">
        <v>46062.0</v>
      </c>
      <c r="C156" s="36"/>
      <c r="D156" s="36">
        <v>387.0</v>
      </c>
      <c r="E156" s="38">
        <v>84.0</v>
      </c>
      <c r="F156" s="43">
        <f t="shared" si="6"/>
        <v>32508</v>
      </c>
      <c r="G156" s="36" t="s">
        <v>929</v>
      </c>
      <c r="H156" s="36"/>
      <c r="I156" s="36" t="s">
        <v>270</v>
      </c>
      <c r="J156" s="36" t="s">
        <v>49</v>
      </c>
      <c r="K156" s="36"/>
      <c r="L156" s="36" t="s">
        <v>915</v>
      </c>
      <c r="M156" s="36">
        <v>1.0</v>
      </c>
      <c r="N156" s="36"/>
      <c r="O156" s="36"/>
      <c r="P156" s="36"/>
      <c r="Q156" s="36"/>
      <c r="R156" s="36"/>
      <c r="S156" s="36"/>
    </row>
    <row r="157" ht="15.75" customHeight="1">
      <c r="B157" s="34">
        <v>46062.0</v>
      </c>
      <c r="C157" s="36"/>
      <c r="D157" s="36">
        <v>200.0</v>
      </c>
      <c r="E157" s="38">
        <v>395.0</v>
      </c>
      <c r="F157" s="43">
        <f t="shared" si="6"/>
        <v>79000</v>
      </c>
      <c r="G157" s="36" t="s">
        <v>933</v>
      </c>
      <c r="H157" s="36"/>
      <c r="I157" s="36" t="s">
        <v>270</v>
      </c>
      <c r="J157" s="36" t="s">
        <v>162</v>
      </c>
      <c r="K157" s="36"/>
      <c r="L157" s="36" t="s">
        <v>915</v>
      </c>
      <c r="M157" s="36">
        <v>1.0</v>
      </c>
      <c r="N157" s="36"/>
      <c r="O157" s="36"/>
      <c r="P157" s="36"/>
      <c r="Q157" s="36"/>
      <c r="R157" s="36"/>
      <c r="S157" s="36"/>
    </row>
    <row r="158" ht="15.75" customHeight="1">
      <c r="B158" s="34">
        <v>46062.0</v>
      </c>
      <c r="C158" s="53">
        <v>31476.0</v>
      </c>
      <c r="D158" s="36">
        <v>300.0</v>
      </c>
      <c r="E158" s="38">
        <v>82.32</v>
      </c>
      <c r="F158" s="43">
        <f t="shared" si="6"/>
        <v>24696</v>
      </c>
      <c r="G158" s="55" t="s">
        <v>937</v>
      </c>
      <c r="H158" s="53" t="s">
        <v>938</v>
      </c>
      <c r="I158" s="36" t="s">
        <v>270</v>
      </c>
      <c r="J158" s="36"/>
      <c r="K158" s="36"/>
      <c r="L158" s="36" t="s">
        <v>939</v>
      </c>
      <c r="M158" s="36">
        <v>1.0</v>
      </c>
      <c r="N158" s="36"/>
      <c r="O158" s="36"/>
      <c r="P158" s="36"/>
      <c r="Q158" s="36"/>
      <c r="R158" s="36"/>
      <c r="S158" s="36"/>
    </row>
    <row r="159" ht="15.75" customHeight="1">
      <c r="B159" s="34">
        <v>46062.0</v>
      </c>
      <c r="C159" s="36">
        <v>4749.0</v>
      </c>
      <c r="D159" s="36">
        <v>20.0</v>
      </c>
      <c r="E159" s="38">
        <v>260.0</v>
      </c>
      <c r="F159" s="43">
        <f t="shared" si="6"/>
        <v>5200</v>
      </c>
      <c r="G159" s="36" t="s">
        <v>940</v>
      </c>
      <c r="H159" s="36" t="s">
        <v>941</v>
      </c>
      <c r="I159" s="36" t="s">
        <v>146</v>
      </c>
      <c r="J159" s="36" t="s">
        <v>49</v>
      </c>
      <c r="K159" s="36"/>
      <c r="L159" s="36" t="s">
        <v>150</v>
      </c>
      <c r="M159" s="36">
        <v>31.0</v>
      </c>
      <c r="N159" s="36"/>
      <c r="O159" s="36"/>
      <c r="P159" s="36"/>
      <c r="Q159" s="36"/>
      <c r="R159" s="36"/>
      <c r="S159" s="36"/>
    </row>
    <row r="160" ht="15.75" customHeight="1">
      <c r="B160" s="34">
        <v>46062.0</v>
      </c>
      <c r="C160" s="36">
        <v>4749.0</v>
      </c>
      <c r="D160" s="36">
        <v>20.0</v>
      </c>
      <c r="E160" s="38">
        <v>305.0</v>
      </c>
      <c r="F160" s="43">
        <f t="shared" si="6"/>
        <v>6100</v>
      </c>
      <c r="G160" s="36" t="s">
        <v>940</v>
      </c>
      <c r="H160" s="36" t="s">
        <v>945</v>
      </c>
      <c r="I160" s="36" t="s">
        <v>146</v>
      </c>
      <c r="J160" s="36" t="s">
        <v>49</v>
      </c>
      <c r="K160" s="36"/>
      <c r="L160" s="36" t="s">
        <v>150</v>
      </c>
      <c r="M160" s="36">
        <v>31.0</v>
      </c>
      <c r="N160" s="36"/>
      <c r="O160" s="36"/>
      <c r="P160" s="36"/>
      <c r="Q160" s="36"/>
      <c r="R160" s="36"/>
      <c r="S160" s="36"/>
    </row>
    <row r="161" ht="15.75" customHeight="1">
      <c r="B161" s="34">
        <v>46062.0</v>
      </c>
      <c r="C161" s="36">
        <v>4804.0</v>
      </c>
      <c r="D161" s="36">
        <v>20.0</v>
      </c>
      <c r="E161" s="38">
        <v>234.0</v>
      </c>
      <c r="F161" s="43">
        <f t="shared" si="6"/>
        <v>4680</v>
      </c>
      <c r="G161" s="36" t="s">
        <v>940</v>
      </c>
      <c r="H161" s="36" t="s">
        <v>830</v>
      </c>
      <c r="I161" s="36" t="s">
        <v>146</v>
      </c>
      <c r="J161" s="36" t="s">
        <v>49</v>
      </c>
      <c r="K161" s="36"/>
      <c r="L161" s="36" t="s">
        <v>150</v>
      </c>
      <c r="M161" s="36">
        <v>31.0</v>
      </c>
      <c r="N161" s="36"/>
      <c r="O161" s="36"/>
      <c r="P161" s="36"/>
      <c r="Q161" s="36"/>
      <c r="R161" s="36"/>
      <c r="S161" s="36"/>
    </row>
    <row r="162" ht="15.75" customHeight="1">
      <c r="B162" s="34">
        <v>46062.0</v>
      </c>
      <c r="C162" s="36">
        <v>4804.0</v>
      </c>
      <c r="D162" s="36">
        <v>20.0</v>
      </c>
      <c r="E162" s="38">
        <v>260.0</v>
      </c>
      <c r="F162" s="43">
        <f t="shared" si="6"/>
        <v>5200</v>
      </c>
      <c r="G162" s="36" t="s">
        <v>940</v>
      </c>
      <c r="H162" s="36" t="s">
        <v>941</v>
      </c>
      <c r="I162" s="36" t="s">
        <v>146</v>
      </c>
      <c r="J162" s="36" t="s">
        <v>49</v>
      </c>
      <c r="K162" s="36"/>
      <c r="L162" s="36" t="s">
        <v>150</v>
      </c>
      <c r="M162" s="36">
        <v>31.0</v>
      </c>
      <c r="N162" s="36"/>
      <c r="O162" s="36"/>
      <c r="P162" s="36"/>
      <c r="Q162" s="36"/>
      <c r="R162" s="36"/>
      <c r="S162" s="36"/>
    </row>
    <row r="163" ht="15.75" customHeight="1">
      <c r="B163" s="34">
        <v>46062.0</v>
      </c>
      <c r="C163" s="36">
        <v>120614.0</v>
      </c>
      <c r="D163" s="36">
        <v>6.0</v>
      </c>
      <c r="E163" s="38">
        <v>12061.0</v>
      </c>
      <c r="F163" s="43">
        <f t="shared" si="6"/>
        <v>72366</v>
      </c>
      <c r="G163" s="55" t="s">
        <v>960</v>
      </c>
      <c r="H163" s="36" t="s">
        <v>35</v>
      </c>
      <c r="I163" s="36" t="s">
        <v>703</v>
      </c>
      <c r="J163" s="36" t="s">
        <v>963</v>
      </c>
      <c r="K163" s="36"/>
      <c r="L163" s="36" t="s">
        <v>965</v>
      </c>
      <c r="M163" s="36">
        <v>1.0</v>
      </c>
      <c r="N163" s="36"/>
      <c r="O163" s="45">
        <v>46077.0</v>
      </c>
      <c r="P163" s="36"/>
      <c r="Q163" s="36"/>
      <c r="R163" s="36"/>
      <c r="S163" s="36"/>
    </row>
    <row r="164" ht="15.75" customHeight="1">
      <c r="B164" s="34">
        <v>46063.0</v>
      </c>
      <c r="C164" s="36">
        <v>1.8361015E7</v>
      </c>
      <c r="D164" s="36">
        <v>200.0</v>
      </c>
      <c r="E164" s="38">
        <v>3.12</v>
      </c>
      <c r="F164" s="43">
        <f t="shared" si="6"/>
        <v>624</v>
      </c>
      <c r="G164" s="36" t="s">
        <v>968</v>
      </c>
      <c r="H164" s="36" t="s">
        <v>970</v>
      </c>
      <c r="I164" s="36" t="s">
        <v>48</v>
      </c>
      <c r="J164" s="36" t="s">
        <v>49</v>
      </c>
      <c r="K164" s="36"/>
      <c r="L164" s="36" t="s">
        <v>972</v>
      </c>
      <c r="M164" s="36">
        <v>1.0</v>
      </c>
      <c r="N164" s="36"/>
      <c r="O164" s="45">
        <v>46063.0</v>
      </c>
      <c r="P164" s="36"/>
      <c r="Q164" s="36"/>
      <c r="R164" s="36"/>
      <c r="S164" s="36"/>
    </row>
    <row r="165" ht="15.75" customHeight="1">
      <c r="B165" s="34">
        <v>46063.0</v>
      </c>
      <c r="C165" s="36"/>
      <c r="D165" s="36">
        <v>7950.0</v>
      </c>
      <c r="E165" s="38">
        <v>2.0</v>
      </c>
      <c r="F165" s="43">
        <f t="shared" si="6"/>
        <v>15900</v>
      </c>
      <c r="G165" s="55" t="s">
        <v>977</v>
      </c>
      <c r="H165" s="36"/>
      <c r="I165" s="36" t="s">
        <v>202</v>
      </c>
      <c r="J165" s="36" t="s">
        <v>49</v>
      </c>
      <c r="K165" s="36"/>
      <c r="L165" s="36" t="s">
        <v>186</v>
      </c>
      <c r="M165" s="36">
        <v>1.0</v>
      </c>
      <c r="N165" s="36"/>
      <c r="O165" s="36"/>
      <c r="P165" s="36"/>
      <c r="Q165" s="36"/>
      <c r="R165" s="36"/>
      <c r="S165" s="36"/>
    </row>
    <row r="166" ht="15.75" customHeight="1">
      <c r="B166" s="34">
        <v>46063.0</v>
      </c>
      <c r="C166" s="36">
        <v>4951.0</v>
      </c>
      <c r="D166" s="36">
        <v>50.0</v>
      </c>
      <c r="E166" s="38">
        <v>67.5</v>
      </c>
      <c r="F166" s="43">
        <f t="shared" si="6"/>
        <v>3375</v>
      </c>
      <c r="G166" s="36" t="s">
        <v>983</v>
      </c>
      <c r="H166" s="36" t="s">
        <v>985</v>
      </c>
      <c r="I166" s="36" t="s">
        <v>270</v>
      </c>
      <c r="J166" s="36" t="s">
        <v>49</v>
      </c>
      <c r="K166" s="36"/>
      <c r="L166" s="36" t="s">
        <v>150</v>
      </c>
      <c r="M166" s="36">
        <v>1.0</v>
      </c>
      <c r="N166" s="36"/>
      <c r="O166" s="36"/>
      <c r="P166" s="36"/>
      <c r="Q166" s="36"/>
      <c r="R166" s="36"/>
      <c r="S166" s="36"/>
    </row>
    <row r="167" ht="15.75" customHeight="1">
      <c r="B167" s="34">
        <v>46063.0</v>
      </c>
      <c r="C167" s="36">
        <v>4999.0</v>
      </c>
      <c r="D167" s="36">
        <v>20.0</v>
      </c>
      <c r="E167" s="38">
        <v>300.0</v>
      </c>
      <c r="F167" s="43">
        <f t="shared" si="6"/>
        <v>6000</v>
      </c>
      <c r="G167" s="36" t="s">
        <v>990</v>
      </c>
      <c r="H167" s="36" t="s">
        <v>590</v>
      </c>
      <c r="I167" s="36" t="s">
        <v>146</v>
      </c>
      <c r="J167" s="36" t="s">
        <v>49</v>
      </c>
      <c r="K167" s="36"/>
      <c r="L167" s="36" t="s">
        <v>150</v>
      </c>
      <c r="M167" s="36">
        <v>31.0</v>
      </c>
      <c r="N167" s="36"/>
      <c r="O167" s="36"/>
      <c r="P167" s="36"/>
      <c r="Q167" s="36"/>
      <c r="R167" s="36"/>
      <c r="S167" s="36"/>
    </row>
    <row r="168" ht="15.75" customHeight="1">
      <c r="B168" s="34">
        <v>46063.0</v>
      </c>
      <c r="C168" s="36">
        <v>4998.0</v>
      </c>
      <c r="D168" s="36">
        <v>40.0</v>
      </c>
      <c r="E168" s="38">
        <v>17.1</v>
      </c>
      <c r="F168" s="43">
        <f t="shared" si="6"/>
        <v>684</v>
      </c>
      <c r="G168" s="36" t="s">
        <v>995</v>
      </c>
      <c r="H168" s="36" t="s">
        <v>996</v>
      </c>
      <c r="I168" s="36" t="s">
        <v>999</v>
      </c>
      <c r="J168" s="36" t="s">
        <v>49</v>
      </c>
      <c r="K168" s="36"/>
      <c r="L168" s="36" t="s">
        <v>150</v>
      </c>
      <c r="M168" s="36">
        <v>1.0</v>
      </c>
      <c r="N168" s="36"/>
      <c r="O168" s="36"/>
      <c r="P168" s="36"/>
      <c r="Q168" s="36"/>
      <c r="R168" s="36"/>
      <c r="S168" s="36"/>
    </row>
    <row r="169" ht="15.75" customHeight="1">
      <c r="B169" s="34">
        <v>46064.0</v>
      </c>
      <c r="C169" s="50">
        <v>5120.0</v>
      </c>
      <c r="D169" s="36">
        <v>1.0</v>
      </c>
      <c r="E169" s="38">
        <v>55.0</v>
      </c>
      <c r="F169" s="43">
        <f t="shared" si="6"/>
        <v>55</v>
      </c>
      <c r="G169" s="50" t="s">
        <v>1002</v>
      </c>
      <c r="H169" s="50" t="s">
        <v>1003</v>
      </c>
      <c r="I169" s="36" t="s">
        <v>48</v>
      </c>
      <c r="J169" s="36" t="s">
        <v>49</v>
      </c>
      <c r="K169" s="36"/>
      <c r="L169" s="36" t="s">
        <v>150</v>
      </c>
      <c r="M169" s="36">
        <v>31.0</v>
      </c>
      <c r="N169" s="36"/>
      <c r="O169" s="36"/>
      <c r="P169" s="36"/>
      <c r="Q169" s="36"/>
      <c r="R169" s="36"/>
      <c r="S169" s="36"/>
    </row>
    <row r="170" ht="15.75" customHeight="1">
      <c r="B170" s="34">
        <v>46064.0</v>
      </c>
      <c r="C170" s="36">
        <v>5120.0</v>
      </c>
      <c r="D170" s="36">
        <v>1.0</v>
      </c>
      <c r="E170" s="38">
        <v>185.0</v>
      </c>
      <c r="F170" s="43">
        <f t="shared" si="6"/>
        <v>185</v>
      </c>
      <c r="G170" s="36" t="s">
        <v>1002</v>
      </c>
      <c r="H170" s="36" t="s">
        <v>1007</v>
      </c>
      <c r="I170" s="36" t="s">
        <v>48</v>
      </c>
      <c r="J170" s="36" t="s">
        <v>49</v>
      </c>
      <c r="K170" s="36"/>
      <c r="L170" s="36" t="s">
        <v>150</v>
      </c>
      <c r="M170" s="36">
        <v>31.0</v>
      </c>
      <c r="N170" s="36"/>
      <c r="O170" s="36"/>
      <c r="P170" s="36"/>
      <c r="Q170" s="36"/>
      <c r="R170" s="36"/>
      <c r="S170" s="36"/>
    </row>
    <row r="171" ht="15.75" customHeight="1">
      <c r="B171" s="34">
        <v>46064.0</v>
      </c>
      <c r="C171" s="36">
        <v>5120.0</v>
      </c>
      <c r="D171" s="36">
        <v>1.0</v>
      </c>
      <c r="E171" s="38">
        <v>165.0</v>
      </c>
      <c r="F171" s="43">
        <f t="shared" si="6"/>
        <v>165</v>
      </c>
      <c r="G171" s="36" t="s">
        <v>1002</v>
      </c>
      <c r="H171" s="36" t="s">
        <v>1013</v>
      </c>
      <c r="I171" s="36" t="s">
        <v>48</v>
      </c>
      <c r="J171" s="36" t="s">
        <v>49</v>
      </c>
      <c r="K171" s="36"/>
      <c r="L171" s="36" t="s">
        <v>150</v>
      </c>
      <c r="M171" s="36">
        <v>31.0</v>
      </c>
      <c r="N171" s="36"/>
      <c r="O171" s="36"/>
      <c r="P171" s="36"/>
      <c r="Q171" s="36"/>
      <c r="R171" s="36"/>
      <c r="S171" s="36"/>
    </row>
    <row r="172" ht="15.75" customHeight="1">
      <c r="B172" s="34">
        <v>46064.0</v>
      </c>
      <c r="C172" s="36"/>
      <c r="D172" s="36">
        <v>4.0</v>
      </c>
      <c r="E172" s="38">
        <v>1239.45</v>
      </c>
      <c r="F172" s="43">
        <f t="shared" si="6"/>
        <v>4957.8</v>
      </c>
      <c r="G172" s="64" t="s">
        <v>1018</v>
      </c>
      <c r="H172" s="36"/>
      <c r="I172" s="36" t="s">
        <v>270</v>
      </c>
      <c r="J172" s="36" t="s">
        <v>49</v>
      </c>
      <c r="K172" s="36"/>
      <c r="L172" s="36" t="s">
        <v>1023</v>
      </c>
      <c r="M172" s="36">
        <v>31.0</v>
      </c>
      <c r="N172" s="36"/>
      <c r="O172" s="36"/>
      <c r="P172" s="36"/>
      <c r="Q172" s="36"/>
      <c r="R172" s="36"/>
      <c r="S172" s="36"/>
    </row>
    <row r="173" ht="15.75" customHeight="1">
      <c r="B173" s="34">
        <v>46064.0</v>
      </c>
      <c r="C173" s="36"/>
      <c r="D173" s="36">
        <v>4.0</v>
      </c>
      <c r="E173" s="38">
        <v>1239.45</v>
      </c>
      <c r="F173" s="43">
        <f t="shared" si="6"/>
        <v>4957.8</v>
      </c>
      <c r="G173" s="64" t="s">
        <v>1027</v>
      </c>
      <c r="H173" s="36"/>
      <c r="I173" s="36" t="s">
        <v>270</v>
      </c>
      <c r="J173" s="36" t="s">
        <v>49</v>
      </c>
      <c r="K173" s="36"/>
      <c r="L173" s="36" t="s">
        <v>1023</v>
      </c>
      <c r="M173" s="36">
        <v>31.0</v>
      </c>
      <c r="N173" s="36"/>
      <c r="O173" s="36"/>
      <c r="P173" s="36"/>
      <c r="Q173" s="36"/>
      <c r="R173" s="36"/>
      <c r="S173" s="36"/>
    </row>
    <row r="174" ht="15.75" customHeight="1">
      <c r="B174" s="34">
        <v>46064.0</v>
      </c>
      <c r="C174" s="36"/>
      <c r="D174" s="36">
        <v>1.0</v>
      </c>
      <c r="E174" s="38">
        <v>1303.46</v>
      </c>
      <c r="F174" s="43">
        <f t="shared" si="6"/>
        <v>1303.46</v>
      </c>
      <c r="G174" s="64" t="s">
        <v>1031</v>
      </c>
      <c r="H174" s="36"/>
      <c r="I174" s="36" t="s">
        <v>270</v>
      </c>
      <c r="J174" s="36" t="s">
        <v>49</v>
      </c>
      <c r="K174" s="36"/>
      <c r="L174" s="36" t="s">
        <v>1023</v>
      </c>
      <c r="M174" s="36">
        <v>31.0</v>
      </c>
      <c r="N174" s="36"/>
      <c r="O174" s="36"/>
      <c r="P174" s="36"/>
      <c r="Q174" s="36"/>
      <c r="R174" s="36"/>
      <c r="S174" s="36"/>
    </row>
    <row r="175" ht="15.75" customHeight="1">
      <c r="B175" s="34">
        <v>46064.0</v>
      </c>
      <c r="C175" s="36"/>
      <c r="D175" s="36">
        <v>2.0</v>
      </c>
      <c r="E175" s="38">
        <v>1268.54</v>
      </c>
      <c r="F175" s="43">
        <f t="shared" si="6"/>
        <v>2537.08</v>
      </c>
      <c r="G175" s="64" t="s">
        <v>1040</v>
      </c>
      <c r="H175" s="36"/>
      <c r="I175" s="36" t="s">
        <v>270</v>
      </c>
      <c r="J175" s="36" t="s">
        <v>49</v>
      </c>
      <c r="K175" s="36"/>
      <c r="L175" s="36" t="s">
        <v>1023</v>
      </c>
      <c r="M175" s="36">
        <v>31.0</v>
      </c>
      <c r="N175" s="36"/>
      <c r="O175" s="36"/>
      <c r="P175" s="36"/>
      <c r="Q175" s="36"/>
      <c r="R175" s="36"/>
      <c r="S175" s="36"/>
    </row>
    <row r="176" ht="15.75" customHeight="1">
      <c r="B176" s="34">
        <v>46064.0</v>
      </c>
      <c r="C176" s="36"/>
      <c r="D176" s="36">
        <v>4.0</v>
      </c>
      <c r="E176" s="38">
        <v>1315.09</v>
      </c>
      <c r="F176" s="43">
        <f t="shared" si="6"/>
        <v>5260.36</v>
      </c>
      <c r="G176" s="64" t="s">
        <v>1046</v>
      </c>
      <c r="H176" s="36"/>
      <c r="I176" s="36" t="s">
        <v>270</v>
      </c>
      <c r="J176" s="36" t="s">
        <v>49</v>
      </c>
      <c r="K176" s="36"/>
      <c r="L176" s="36" t="s">
        <v>1023</v>
      </c>
      <c r="M176" s="36">
        <v>31.0</v>
      </c>
      <c r="N176" s="36"/>
      <c r="O176" s="36"/>
      <c r="P176" s="36"/>
      <c r="Q176" s="36"/>
      <c r="R176" s="36"/>
      <c r="S176" s="36"/>
    </row>
    <row r="177" ht="15.75" customHeight="1">
      <c r="B177" s="34">
        <v>46064.0</v>
      </c>
      <c r="C177" s="36"/>
      <c r="D177" s="36">
        <v>4.0</v>
      </c>
      <c r="E177" s="38">
        <v>1315.09</v>
      </c>
      <c r="F177" s="43">
        <f t="shared" si="6"/>
        <v>5260.36</v>
      </c>
      <c r="G177" s="64" t="s">
        <v>1053</v>
      </c>
      <c r="H177" s="36"/>
      <c r="I177" s="36" t="s">
        <v>270</v>
      </c>
      <c r="J177" s="36" t="s">
        <v>49</v>
      </c>
      <c r="K177" s="36"/>
      <c r="L177" s="36" t="s">
        <v>1023</v>
      </c>
      <c r="M177" s="36">
        <v>31.0</v>
      </c>
      <c r="N177" s="36"/>
      <c r="O177" s="36"/>
      <c r="P177" s="36"/>
      <c r="Q177" s="36"/>
      <c r="R177" s="36"/>
      <c r="S177" s="36"/>
    </row>
    <row r="178" ht="15.75" customHeight="1">
      <c r="B178" s="34">
        <v>46064.0</v>
      </c>
      <c r="C178" s="36"/>
      <c r="D178" s="36">
        <v>4.0</v>
      </c>
      <c r="E178" s="38">
        <v>1286.0</v>
      </c>
      <c r="F178" s="43">
        <f t="shared" si="6"/>
        <v>5144</v>
      </c>
      <c r="G178" s="64" t="s">
        <v>1053</v>
      </c>
      <c r="H178" s="36"/>
      <c r="I178" s="36" t="s">
        <v>270</v>
      </c>
      <c r="J178" s="36" t="s">
        <v>49</v>
      </c>
      <c r="K178" s="36"/>
      <c r="L178" s="36" t="s">
        <v>1023</v>
      </c>
      <c r="M178" s="36">
        <v>31.0</v>
      </c>
      <c r="N178" s="36"/>
      <c r="O178" s="36"/>
      <c r="P178" s="36"/>
      <c r="Q178" s="36"/>
      <c r="R178" s="36"/>
      <c r="S178" s="36"/>
    </row>
    <row r="179" ht="15.75" customHeight="1">
      <c r="B179" s="34">
        <v>46064.0</v>
      </c>
      <c r="C179" s="36"/>
      <c r="D179" s="36">
        <v>2.0</v>
      </c>
      <c r="E179" s="38">
        <v>1303.46</v>
      </c>
      <c r="F179" s="43">
        <f t="shared" si="6"/>
        <v>2606.92</v>
      </c>
      <c r="G179" s="64" t="s">
        <v>1059</v>
      </c>
      <c r="H179" s="36"/>
      <c r="I179" s="36" t="s">
        <v>270</v>
      </c>
      <c r="J179" s="36" t="s">
        <v>49</v>
      </c>
      <c r="K179" s="36"/>
      <c r="L179" s="36" t="s">
        <v>1023</v>
      </c>
      <c r="M179" s="36">
        <v>31.0</v>
      </c>
      <c r="N179" s="36"/>
      <c r="O179" s="36"/>
      <c r="P179" s="36"/>
      <c r="Q179" s="36"/>
      <c r="R179" s="36"/>
      <c r="S179" s="36"/>
    </row>
    <row r="180" ht="15.75" customHeight="1">
      <c r="B180" s="34">
        <v>46064.0</v>
      </c>
      <c r="C180" s="36"/>
      <c r="D180" s="36">
        <v>2.0</v>
      </c>
      <c r="E180" s="38">
        <v>1303.46</v>
      </c>
      <c r="F180" s="43">
        <f t="shared" si="6"/>
        <v>2606.92</v>
      </c>
      <c r="G180" s="64" t="s">
        <v>1065</v>
      </c>
      <c r="H180" s="36"/>
      <c r="I180" s="36" t="s">
        <v>270</v>
      </c>
      <c r="J180" s="36" t="s">
        <v>49</v>
      </c>
      <c r="K180" s="36"/>
      <c r="L180" s="36" t="s">
        <v>1023</v>
      </c>
      <c r="M180" s="36">
        <v>31.0</v>
      </c>
      <c r="N180" s="36"/>
      <c r="O180" s="36"/>
      <c r="P180" s="36"/>
      <c r="Q180" s="36"/>
      <c r="R180" s="36"/>
      <c r="S180" s="36"/>
    </row>
    <row r="181" ht="15.75" customHeight="1">
      <c r="B181" s="34">
        <v>46064.0</v>
      </c>
      <c r="C181" s="36"/>
      <c r="D181" s="36">
        <v>9.0</v>
      </c>
      <c r="E181" s="38">
        <v>1297.64</v>
      </c>
      <c r="F181" s="43">
        <f t="shared" si="6"/>
        <v>11678.76</v>
      </c>
      <c r="G181" s="64" t="s">
        <v>1071</v>
      </c>
      <c r="H181" s="36"/>
      <c r="I181" s="36" t="s">
        <v>270</v>
      </c>
      <c r="J181" s="36" t="s">
        <v>49</v>
      </c>
      <c r="K181" s="36"/>
      <c r="L181" s="36" t="s">
        <v>1023</v>
      </c>
      <c r="M181" s="36">
        <v>31.0</v>
      </c>
      <c r="N181" s="36"/>
      <c r="O181" s="36"/>
      <c r="P181" s="36"/>
      <c r="Q181" s="36"/>
      <c r="R181" s="36"/>
      <c r="S181" s="36"/>
    </row>
    <row r="182" ht="15.75" customHeight="1">
      <c r="B182" s="34">
        <v>46064.0</v>
      </c>
      <c r="C182" s="36"/>
      <c r="D182" s="36">
        <v>50.0</v>
      </c>
      <c r="E182" s="38">
        <v>152.0</v>
      </c>
      <c r="F182" s="43">
        <f t="shared" si="6"/>
        <v>7600</v>
      </c>
      <c r="G182" s="36" t="s">
        <v>1078</v>
      </c>
      <c r="H182" s="36"/>
      <c r="I182" s="36" t="s">
        <v>146</v>
      </c>
      <c r="J182" s="36" t="s">
        <v>49</v>
      </c>
      <c r="K182" s="36"/>
      <c r="L182" s="36" t="s">
        <v>1079</v>
      </c>
      <c r="M182" s="36">
        <v>31.0</v>
      </c>
      <c r="N182" s="36"/>
      <c r="O182" s="36"/>
      <c r="P182" s="36"/>
      <c r="Q182" s="36"/>
      <c r="R182" s="36"/>
      <c r="S182" s="36"/>
    </row>
    <row r="183" ht="15.75" customHeight="1">
      <c r="B183" s="34">
        <v>46064.0</v>
      </c>
      <c r="C183" s="36"/>
      <c r="D183" s="36">
        <v>70.0</v>
      </c>
      <c r="E183" s="38">
        <v>150.0</v>
      </c>
      <c r="F183" s="43">
        <f t="shared" si="6"/>
        <v>10500</v>
      </c>
      <c r="G183" s="36" t="s">
        <v>1084</v>
      </c>
      <c r="H183" s="36"/>
      <c r="I183" s="36" t="s">
        <v>146</v>
      </c>
      <c r="J183" s="36" t="s">
        <v>49</v>
      </c>
      <c r="K183" s="36"/>
      <c r="L183" s="36" t="s">
        <v>1079</v>
      </c>
      <c r="M183" s="36">
        <v>31.0</v>
      </c>
      <c r="N183" s="36"/>
      <c r="O183" s="36"/>
      <c r="P183" s="36"/>
      <c r="Q183" s="36"/>
      <c r="R183" s="36"/>
      <c r="S183" s="36"/>
    </row>
    <row r="184" ht="15.75" customHeight="1">
      <c r="B184" s="60">
        <v>46064.0</v>
      </c>
      <c r="C184" s="61">
        <v>5119.0</v>
      </c>
      <c r="D184" s="61">
        <v>100.0</v>
      </c>
      <c r="E184" s="62">
        <v>9.9</v>
      </c>
      <c r="F184" s="63">
        <f t="shared" si="6"/>
        <v>990</v>
      </c>
      <c r="G184" s="61" t="s">
        <v>1088</v>
      </c>
      <c r="H184" s="61" t="s">
        <v>1089</v>
      </c>
      <c r="I184" s="61" t="s">
        <v>146</v>
      </c>
      <c r="J184" s="61" t="s">
        <v>49</v>
      </c>
      <c r="K184" s="61"/>
      <c r="L184" s="61" t="s">
        <v>150</v>
      </c>
      <c r="M184" s="61">
        <v>31.0</v>
      </c>
      <c r="N184" s="36"/>
      <c r="O184" s="36"/>
      <c r="P184" s="36"/>
      <c r="Q184" s="36"/>
      <c r="R184" s="36"/>
      <c r="S184" s="36"/>
    </row>
    <row r="185" ht="15.75" customHeight="1">
      <c r="B185" s="34">
        <v>46064.0</v>
      </c>
      <c r="C185" s="36"/>
      <c r="D185" s="36">
        <v>200.0</v>
      </c>
      <c r="E185" s="38">
        <v>399.0</v>
      </c>
      <c r="F185" s="43">
        <f t="shared" si="6"/>
        <v>79800</v>
      </c>
      <c r="G185" s="36" t="s">
        <v>1094</v>
      </c>
      <c r="H185" s="36"/>
      <c r="I185" s="36" t="s">
        <v>58</v>
      </c>
      <c r="J185" s="36" t="s">
        <v>60</v>
      </c>
      <c r="K185" s="36"/>
      <c r="L185" s="36" t="s">
        <v>915</v>
      </c>
      <c r="M185" s="36">
        <v>31.0</v>
      </c>
      <c r="N185" s="36"/>
      <c r="O185" s="36"/>
      <c r="P185" s="36"/>
      <c r="Q185" s="36"/>
      <c r="R185" s="36"/>
      <c r="S185" s="36"/>
    </row>
    <row r="186" ht="15.75" customHeight="1">
      <c r="B186" s="34">
        <v>46064.0</v>
      </c>
      <c r="C186" s="36"/>
      <c r="D186" s="36">
        <v>200.0</v>
      </c>
      <c r="E186" s="38">
        <v>600.0</v>
      </c>
      <c r="F186" s="43">
        <f t="shared" si="6"/>
        <v>120000</v>
      </c>
      <c r="G186" s="36" t="s">
        <v>1100</v>
      </c>
      <c r="H186" s="36"/>
      <c r="I186" s="36" t="s">
        <v>694</v>
      </c>
      <c r="J186" s="36" t="s">
        <v>49</v>
      </c>
      <c r="K186" s="36"/>
      <c r="L186" s="36" t="s">
        <v>1101</v>
      </c>
      <c r="M186" s="36">
        <v>31.0</v>
      </c>
      <c r="N186" s="36"/>
      <c r="O186" s="36"/>
      <c r="P186" s="36"/>
      <c r="Q186" s="36"/>
      <c r="R186" s="36"/>
      <c r="S186" s="36"/>
    </row>
    <row r="187" ht="15.75" customHeight="1">
      <c r="B187" s="34">
        <v>46064.0</v>
      </c>
      <c r="C187" s="36"/>
      <c r="D187" s="36">
        <v>50.0</v>
      </c>
      <c r="E187" s="38">
        <v>600.0</v>
      </c>
      <c r="F187" s="43">
        <f t="shared" si="6"/>
        <v>30000</v>
      </c>
      <c r="G187" s="36" t="s">
        <v>1100</v>
      </c>
      <c r="H187" s="50"/>
      <c r="I187" s="36" t="s">
        <v>694</v>
      </c>
      <c r="J187" s="36" t="s">
        <v>49</v>
      </c>
      <c r="K187" s="36"/>
      <c r="L187" s="36" t="s">
        <v>1101</v>
      </c>
      <c r="M187" s="36">
        <v>31.0</v>
      </c>
      <c r="N187" s="36"/>
      <c r="O187" s="36"/>
      <c r="P187" s="36"/>
      <c r="Q187" s="36"/>
      <c r="R187" s="36"/>
      <c r="S187" s="36"/>
    </row>
    <row r="188" ht="15.75" customHeight="1">
      <c r="B188" s="34">
        <v>46064.0</v>
      </c>
      <c r="C188" s="36">
        <v>828.0</v>
      </c>
      <c r="D188" s="36">
        <v>16.0</v>
      </c>
      <c r="E188" s="38">
        <v>70.4</v>
      </c>
      <c r="F188" s="43">
        <f t="shared" si="6"/>
        <v>1126.4</v>
      </c>
      <c r="G188" s="36" t="s">
        <v>1109</v>
      </c>
      <c r="H188" s="36" t="s">
        <v>1110</v>
      </c>
      <c r="I188" s="36" t="s">
        <v>694</v>
      </c>
      <c r="J188" s="36"/>
      <c r="K188" s="36"/>
      <c r="L188" s="36"/>
      <c r="M188" s="36"/>
      <c r="N188" s="36"/>
      <c r="O188" s="36"/>
      <c r="P188" s="36"/>
      <c r="Q188" s="36"/>
      <c r="R188" s="36"/>
      <c r="S188" s="36"/>
    </row>
    <row r="189" ht="15.75" customHeight="1">
      <c r="B189" s="34">
        <v>46064.0</v>
      </c>
      <c r="C189" s="36">
        <v>5130.0</v>
      </c>
      <c r="D189" s="36">
        <v>30.0</v>
      </c>
      <c r="E189" s="38">
        <v>14.85</v>
      </c>
      <c r="F189" s="43">
        <f t="shared" si="6"/>
        <v>445.5</v>
      </c>
      <c r="G189" s="36" t="s">
        <v>1115</v>
      </c>
      <c r="H189" s="36" t="s">
        <v>1116</v>
      </c>
      <c r="I189" s="36" t="s">
        <v>694</v>
      </c>
      <c r="J189" s="36" t="s">
        <v>49</v>
      </c>
      <c r="K189" s="36"/>
      <c r="L189" s="36" t="s">
        <v>150</v>
      </c>
      <c r="M189" s="36">
        <v>31.0</v>
      </c>
      <c r="N189" s="36"/>
      <c r="O189" s="36"/>
      <c r="P189" s="36"/>
      <c r="Q189" s="36"/>
      <c r="R189" s="36"/>
      <c r="S189" s="36"/>
    </row>
    <row r="190" ht="15.75" customHeight="1">
      <c r="B190" s="34">
        <v>46064.0</v>
      </c>
      <c r="C190" s="36">
        <v>5130.0</v>
      </c>
      <c r="D190" s="36">
        <v>50.0</v>
      </c>
      <c r="E190" s="38">
        <v>18.9</v>
      </c>
      <c r="F190" s="43">
        <f t="shared" si="6"/>
        <v>945</v>
      </c>
      <c r="G190" s="36" t="s">
        <v>1121</v>
      </c>
      <c r="H190" s="36" t="s">
        <v>726</v>
      </c>
      <c r="I190" s="36" t="s">
        <v>694</v>
      </c>
      <c r="J190" s="36" t="s">
        <v>49</v>
      </c>
      <c r="K190" s="36"/>
      <c r="L190" s="36" t="s">
        <v>150</v>
      </c>
      <c r="M190" s="36">
        <v>31.0</v>
      </c>
      <c r="N190" s="36"/>
      <c r="O190" s="36"/>
      <c r="P190" s="36"/>
      <c r="Q190" s="36"/>
      <c r="R190" s="36"/>
      <c r="S190" s="36"/>
    </row>
    <row r="191" ht="15.75" customHeight="1">
      <c r="B191" s="34">
        <v>46064.0</v>
      </c>
      <c r="C191" s="36">
        <v>104787.0</v>
      </c>
      <c r="D191" s="36">
        <v>1.0</v>
      </c>
      <c r="E191" s="38">
        <v>485.0</v>
      </c>
      <c r="F191" s="43">
        <f t="shared" si="6"/>
        <v>485</v>
      </c>
      <c r="G191" s="43" t="s">
        <v>1126</v>
      </c>
      <c r="H191" s="36" t="s">
        <v>1127</v>
      </c>
      <c r="I191" s="36" t="s">
        <v>703</v>
      </c>
      <c r="J191" s="36" t="s">
        <v>60</v>
      </c>
      <c r="K191" s="36" t="s">
        <v>705</v>
      </c>
      <c r="L191" s="36" t="s">
        <v>703</v>
      </c>
      <c r="M191" s="36">
        <v>1.0</v>
      </c>
      <c r="N191" s="36"/>
      <c r="O191" s="36"/>
      <c r="P191" s="36"/>
      <c r="Q191" s="36"/>
      <c r="R191" s="36"/>
      <c r="S191" s="36"/>
    </row>
    <row r="192" ht="15.75" customHeight="1">
      <c r="B192" s="34">
        <v>46064.0</v>
      </c>
      <c r="C192" s="36">
        <v>1876.0</v>
      </c>
      <c r="D192" s="36">
        <v>20.0</v>
      </c>
      <c r="E192" s="38">
        <v>765.0</v>
      </c>
      <c r="F192" s="43">
        <f t="shared" si="6"/>
        <v>15300</v>
      </c>
      <c r="G192" s="36" t="s">
        <v>1132</v>
      </c>
      <c r="H192" s="36" t="s">
        <v>771</v>
      </c>
      <c r="I192" s="36" t="s">
        <v>694</v>
      </c>
      <c r="J192" s="36" t="s">
        <v>49</v>
      </c>
      <c r="K192" s="36"/>
      <c r="L192" s="36" t="s">
        <v>637</v>
      </c>
      <c r="M192" s="36">
        <v>31.0</v>
      </c>
      <c r="N192" s="36"/>
      <c r="O192" s="45"/>
      <c r="P192" s="36"/>
      <c r="Q192" s="36"/>
      <c r="R192" s="36"/>
      <c r="S192" s="36"/>
    </row>
    <row r="193" ht="15.75" customHeight="1">
      <c r="B193" s="34">
        <v>46064.0</v>
      </c>
      <c r="C193" s="36">
        <v>5130.0</v>
      </c>
      <c r="D193" s="36">
        <v>30.0</v>
      </c>
      <c r="E193" s="38">
        <v>14.85</v>
      </c>
      <c r="F193" s="43">
        <f t="shared" si="6"/>
        <v>445.5</v>
      </c>
      <c r="G193" s="36" t="s">
        <v>1137</v>
      </c>
      <c r="H193" s="36" t="s">
        <v>1116</v>
      </c>
      <c r="I193" s="36" t="s">
        <v>694</v>
      </c>
      <c r="J193" s="36" t="s">
        <v>49</v>
      </c>
      <c r="K193" s="36"/>
      <c r="L193" s="36" t="s">
        <v>150</v>
      </c>
      <c r="M193" s="36">
        <v>31.0</v>
      </c>
      <c r="N193" s="36"/>
      <c r="O193" s="45"/>
      <c r="P193" s="36"/>
      <c r="Q193" s="36"/>
      <c r="R193" s="36"/>
      <c r="S193" s="36"/>
    </row>
    <row r="194" ht="15.75" customHeight="1">
      <c r="B194" s="34">
        <v>46064.0</v>
      </c>
      <c r="C194" s="36">
        <v>5130.0</v>
      </c>
      <c r="D194" s="36">
        <v>50.0</v>
      </c>
      <c r="E194" s="38">
        <v>18.9</v>
      </c>
      <c r="F194" s="43">
        <f t="shared" si="6"/>
        <v>945</v>
      </c>
      <c r="G194" s="36" t="s">
        <v>1141</v>
      </c>
      <c r="H194" s="36" t="s">
        <v>726</v>
      </c>
      <c r="I194" s="36" t="s">
        <v>694</v>
      </c>
      <c r="J194" s="36" t="s">
        <v>49</v>
      </c>
      <c r="K194" s="36"/>
      <c r="L194" s="36" t="s">
        <v>150</v>
      </c>
      <c r="M194" s="36">
        <v>31.0</v>
      </c>
      <c r="N194" s="36"/>
      <c r="O194" s="45"/>
      <c r="P194" s="36"/>
      <c r="Q194" s="36"/>
      <c r="R194" s="36"/>
      <c r="S194" s="36"/>
    </row>
    <row r="195" ht="15.75" customHeight="1">
      <c r="B195" s="34">
        <v>46064.0</v>
      </c>
      <c r="C195" s="36"/>
      <c r="D195" s="36">
        <v>135.0</v>
      </c>
      <c r="E195" s="38">
        <v>399.0</v>
      </c>
      <c r="F195" s="43">
        <f t="shared" si="6"/>
        <v>53865</v>
      </c>
      <c r="G195" s="36" t="s">
        <v>1145</v>
      </c>
      <c r="H195" s="36"/>
      <c r="I195" s="36" t="s">
        <v>58</v>
      </c>
      <c r="J195" s="36" t="s">
        <v>60</v>
      </c>
      <c r="K195" s="36"/>
      <c r="L195" s="36" t="s">
        <v>915</v>
      </c>
      <c r="M195" s="36">
        <v>31.0</v>
      </c>
      <c r="N195" s="36"/>
      <c r="O195" s="36"/>
      <c r="P195" s="45">
        <v>46064.0</v>
      </c>
      <c r="Q195" s="36"/>
      <c r="R195" s="36"/>
      <c r="S195" s="36"/>
    </row>
    <row r="196" ht="15.75" customHeight="1">
      <c r="B196" s="34">
        <v>46064.0</v>
      </c>
      <c r="C196" s="36">
        <v>852.0</v>
      </c>
      <c r="D196" s="36">
        <v>16.0</v>
      </c>
      <c r="E196" s="38">
        <v>60.4</v>
      </c>
      <c r="F196" s="43">
        <v>966.4</v>
      </c>
      <c r="G196" s="36" t="s">
        <v>1152</v>
      </c>
      <c r="H196" s="36"/>
      <c r="I196" s="36" t="s">
        <v>300</v>
      </c>
      <c r="J196" s="36" t="s">
        <v>34</v>
      </c>
      <c r="K196" s="36"/>
      <c r="L196" s="36" t="s">
        <v>151</v>
      </c>
      <c r="M196" s="36">
        <v>31.0</v>
      </c>
      <c r="N196" s="36"/>
      <c r="O196" s="36"/>
      <c r="P196" s="36"/>
      <c r="Q196" s="36"/>
      <c r="R196" s="36"/>
      <c r="S196" s="36"/>
    </row>
    <row r="197" ht="15.75" customHeight="1">
      <c r="B197" s="34">
        <v>46064.0</v>
      </c>
      <c r="C197" s="36">
        <v>852.0</v>
      </c>
      <c r="D197" s="36">
        <v>16.0</v>
      </c>
      <c r="E197" s="38">
        <v>10.0</v>
      </c>
      <c r="F197" s="43">
        <v>160.0</v>
      </c>
      <c r="G197" s="36" t="s">
        <v>1156</v>
      </c>
      <c r="H197" s="36"/>
      <c r="I197" s="36" t="s">
        <v>300</v>
      </c>
      <c r="J197" s="36" t="s">
        <v>34</v>
      </c>
      <c r="K197" s="36"/>
      <c r="L197" s="36" t="s">
        <v>151</v>
      </c>
      <c r="M197" s="36">
        <v>31.0</v>
      </c>
      <c r="N197" s="36"/>
      <c r="O197" s="36"/>
      <c r="P197" s="36"/>
      <c r="Q197" s="36"/>
      <c r="R197" s="36"/>
      <c r="S197" s="36"/>
    </row>
    <row r="198" ht="15.75" customHeight="1">
      <c r="B198" s="34">
        <v>46064.0</v>
      </c>
      <c r="C198" s="36">
        <v>848.0</v>
      </c>
      <c r="D198" s="36">
        <v>1.0</v>
      </c>
      <c r="E198" s="38">
        <v>1512.0</v>
      </c>
      <c r="F198" s="43">
        <f t="shared" ref="F198:F219" si="7">E198*D198</f>
        <v>1512</v>
      </c>
      <c r="G198" s="36" t="s">
        <v>1170</v>
      </c>
      <c r="H198" s="36" t="s">
        <v>1172</v>
      </c>
      <c r="I198" s="36" t="s">
        <v>41</v>
      </c>
      <c r="J198" s="36"/>
      <c r="K198" s="36" t="s">
        <v>183</v>
      </c>
      <c r="L198" s="36" t="s">
        <v>151</v>
      </c>
      <c r="M198" s="36"/>
      <c r="N198" s="36"/>
      <c r="O198" s="45">
        <v>46101.0</v>
      </c>
      <c r="P198" s="36"/>
      <c r="Q198" s="36"/>
      <c r="R198" s="36"/>
      <c r="S198" s="36"/>
    </row>
    <row r="199" ht="15.75" customHeight="1">
      <c r="B199" s="34">
        <v>46064.0</v>
      </c>
      <c r="C199" s="36">
        <v>848.0</v>
      </c>
      <c r="D199" s="36">
        <v>1.0</v>
      </c>
      <c r="E199" s="38">
        <v>2520.0</v>
      </c>
      <c r="F199" s="43">
        <f t="shared" si="7"/>
        <v>2520</v>
      </c>
      <c r="G199" s="36" t="s">
        <v>1177</v>
      </c>
      <c r="H199" s="36" t="s">
        <v>1178</v>
      </c>
      <c r="I199" s="36" t="s">
        <v>41</v>
      </c>
      <c r="J199" s="36"/>
      <c r="K199" s="36" t="s">
        <v>183</v>
      </c>
      <c r="L199" s="36" t="s">
        <v>151</v>
      </c>
      <c r="M199" s="36"/>
      <c r="N199" s="36"/>
      <c r="O199" s="45">
        <v>46101.0</v>
      </c>
      <c r="P199" s="36"/>
      <c r="Q199" s="36"/>
      <c r="R199" s="36"/>
      <c r="S199" s="36"/>
    </row>
    <row r="200" ht="15.75" customHeight="1">
      <c r="B200" s="34">
        <v>46064.0</v>
      </c>
      <c r="C200" s="36">
        <v>848.0</v>
      </c>
      <c r="D200" s="36">
        <v>1.0</v>
      </c>
      <c r="E200" s="38">
        <v>2702.0</v>
      </c>
      <c r="F200" s="43">
        <f t="shared" si="7"/>
        <v>2702</v>
      </c>
      <c r="G200" s="36" t="s">
        <v>1177</v>
      </c>
      <c r="H200" s="36" t="s">
        <v>1183</v>
      </c>
      <c r="I200" s="36" t="s">
        <v>41</v>
      </c>
      <c r="J200" s="36"/>
      <c r="K200" s="36" t="s">
        <v>183</v>
      </c>
      <c r="L200" s="36" t="s">
        <v>151</v>
      </c>
      <c r="M200" s="36"/>
      <c r="N200" s="36"/>
      <c r="O200" s="45">
        <v>46101.0</v>
      </c>
      <c r="P200" s="36"/>
      <c r="Q200" s="36"/>
      <c r="R200" s="36"/>
      <c r="S200" s="36"/>
    </row>
    <row r="201" ht="15.75" customHeight="1">
      <c r="B201" s="34">
        <v>46064.0</v>
      </c>
      <c r="C201" s="36">
        <v>848.0</v>
      </c>
      <c r="D201" s="36">
        <v>1.0</v>
      </c>
      <c r="E201" s="38">
        <v>1876.0</v>
      </c>
      <c r="F201" s="43">
        <f t="shared" si="7"/>
        <v>1876</v>
      </c>
      <c r="G201" s="36" t="s">
        <v>1177</v>
      </c>
      <c r="H201" s="36" t="s">
        <v>1190</v>
      </c>
      <c r="I201" s="36" t="s">
        <v>41</v>
      </c>
      <c r="J201" s="36"/>
      <c r="K201" s="36" t="s">
        <v>183</v>
      </c>
      <c r="L201" s="36" t="s">
        <v>151</v>
      </c>
      <c r="M201" s="36"/>
      <c r="N201" s="36"/>
      <c r="O201" s="45">
        <v>46101.0</v>
      </c>
      <c r="P201" s="36"/>
      <c r="Q201" s="36"/>
      <c r="R201" s="36"/>
      <c r="S201" s="36"/>
    </row>
    <row r="202" ht="15.75" customHeight="1">
      <c r="B202" s="60">
        <v>46065.0</v>
      </c>
      <c r="C202" s="61">
        <v>5163.0</v>
      </c>
      <c r="D202" s="61">
        <v>300.0</v>
      </c>
      <c r="E202" s="62">
        <v>1.8</v>
      </c>
      <c r="F202" s="63">
        <f t="shared" si="7"/>
        <v>540</v>
      </c>
      <c r="G202" s="61" t="s">
        <v>1198</v>
      </c>
      <c r="H202" s="61" t="s">
        <v>1199</v>
      </c>
      <c r="I202" s="61" t="s">
        <v>146</v>
      </c>
      <c r="J202" s="61" t="s">
        <v>49</v>
      </c>
      <c r="K202" s="61"/>
      <c r="L202" s="61" t="s">
        <v>150</v>
      </c>
      <c r="M202" s="61">
        <v>31.0</v>
      </c>
      <c r="N202" s="36"/>
      <c r="O202" s="36"/>
      <c r="P202" s="36"/>
      <c r="Q202" s="36"/>
      <c r="R202" s="36"/>
      <c r="S202" s="36"/>
    </row>
    <row r="203" ht="15.75" customHeight="1">
      <c r="B203" s="34">
        <v>46065.0</v>
      </c>
      <c r="C203" s="36">
        <v>4153.0</v>
      </c>
      <c r="D203" s="36">
        <v>10.0</v>
      </c>
      <c r="E203" s="38">
        <v>54.0</v>
      </c>
      <c r="F203" s="43">
        <f t="shared" si="7"/>
        <v>540</v>
      </c>
      <c r="G203" s="36" t="s">
        <v>1203</v>
      </c>
      <c r="H203" s="36" t="s">
        <v>1204</v>
      </c>
      <c r="I203" s="36" t="s">
        <v>270</v>
      </c>
      <c r="J203" s="36" t="s">
        <v>49</v>
      </c>
      <c r="K203" s="36"/>
      <c r="L203" s="36" t="s">
        <v>806</v>
      </c>
      <c r="M203" s="36">
        <v>1.0</v>
      </c>
      <c r="N203" s="36"/>
      <c r="O203" s="36"/>
      <c r="P203" s="36"/>
      <c r="Q203" s="36"/>
      <c r="R203" s="36"/>
      <c r="S203" s="36"/>
    </row>
    <row r="204" ht="15.75" customHeight="1">
      <c r="B204" s="34">
        <v>46065.0</v>
      </c>
      <c r="C204" s="36">
        <v>4153.0</v>
      </c>
      <c r="D204" s="36">
        <v>40.0</v>
      </c>
      <c r="E204" s="38">
        <v>54.0</v>
      </c>
      <c r="F204" s="43">
        <f t="shared" si="7"/>
        <v>2160</v>
      </c>
      <c r="G204" s="36" t="s">
        <v>1203</v>
      </c>
      <c r="H204" s="36" t="s">
        <v>1204</v>
      </c>
      <c r="I204" s="36" t="s">
        <v>270</v>
      </c>
      <c r="J204" s="36" t="s">
        <v>162</v>
      </c>
      <c r="K204" s="36"/>
      <c r="L204" s="36" t="s">
        <v>806</v>
      </c>
      <c r="M204" s="36">
        <v>1.0</v>
      </c>
      <c r="N204" s="36"/>
      <c r="O204" s="36"/>
      <c r="P204" s="36"/>
      <c r="Q204" s="36"/>
      <c r="R204" s="36"/>
      <c r="S204" s="36"/>
    </row>
    <row r="205" ht="15.75" customHeight="1">
      <c r="B205" s="34">
        <v>46065.0</v>
      </c>
      <c r="C205" s="36">
        <v>4153.0</v>
      </c>
      <c r="D205" s="36">
        <v>30.0</v>
      </c>
      <c r="E205" s="38">
        <v>19.8</v>
      </c>
      <c r="F205" s="43">
        <f t="shared" si="7"/>
        <v>594</v>
      </c>
      <c r="G205" s="36" t="s">
        <v>1209</v>
      </c>
      <c r="H205" s="36" t="s">
        <v>1210</v>
      </c>
      <c r="I205" s="36" t="s">
        <v>270</v>
      </c>
      <c r="J205" s="36" t="s">
        <v>49</v>
      </c>
      <c r="K205" s="36"/>
      <c r="L205" s="36" t="s">
        <v>806</v>
      </c>
      <c r="M205" s="36">
        <v>1.0</v>
      </c>
      <c r="N205" s="36"/>
      <c r="O205" s="36"/>
      <c r="P205" s="36"/>
      <c r="Q205" s="36"/>
      <c r="R205" s="36"/>
      <c r="S205" s="36"/>
    </row>
    <row r="206" ht="15.75" customHeight="1">
      <c r="B206" s="34">
        <v>46065.0</v>
      </c>
      <c r="C206" s="36">
        <v>4153.0</v>
      </c>
      <c r="D206" s="36">
        <v>70.0</v>
      </c>
      <c r="E206" s="38">
        <v>19.8</v>
      </c>
      <c r="F206" s="43">
        <f t="shared" si="7"/>
        <v>1386</v>
      </c>
      <c r="G206" s="36" t="s">
        <v>1209</v>
      </c>
      <c r="H206" s="36" t="s">
        <v>1210</v>
      </c>
      <c r="I206" s="36" t="s">
        <v>270</v>
      </c>
      <c r="J206" s="36" t="s">
        <v>162</v>
      </c>
      <c r="K206" s="36"/>
      <c r="L206" s="36" t="s">
        <v>806</v>
      </c>
      <c r="M206" s="36">
        <v>1.0</v>
      </c>
      <c r="N206" s="36"/>
      <c r="O206" s="36"/>
      <c r="P206" s="36"/>
      <c r="Q206" s="36"/>
      <c r="R206" s="36"/>
      <c r="S206" s="36"/>
    </row>
    <row r="207" ht="15.75" customHeight="1">
      <c r="B207" s="34">
        <v>46065.0</v>
      </c>
      <c r="C207" s="36"/>
      <c r="D207" s="36">
        <v>500.0</v>
      </c>
      <c r="E207" s="38">
        <v>112.0</v>
      </c>
      <c r="F207" s="43">
        <f t="shared" si="7"/>
        <v>56000</v>
      </c>
      <c r="G207" s="36" t="s">
        <v>1221</v>
      </c>
      <c r="H207" s="36"/>
      <c r="I207" s="36" t="s">
        <v>1222</v>
      </c>
      <c r="J207" s="36" t="s">
        <v>162</v>
      </c>
      <c r="K207" s="36"/>
      <c r="L207" s="36" t="s">
        <v>61</v>
      </c>
      <c r="M207" s="36">
        <v>31.0</v>
      </c>
      <c r="N207" s="36"/>
      <c r="O207" s="36"/>
      <c r="P207" s="36"/>
      <c r="Q207" s="36"/>
      <c r="R207" s="36"/>
      <c r="S207" s="36"/>
    </row>
    <row r="208" ht="15.75" customHeight="1">
      <c r="B208" s="34">
        <v>46065.0</v>
      </c>
      <c r="C208" s="36">
        <v>9667.0</v>
      </c>
      <c r="D208" s="36">
        <v>200.0</v>
      </c>
      <c r="E208" s="38">
        <v>60.0</v>
      </c>
      <c r="F208" s="43">
        <f t="shared" si="7"/>
        <v>12000</v>
      </c>
      <c r="G208" s="36" t="s">
        <v>1225</v>
      </c>
      <c r="H208" s="53"/>
      <c r="I208" s="36" t="s">
        <v>66</v>
      </c>
      <c r="J208" s="36" t="s">
        <v>49</v>
      </c>
      <c r="K208" s="36"/>
      <c r="L208" s="36" t="s">
        <v>1227</v>
      </c>
      <c r="M208" s="36">
        <v>1.0</v>
      </c>
      <c r="N208" s="36"/>
      <c r="O208" s="36"/>
      <c r="P208" s="36"/>
      <c r="Q208" s="36"/>
      <c r="R208" s="36"/>
      <c r="S208" s="36"/>
    </row>
    <row r="209" ht="15.75" customHeight="1">
      <c r="B209" s="34">
        <v>46065.0</v>
      </c>
      <c r="C209" s="36">
        <v>9668.0</v>
      </c>
      <c r="D209" s="36">
        <v>50.0</v>
      </c>
      <c r="E209" s="38">
        <v>40.0</v>
      </c>
      <c r="F209" s="43">
        <f t="shared" si="7"/>
        <v>2000</v>
      </c>
      <c r="G209" s="36" t="s">
        <v>1232</v>
      </c>
      <c r="H209" s="36"/>
      <c r="I209" s="36" t="s">
        <v>66</v>
      </c>
      <c r="J209" s="36" t="s">
        <v>49</v>
      </c>
      <c r="K209" s="36"/>
      <c r="L209" s="36" t="s">
        <v>1227</v>
      </c>
      <c r="M209" s="36">
        <v>1.0</v>
      </c>
      <c r="N209" s="36"/>
      <c r="O209" s="45">
        <v>46066.0</v>
      </c>
      <c r="P209" s="36"/>
      <c r="Q209" s="36"/>
      <c r="R209" s="36"/>
      <c r="S209" s="36"/>
    </row>
    <row r="210" ht="15.75" customHeight="1">
      <c r="B210" s="34">
        <v>46065.0</v>
      </c>
      <c r="C210" s="36">
        <v>9668.0</v>
      </c>
      <c r="D210" s="36">
        <v>700.0</v>
      </c>
      <c r="E210" s="38">
        <v>60.0</v>
      </c>
      <c r="F210" s="43">
        <f t="shared" si="7"/>
        <v>42000</v>
      </c>
      <c r="G210" s="36" t="s">
        <v>1236</v>
      </c>
      <c r="H210" s="36"/>
      <c r="I210" s="36" t="s">
        <v>66</v>
      </c>
      <c r="J210" s="36" t="s">
        <v>49</v>
      </c>
      <c r="K210" s="36"/>
      <c r="L210" s="36" t="s">
        <v>1227</v>
      </c>
      <c r="M210" s="36">
        <v>1.0</v>
      </c>
      <c r="N210" s="36"/>
      <c r="O210" s="45">
        <v>46066.0</v>
      </c>
      <c r="P210" s="36"/>
      <c r="Q210" s="36"/>
      <c r="R210" s="36"/>
      <c r="S210" s="36"/>
    </row>
    <row r="211" ht="15.75" customHeight="1">
      <c r="B211" s="34">
        <v>46065.0</v>
      </c>
      <c r="C211" s="36">
        <v>9668.0</v>
      </c>
      <c r="D211" s="36">
        <v>50.0</v>
      </c>
      <c r="E211" s="38">
        <v>85.0</v>
      </c>
      <c r="F211" s="43">
        <f t="shared" si="7"/>
        <v>4250</v>
      </c>
      <c r="G211" s="36" t="s">
        <v>1243</v>
      </c>
      <c r="H211" s="36"/>
      <c r="I211" s="36" t="s">
        <v>66</v>
      </c>
      <c r="J211" s="36" t="s">
        <v>49</v>
      </c>
      <c r="K211" s="36"/>
      <c r="L211" s="36" t="s">
        <v>1227</v>
      </c>
      <c r="M211" s="36">
        <v>1.0</v>
      </c>
      <c r="N211" s="36"/>
      <c r="O211" s="45">
        <v>46066.0</v>
      </c>
      <c r="P211" s="36"/>
      <c r="Q211" s="36"/>
      <c r="R211" s="36"/>
      <c r="S211" s="36"/>
    </row>
    <row r="212" ht="15.75" customHeight="1">
      <c r="B212" s="34">
        <v>46065.0</v>
      </c>
      <c r="C212" s="36">
        <v>277.0</v>
      </c>
      <c r="D212" s="36">
        <v>6.0</v>
      </c>
      <c r="E212" s="38">
        <v>299.0</v>
      </c>
      <c r="F212" s="43">
        <f t="shared" si="7"/>
        <v>1794</v>
      </c>
      <c r="G212" s="36" t="s">
        <v>1252</v>
      </c>
      <c r="H212" s="36"/>
      <c r="I212" s="36" t="s">
        <v>270</v>
      </c>
      <c r="J212" s="36" t="s">
        <v>162</v>
      </c>
      <c r="K212" s="36"/>
      <c r="L212" s="36" t="s">
        <v>525</v>
      </c>
      <c r="M212" s="36">
        <v>31.0</v>
      </c>
      <c r="N212" s="36"/>
      <c r="O212" s="45"/>
      <c r="P212" s="36"/>
      <c r="Q212" s="36"/>
      <c r="R212" s="36"/>
      <c r="S212" s="36"/>
    </row>
    <row r="213" ht="15.75" customHeight="1">
      <c r="B213" s="34">
        <v>46065.0</v>
      </c>
      <c r="C213" s="36">
        <v>277.0</v>
      </c>
      <c r="D213" s="36">
        <v>25.0</v>
      </c>
      <c r="E213" s="38">
        <v>299.0</v>
      </c>
      <c r="F213" s="43">
        <f t="shared" si="7"/>
        <v>7475</v>
      </c>
      <c r="G213" s="36" t="s">
        <v>1258</v>
      </c>
      <c r="H213" s="36"/>
      <c r="I213" s="36" t="s">
        <v>270</v>
      </c>
      <c r="J213" s="36" t="s">
        <v>162</v>
      </c>
      <c r="K213" s="36"/>
      <c r="L213" s="36" t="s">
        <v>525</v>
      </c>
      <c r="M213" s="36">
        <v>31.0</v>
      </c>
      <c r="N213" s="36"/>
      <c r="O213" s="45"/>
      <c r="P213" s="36"/>
      <c r="Q213" s="36"/>
      <c r="R213" s="36"/>
      <c r="S213" s="36"/>
    </row>
    <row r="214" ht="15.75" customHeight="1">
      <c r="B214" s="34">
        <v>46065.0</v>
      </c>
      <c r="C214" s="36">
        <v>277.0</v>
      </c>
      <c r="D214" s="36">
        <v>30.0</v>
      </c>
      <c r="E214" s="38">
        <v>299.0</v>
      </c>
      <c r="F214" s="43">
        <f t="shared" si="7"/>
        <v>8970</v>
      </c>
      <c r="G214" s="36" t="s">
        <v>1260</v>
      </c>
      <c r="H214" s="36"/>
      <c r="I214" s="36" t="s">
        <v>270</v>
      </c>
      <c r="J214" s="36" t="s">
        <v>162</v>
      </c>
      <c r="K214" s="36"/>
      <c r="L214" s="36" t="s">
        <v>525</v>
      </c>
      <c r="M214" s="36">
        <v>31.0</v>
      </c>
      <c r="N214" s="36"/>
      <c r="O214" s="45"/>
      <c r="P214" s="36"/>
      <c r="Q214" s="36"/>
      <c r="R214" s="36"/>
      <c r="S214" s="36"/>
    </row>
    <row r="215" ht="15.75" customHeight="1">
      <c r="B215" s="34">
        <v>46065.0</v>
      </c>
      <c r="C215" s="36">
        <v>6214.0</v>
      </c>
      <c r="D215" s="36">
        <v>40.0</v>
      </c>
      <c r="E215" s="38">
        <v>39.99</v>
      </c>
      <c r="F215" s="43">
        <f t="shared" si="7"/>
        <v>1599.6</v>
      </c>
      <c r="G215" s="36" t="s">
        <v>1264</v>
      </c>
      <c r="H215" s="36"/>
      <c r="I215" s="36" t="s">
        <v>146</v>
      </c>
      <c r="J215" s="36" t="s">
        <v>49</v>
      </c>
      <c r="K215" s="36"/>
      <c r="L215" s="36" t="s">
        <v>186</v>
      </c>
      <c r="M215" s="36">
        <v>31.0</v>
      </c>
      <c r="N215" s="36"/>
      <c r="O215" s="45"/>
      <c r="P215" s="36"/>
      <c r="Q215" s="36"/>
      <c r="R215" s="36"/>
      <c r="S215" s="36"/>
    </row>
    <row r="216" ht="15.75" customHeight="1">
      <c r="B216" s="34">
        <v>46065.0</v>
      </c>
      <c r="C216" s="36">
        <v>5170.0</v>
      </c>
      <c r="D216" s="36">
        <v>200.0</v>
      </c>
      <c r="E216" s="38">
        <v>315.0</v>
      </c>
      <c r="F216" s="43">
        <f t="shared" si="7"/>
        <v>63000</v>
      </c>
      <c r="G216" s="36" t="s">
        <v>1268</v>
      </c>
      <c r="H216" s="36" t="s">
        <v>1269</v>
      </c>
      <c r="I216" s="36" t="s">
        <v>146</v>
      </c>
      <c r="J216" s="36" t="s">
        <v>49</v>
      </c>
      <c r="K216" s="36"/>
      <c r="L216" s="36"/>
      <c r="M216" s="36">
        <v>31.0</v>
      </c>
      <c r="N216" s="36"/>
      <c r="O216" s="36"/>
      <c r="P216" s="36"/>
      <c r="Q216" s="36"/>
      <c r="R216" s="36"/>
      <c r="S216" s="36"/>
    </row>
    <row r="217" ht="15.75" customHeight="1">
      <c r="B217" s="34">
        <v>46065.0</v>
      </c>
      <c r="C217" s="36">
        <v>6153.0</v>
      </c>
      <c r="D217" s="36">
        <v>10.0</v>
      </c>
      <c r="E217" s="38">
        <v>139.9</v>
      </c>
      <c r="F217" s="43">
        <f t="shared" si="7"/>
        <v>1399</v>
      </c>
      <c r="G217" s="36" t="s">
        <v>1274</v>
      </c>
      <c r="H217" s="36" t="s">
        <v>192</v>
      </c>
      <c r="I217" s="36" t="s">
        <v>202</v>
      </c>
      <c r="J217" s="36" t="s">
        <v>34</v>
      </c>
      <c r="K217" s="36" t="s">
        <v>35</v>
      </c>
      <c r="L217" s="36"/>
      <c r="M217" s="36"/>
      <c r="N217" s="36"/>
      <c r="O217" s="45">
        <v>46100.0</v>
      </c>
      <c r="P217" s="36"/>
      <c r="Q217" s="36"/>
      <c r="R217" s="36"/>
      <c r="S217" s="36"/>
    </row>
    <row r="218" ht="15.75" customHeight="1">
      <c r="B218" s="34">
        <v>46065.0</v>
      </c>
      <c r="C218" s="36">
        <v>5887.0</v>
      </c>
      <c r="D218" s="36">
        <v>10.0</v>
      </c>
      <c r="E218" s="38">
        <v>139.9</v>
      </c>
      <c r="F218" s="43">
        <f t="shared" si="7"/>
        <v>1399</v>
      </c>
      <c r="G218" s="36" t="s">
        <v>1274</v>
      </c>
      <c r="H218" s="36" t="s">
        <v>192</v>
      </c>
      <c r="I218" s="36" t="s">
        <v>202</v>
      </c>
      <c r="J218" s="36" t="s">
        <v>34</v>
      </c>
      <c r="K218" s="36" t="s">
        <v>35</v>
      </c>
      <c r="L218" s="36"/>
      <c r="M218" s="36"/>
      <c r="N218" s="36"/>
      <c r="O218" s="36"/>
      <c r="P218" s="36"/>
      <c r="Q218" s="36"/>
      <c r="R218" s="36"/>
      <c r="S218" s="36"/>
    </row>
    <row r="219" ht="15.75" customHeight="1">
      <c r="B219" s="34">
        <v>46065.0</v>
      </c>
      <c r="C219" s="36">
        <v>851.0</v>
      </c>
      <c r="D219" s="36">
        <v>1.0</v>
      </c>
      <c r="E219" s="38">
        <v>972.0</v>
      </c>
      <c r="F219" s="43">
        <f t="shared" si="7"/>
        <v>972</v>
      </c>
      <c r="G219" s="36" t="s">
        <v>1280</v>
      </c>
      <c r="H219" s="36" t="s">
        <v>1282</v>
      </c>
      <c r="I219" s="36" t="s">
        <v>202</v>
      </c>
      <c r="J219" s="36" t="s">
        <v>34</v>
      </c>
      <c r="K219" s="36" t="s">
        <v>183</v>
      </c>
      <c r="L219" s="36" t="s">
        <v>151</v>
      </c>
      <c r="M219" s="36">
        <v>31.0</v>
      </c>
      <c r="N219" s="36"/>
      <c r="O219" s="45">
        <v>46101.0</v>
      </c>
      <c r="P219" s="36"/>
      <c r="Q219" s="36"/>
      <c r="R219" s="36"/>
      <c r="S219" s="36"/>
    </row>
    <row r="220" ht="15.75" customHeight="1">
      <c r="B220" s="34">
        <v>46066.0</v>
      </c>
      <c r="C220" s="36"/>
      <c r="D220" s="36">
        <v>30.0</v>
      </c>
      <c r="E220" s="38"/>
      <c r="F220" s="43"/>
      <c r="G220" s="36" t="s">
        <v>1284</v>
      </c>
      <c r="H220" s="36"/>
      <c r="I220" s="36" t="s">
        <v>270</v>
      </c>
      <c r="J220" s="36" t="s">
        <v>49</v>
      </c>
      <c r="K220" s="36"/>
      <c r="L220" s="36" t="s">
        <v>751</v>
      </c>
      <c r="M220" s="36">
        <v>31.0</v>
      </c>
      <c r="N220" s="36"/>
      <c r="O220" s="45"/>
      <c r="P220" s="36"/>
      <c r="Q220" s="36"/>
      <c r="R220" s="36"/>
      <c r="S220" s="36"/>
    </row>
    <row r="221" ht="15.75" customHeight="1">
      <c r="B221" s="34">
        <v>46066.0</v>
      </c>
      <c r="C221" s="36"/>
      <c r="D221" s="36">
        <v>300.0</v>
      </c>
      <c r="E221" s="38"/>
      <c r="F221" s="43"/>
      <c r="G221" s="36" t="s">
        <v>1287</v>
      </c>
      <c r="H221" s="36"/>
      <c r="I221" s="36" t="s">
        <v>146</v>
      </c>
      <c r="J221" s="36" t="s">
        <v>162</v>
      </c>
      <c r="K221" s="36"/>
      <c r="L221" s="36" t="s">
        <v>751</v>
      </c>
      <c r="M221" s="36">
        <v>31.0</v>
      </c>
      <c r="N221" s="36"/>
      <c r="O221" s="45">
        <v>46101.0</v>
      </c>
      <c r="P221" s="36"/>
      <c r="Q221" s="36"/>
      <c r="R221" s="36"/>
      <c r="S221" s="36"/>
    </row>
    <row r="222" ht="15.75" customHeight="1">
      <c r="B222" s="34">
        <v>46066.0</v>
      </c>
      <c r="C222" s="36"/>
      <c r="D222" s="36">
        <v>70.0</v>
      </c>
      <c r="E222" s="38"/>
      <c r="F222" s="43"/>
      <c r="G222" s="36" t="s">
        <v>1291</v>
      </c>
      <c r="H222" s="36"/>
      <c r="I222" s="36" t="s">
        <v>146</v>
      </c>
      <c r="J222" s="36" t="s">
        <v>49</v>
      </c>
      <c r="K222" s="36"/>
      <c r="L222" s="36" t="s">
        <v>751</v>
      </c>
      <c r="M222" s="36">
        <v>31.0</v>
      </c>
      <c r="N222" s="36"/>
      <c r="O222" s="45"/>
      <c r="P222" s="36"/>
      <c r="Q222" s="36"/>
      <c r="R222" s="36"/>
      <c r="S222" s="36"/>
    </row>
    <row r="223" ht="15.75" customHeight="1">
      <c r="B223" s="34">
        <v>46066.0</v>
      </c>
      <c r="C223" s="36"/>
      <c r="D223" s="36">
        <v>20.0</v>
      </c>
      <c r="E223" s="38"/>
      <c r="F223" s="43"/>
      <c r="G223" s="36" t="s">
        <v>1296</v>
      </c>
      <c r="H223" s="36" t="s">
        <v>830</v>
      </c>
      <c r="I223" s="36" t="s">
        <v>146</v>
      </c>
      <c r="J223" s="36" t="s">
        <v>49</v>
      </c>
      <c r="K223" s="36"/>
      <c r="L223" s="36" t="s">
        <v>751</v>
      </c>
      <c r="M223" s="36">
        <v>31.0</v>
      </c>
      <c r="N223" s="36"/>
      <c r="O223" s="45"/>
      <c r="P223" s="36"/>
      <c r="Q223" s="36"/>
      <c r="R223" s="36"/>
      <c r="S223" s="36"/>
    </row>
    <row r="224" ht="15.75" customHeight="1">
      <c r="B224" s="34">
        <v>46066.0</v>
      </c>
      <c r="C224" s="36"/>
      <c r="D224" s="36">
        <v>250.0</v>
      </c>
      <c r="E224" s="38">
        <v>390.0</v>
      </c>
      <c r="F224" s="43">
        <f t="shared" ref="F224:F233" si="8">E224*D224</f>
        <v>97500</v>
      </c>
      <c r="G224" s="36" t="s">
        <v>1303</v>
      </c>
      <c r="H224" s="36"/>
      <c r="I224" s="36" t="s">
        <v>270</v>
      </c>
      <c r="J224" s="36" t="s">
        <v>49</v>
      </c>
      <c r="K224" s="36"/>
      <c r="L224" s="36" t="s">
        <v>1305</v>
      </c>
      <c r="M224" s="36">
        <v>31.0</v>
      </c>
      <c r="N224" s="36"/>
      <c r="O224" s="45">
        <v>46072.0</v>
      </c>
      <c r="P224" s="45">
        <v>46071.0</v>
      </c>
      <c r="Q224" s="36"/>
      <c r="R224" s="36"/>
      <c r="S224" s="36"/>
    </row>
    <row r="225" ht="15.75" customHeight="1">
      <c r="B225" s="34">
        <v>46071.0</v>
      </c>
      <c r="C225" s="36"/>
      <c r="D225" s="36">
        <v>70.0</v>
      </c>
      <c r="E225" s="38">
        <v>152.0</v>
      </c>
      <c r="F225" s="43">
        <f t="shared" si="8"/>
        <v>10640</v>
      </c>
      <c r="G225" s="36" t="s">
        <v>1312</v>
      </c>
      <c r="H225" s="36"/>
      <c r="I225" s="36" t="s">
        <v>48</v>
      </c>
      <c r="J225" s="36" t="s">
        <v>49</v>
      </c>
      <c r="K225" s="36"/>
      <c r="L225" s="36" t="s">
        <v>1313</v>
      </c>
      <c r="M225" s="36">
        <v>31.0</v>
      </c>
      <c r="N225" s="36"/>
      <c r="O225" s="45"/>
      <c r="P225" s="36"/>
      <c r="Q225" s="36"/>
      <c r="R225" s="36"/>
      <c r="S225" s="36"/>
    </row>
    <row r="226" ht="15.75" customHeight="1">
      <c r="B226" s="34">
        <v>46071.0</v>
      </c>
      <c r="C226" s="36"/>
      <c r="D226" s="36">
        <v>30.0</v>
      </c>
      <c r="E226" s="38">
        <v>215.0</v>
      </c>
      <c r="F226" s="43">
        <f t="shared" si="8"/>
        <v>6450</v>
      </c>
      <c r="G226" s="36" t="s">
        <v>1316</v>
      </c>
      <c r="H226" s="36"/>
      <c r="I226" s="36" t="s">
        <v>270</v>
      </c>
      <c r="J226" s="36" t="s">
        <v>49</v>
      </c>
      <c r="K226" s="36"/>
      <c r="L226" s="36" t="s">
        <v>1313</v>
      </c>
      <c r="M226" s="36">
        <v>31.0</v>
      </c>
      <c r="N226" s="36"/>
      <c r="O226" s="45"/>
      <c r="P226" s="36"/>
      <c r="Q226" s="36"/>
      <c r="R226" s="36"/>
      <c r="S226" s="36"/>
    </row>
    <row r="227" ht="15.75" customHeight="1">
      <c r="B227" s="34">
        <v>46072.0</v>
      </c>
      <c r="C227" s="36">
        <v>5170.0</v>
      </c>
      <c r="D227" s="36">
        <v>200.0</v>
      </c>
      <c r="E227" s="38">
        <v>315.0</v>
      </c>
      <c r="F227" s="43">
        <f t="shared" si="8"/>
        <v>63000</v>
      </c>
      <c r="G227" s="36" t="s">
        <v>1319</v>
      </c>
      <c r="H227" s="36" t="s">
        <v>1269</v>
      </c>
      <c r="I227" s="36" t="s">
        <v>146</v>
      </c>
      <c r="J227" s="36" t="s">
        <v>49</v>
      </c>
      <c r="K227" s="36"/>
      <c r="L227" s="36" t="s">
        <v>150</v>
      </c>
      <c r="M227" s="36">
        <v>31.0</v>
      </c>
      <c r="N227" s="36"/>
      <c r="O227" s="45">
        <v>46072.0</v>
      </c>
      <c r="P227" s="36"/>
      <c r="Q227" s="36"/>
      <c r="R227" s="36"/>
      <c r="S227" s="36"/>
    </row>
    <row r="228" ht="15.75" customHeight="1">
      <c r="B228" s="34">
        <v>46072.0</v>
      </c>
      <c r="C228" s="36">
        <v>2035.0</v>
      </c>
      <c r="D228" s="36">
        <v>50.0</v>
      </c>
      <c r="E228" s="38">
        <v>945.0</v>
      </c>
      <c r="F228" s="43">
        <f t="shared" si="8"/>
        <v>47250</v>
      </c>
      <c r="G228" s="36" t="s">
        <v>1322</v>
      </c>
      <c r="H228" s="36" t="s">
        <v>1324</v>
      </c>
      <c r="I228" s="36" t="s">
        <v>270</v>
      </c>
      <c r="J228" s="36" t="s">
        <v>49</v>
      </c>
      <c r="K228" s="36"/>
      <c r="L228" s="36" t="s">
        <v>637</v>
      </c>
      <c r="M228" s="36">
        <v>1.0</v>
      </c>
      <c r="N228" s="36"/>
      <c r="O228" s="36"/>
      <c r="P228" s="36"/>
      <c r="Q228" s="36"/>
      <c r="R228" s="36"/>
      <c r="S228" s="36"/>
    </row>
    <row r="229" ht="15.75" customHeight="1">
      <c r="B229" s="34">
        <v>46072.0</v>
      </c>
      <c r="C229" s="36">
        <v>6555.0</v>
      </c>
      <c r="D229" s="36">
        <v>100.0</v>
      </c>
      <c r="E229" s="38">
        <v>15.99</v>
      </c>
      <c r="F229" s="43">
        <f t="shared" si="8"/>
        <v>1599</v>
      </c>
      <c r="G229" s="36" t="s">
        <v>1328</v>
      </c>
      <c r="H229" s="36" t="s">
        <v>110</v>
      </c>
      <c r="I229" s="36" t="s">
        <v>106</v>
      </c>
      <c r="J229" s="36"/>
      <c r="K229" s="36"/>
      <c r="L229" s="36"/>
      <c r="M229" s="36"/>
      <c r="N229" s="36"/>
      <c r="O229" s="36"/>
      <c r="P229" s="36"/>
      <c r="Q229" s="36"/>
      <c r="R229" s="36"/>
      <c r="S229" s="36"/>
    </row>
    <row r="230" ht="15.75" customHeight="1">
      <c r="B230" s="34">
        <v>46072.0</v>
      </c>
      <c r="C230" s="36">
        <v>6555.0</v>
      </c>
      <c r="D230" s="36">
        <v>100.0</v>
      </c>
      <c r="E230" s="38">
        <v>18.99</v>
      </c>
      <c r="F230" s="43">
        <f t="shared" si="8"/>
        <v>1899</v>
      </c>
      <c r="G230" s="36" t="s">
        <v>1328</v>
      </c>
      <c r="H230" s="36" t="s">
        <v>118</v>
      </c>
      <c r="I230" s="36" t="s">
        <v>106</v>
      </c>
      <c r="J230" s="36"/>
      <c r="K230" s="36"/>
      <c r="L230" s="36"/>
      <c r="M230" s="36"/>
      <c r="N230" s="36"/>
      <c r="O230" s="36"/>
      <c r="P230" s="36"/>
      <c r="Q230" s="36"/>
      <c r="R230" s="36"/>
      <c r="S230" s="36"/>
    </row>
    <row r="231" ht="15.75" customHeight="1">
      <c r="B231" s="34">
        <v>46072.0</v>
      </c>
      <c r="C231" s="36">
        <v>6559.0</v>
      </c>
      <c r="D231" s="36">
        <v>100.0</v>
      </c>
      <c r="E231" s="38">
        <v>3.99</v>
      </c>
      <c r="F231" s="43">
        <f t="shared" si="8"/>
        <v>399</v>
      </c>
      <c r="G231" s="36" t="s">
        <v>1328</v>
      </c>
      <c r="H231" s="36" t="s">
        <v>1339</v>
      </c>
      <c r="I231" s="36" t="s">
        <v>106</v>
      </c>
      <c r="J231" s="36"/>
      <c r="K231" s="36"/>
      <c r="L231" s="36"/>
      <c r="M231" s="36"/>
      <c r="N231" s="36"/>
      <c r="O231" s="36"/>
      <c r="P231" s="36"/>
      <c r="Q231" s="36"/>
      <c r="R231" s="36"/>
      <c r="S231" s="36"/>
    </row>
    <row r="232" ht="15.75" customHeight="1">
      <c r="B232" s="34">
        <v>46072.0</v>
      </c>
      <c r="C232" s="36"/>
      <c r="D232" s="36">
        <v>1.0</v>
      </c>
      <c r="E232" s="38">
        <v>8750.0</v>
      </c>
      <c r="F232" s="43">
        <f t="shared" si="8"/>
        <v>8750</v>
      </c>
      <c r="G232" s="36" t="s">
        <v>1344</v>
      </c>
      <c r="H232" s="36"/>
      <c r="I232" s="36" t="s">
        <v>202</v>
      </c>
      <c r="J232" s="36" t="s">
        <v>49</v>
      </c>
      <c r="K232" s="36"/>
      <c r="L232" s="36"/>
      <c r="M232" s="36">
        <v>31.0</v>
      </c>
      <c r="N232" s="36"/>
      <c r="O232" s="36"/>
      <c r="P232" s="36"/>
      <c r="Q232" s="36"/>
      <c r="R232" s="36"/>
      <c r="S232" s="36"/>
    </row>
    <row r="233" ht="15.75" customHeight="1">
      <c r="B233" s="34">
        <v>46072.0</v>
      </c>
      <c r="C233" s="36"/>
      <c r="D233" s="36">
        <v>15.0</v>
      </c>
      <c r="E233" s="38">
        <v>600.0</v>
      </c>
      <c r="F233" s="43">
        <f t="shared" si="8"/>
        <v>9000</v>
      </c>
      <c r="G233" s="36" t="s">
        <v>1351</v>
      </c>
      <c r="H233" s="36"/>
      <c r="I233" s="36" t="s">
        <v>48</v>
      </c>
      <c r="J233" s="36" t="s">
        <v>49</v>
      </c>
      <c r="K233" s="36"/>
      <c r="L233" s="36" t="s">
        <v>1101</v>
      </c>
      <c r="M233" s="36">
        <v>31.0</v>
      </c>
      <c r="N233" s="36"/>
      <c r="O233" s="36"/>
      <c r="P233" s="36"/>
      <c r="Q233" s="36"/>
      <c r="R233" s="36"/>
      <c r="S233" s="36"/>
    </row>
    <row r="234" ht="15.75" customHeight="1">
      <c r="B234" s="34">
        <v>46072.0</v>
      </c>
      <c r="C234" s="36"/>
      <c r="D234" s="36">
        <v>1.0</v>
      </c>
      <c r="E234" s="38">
        <v>1590.0</v>
      </c>
      <c r="F234" s="43"/>
      <c r="G234" s="36" t="s">
        <v>1360</v>
      </c>
      <c r="H234" s="36"/>
      <c r="I234" s="36" t="s">
        <v>202</v>
      </c>
      <c r="J234" s="36" t="s">
        <v>49</v>
      </c>
      <c r="K234" s="36"/>
      <c r="L234" s="36"/>
      <c r="M234" s="36">
        <v>31.0</v>
      </c>
      <c r="N234" s="36"/>
      <c r="O234" s="36"/>
      <c r="P234" s="36"/>
      <c r="Q234" s="36"/>
      <c r="R234" s="36"/>
      <c r="S234" s="36"/>
    </row>
    <row r="235" ht="15.75" customHeight="1">
      <c r="B235" s="34">
        <v>46072.0</v>
      </c>
      <c r="C235" s="36">
        <v>4318.0</v>
      </c>
      <c r="D235" s="36">
        <v>50.0</v>
      </c>
      <c r="E235" s="38">
        <v>14.85</v>
      </c>
      <c r="F235" s="43">
        <v>742.5</v>
      </c>
      <c r="G235" s="36" t="s">
        <v>1365</v>
      </c>
      <c r="H235" s="36"/>
      <c r="I235" s="36" t="s">
        <v>32</v>
      </c>
      <c r="J235" s="36" t="s">
        <v>34</v>
      </c>
      <c r="K235" s="36"/>
      <c r="L235" s="36" t="s">
        <v>279</v>
      </c>
      <c r="M235" s="36">
        <v>1.0</v>
      </c>
      <c r="N235" s="36"/>
      <c r="O235" s="36"/>
      <c r="P235" s="36"/>
      <c r="Q235" s="36"/>
      <c r="R235" s="36"/>
      <c r="S235" s="36"/>
    </row>
    <row r="236" ht="15.75" customHeight="1">
      <c r="B236" s="34">
        <v>46072.0</v>
      </c>
      <c r="C236" s="36">
        <v>6692.0</v>
      </c>
      <c r="D236" s="36">
        <v>400.0</v>
      </c>
      <c r="E236" s="38">
        <v>15.99</v>
      </c>
      <c r="F236" s="43">
        <v>6396.0</v>
      </c>
      <c r="G236" s="36" t="s">
        <v>110</v>
      </c>
      <c r="H236" s="36"/>
      <c r="I236" s="36" t="s">
        <v>77</v>
      </c>
      <c r="J236" s="36" t="s">
        <v>79</v>
      </c>
      <c r="K236" s="36"/>
      <c r="L236" s="36" t="s">
        <v>1369</v>
      </c>
      <c r="M236" s="36">
        <v>1.0</v>
      </c>
      <c r="N236" s="36"/>
      <c r="O236" s="36"/>
      <c r="P236" s="36"/>
      <c r="Q236" s="36"/>
      <c r="R236" s="36"/>
      <c r="S236" s="36"/>
    </row>
    <row r="237" ht="15.75" customHeight="1">
      <c r="B237" s="34">
        <v>46072.0</v>
      </c>
      <c r="C237" s="36">
        <v>6692.0</v>
      </c>
      <c r="D237" s="36">
        <v>400.0</v>
      </c>
      <c r="E237" s="38">
        <v>18.99</v>
      </c>
      <c r="F237" s="43">
        <v>7596.0</v>
      </c>
      <c r="G237" s="36" t="s">
        <v>118</v>
      </c>
      <c r="H237" s="36"/>
      <c r="I237" s="36" t="s">
        <v>77</v>
      </c>
      <c r="J237" s="36" t="s">
        <v>79</v>
      </c>
      <c r="K237" s="36"/>
      <c r="L237" s="36" t="s">
        <v>1369</v>
      </c>
      <c r="M237" s="36">
        <v>1.0</v>
      </c>
      <c r="N237" s="36"/>
      <c r="O237" s="36"/>
      <c r="P237" s="36"/>
      <c r="Q237" s="36"/>
      <c r="R237" s="36"/>
      <c r="S237" s="36"/>
    </row>
    <row r="238" ht="15.75" customHeight="1">
      <c r="B238" s="34">
        <v>46072.0</v>
      </c>
      <c r="C238" s="36">
        <v>6694.0</v>
      </c>
      <c r="D238" s="36">
        <v>2.0</v>
      </c>
      <c r="E238" s="38">
        <v>319.9</v>
      </c>
      <c r="F238" s="43">
        <v>639.8</v>
      </c>
      <c r="G238" s="36" t="s">
        <v>1374</v>
      </c>
      <c r="H238" s="36"/>
      <c r="I238" s="36" t="s">
        <v>32</v>
      </c>
      <c r="J238" s="36"/>
      <c r="K238" s="36"/>
      <c r="L238" s="36" t="s">
        <v>1369</v>
      </c>
      <c r="M238" s="36">
        <v>1.0</v>
      </c>
      <c r="N238" s="36"/>
      <c r="O238" s="36"/>
      <c r="P238" s="36"/>
      <c r="Q238" s="36"/>
      <c r="R238" s="36"/>
      <c r="S238" s="36"/>
    </row>
    <row r="239" ht="15.75" customHeight="1">
      <c r="B239" s="34">
        <v>46072.0</v>
      </c>
      <c r="C239" s="36">
        <v>6694.0</v>
      </c>
      <c r="D239" s="36">
        <v>4.0</v>
      </c>
      <c r="E239" s="38">
        <v>219.9</v>
      </c>
      <c r="F239" s="43">
        <v>879.6</v>
      </c>
      <c r="G239" s="36" t="s">
        <v>1379</v>
      </c>
      <c r="H239" s="36"/>
      <c r="I239" s="36" t="s">
        <v>32</v>
      </c>
      <c r="J239" s="36"/>
      <c r="K239" s="36"/>
      <c r="L239" s="36" t="s">
        <v>1369</v>
      </c>
      <c r="M239" s="36">
        <v>1.0</v>
      </c>
      <c r="N239" s="36"/>
      <c r="O239" s="36"/>
      <c r="P239" s="36"/>
      <c r="Q239" s="36"/>
      <c r="R239" s="36"/>
      <c r="S239" s="36"/>
    </row>
    <row r="240" ht="15.75" customHeight="1">
      <c r="B240" s="34">
        <v>46073.0</v>
      </c>
      <c r="C240" s="36"/>
      <c r="D240" s="36">
        <v>320.0</v>
      </c>
      <c r="E240" s="38">
        <v>100.0</v>
      </c>
      <c r="F240" s="43">
        <f>E240*D240</f>
        <v>32000</v>
      </c>
      <c r="G240" s="36" t="s">
        <v>299</v>
      </c>
      <c r="H240" s="36" t="s">
        <v>1387</v>
      </c>
      <c r="I240" s="36" t="s">
        <v>694</v>
      </c>
      <c r="J240" s="36" t="s">
        <v>49</v>
      </c>
      <c r="K240" s="36"/>
      <c r="L240" s="36" t="s">
        <v>1388</v>
      </c>
      <c r="M240" s="36">
        <v>31.0</v>
      </c>
      <c r="N240" s="36"/>
      <c r="O240" s="36"/>
      <c r="P240" s="36"/>
      <c r="Q240" s="36"/>
      <c r="R240" s="36"/>
      <c r="S240" s="36"/>
    </row>
    <row r="241" ht="15.75" customHeight="1">
      <c r="B241" s="34">
        <v>46073.0</v>
      </c>
      <c r="C241" s="36">
        <v>2106.0</v>
      </c>
      <c r="D241" s="36">
        <v>60.0</v>
      </c>
      <c r="E241" s="38">
        <v>247.5</v>
      </c>
      <c r="F241" s="43">
        <v>14850.0</v>
      </c>
      <c r="G241" s="36" t="s">
        <v>1392</v>
      </c>
      <c r="H241" s="36"/>
      <c r="I241" s="36" t="s">
        <v>32</v>
      </c>
      <c r="J241" s="36" t="s">
        <v>34</v>
      </c>
      <c r="K241" s="36"/>
      <c r="L241" s="36" t="s">
        <v>62</v>
      </c>
      <c r="M241" s="36">
        <v>1.0</v>
      </c>
      <c r="N241" s="36"/>
      <c r="O241" s="36"/>
      <c r="P241" s="36"/>
      <c r="Q241" s="36"/>
      <c r="R241" s="36"/>
      <c r="S241" s="36"/>
    </row>
    <row r="242" ht="15.75" customHeight="1">
      <c r="B242" s="34">
        <v>46073.0</v>
      </c>
      <c r="C242" s="36">
        <v>2106.0</v>
      </c>
      <c r="D242" s="36">
        <v>20.0</v>
      </c>
      <c r="E242" s="38">
        <v>432.0</v>
      </c>
      <c r="F242" s="43">
        <v>8640.0</v>
      </c>
      <c r="G242" s="36" t="s">
        <v>1396</v>
      </c>
      <c r="H242" s="36"/>
      <c r="I242" s="36" t="s">
        <v>32</v>
      </c>
      <c r="J242" s="36" t="s">
        <v>34</v>
      </c>
      <c r="K242" s="36"/>
      <c r="L242" s="36" t="s">
        <v>62</v>
      </c>
      <c r="M242" s="36">
        <v>1.0</v>
      </c>
      <c r="N242" s="36"/>
      <c r="O242" s="36"/>
      <c r="P242" s="36"/>
      <c r="Q242" s="36"/>
      <c r="R242" s="36"/>
      <c r="S242" s="36"/>
    </row>
    <row r="243" ht="15.75" customHeight="1">
      <c r="B243" s="34">
        <v>46073.0</v>
      </c>
      <c r="C243" s="36">
        <v>900.0</v>
      </c>
      <c r="D243" s="36">
        <v>4.0</v>
      </c>
      <c r="E243" s="38">
        <v>1602.0</v>
      </c>
      <c r="F243" s="43">
        <v>6408.0</v>
      </c>
      <c r="G243" s="36" t="s">
        <v>1403</v>
      </c>
      <c r="H243" s="36"/>
      <c r="I243" s="36" t="s">
        <v>41</v>
      </c>
      <c r="J243" s="36" t="s">
        <v>34</v>
      </c>
      <c r="K243" s="36"/>
      <c r="L243" s="36" t="s">
        <v>151</v>
      </c>
      <c r="M243" s="36">
        <v>5.0</v>
      </c>
      <c r="N243" s="36"/>
      <c r="O243" s="36"/>
      <c r="P243" s="36"/>
      <c r="Q243" s="36"/>
      <c r="R243" s="36"/>
      <c r="S243" s="36"/>
    </row>
    <row r="244" ht="15.75" customHeight="1">
      <c r="B244" s="34">
        <v>46073.0</v>
      </c>
      <c r="C244" s="36">
        <v>5730.0</v>
      </c>
      <c r="D244" s="36">
        <v>100.0</v>
      </c>
      <c r="E244" s="38">
        <v>8.37</v>
      </c>
      <c r="F244" s="43">
        <f>E244*D244</f>
        <v>837</v>
      </c>
      <c r="G244" s="36" t="s">
        <v>1413</v>
      </c>
      <c r="H244" s="36" t="s">
        <v>1414</v>
      </c>
      <c r="I244" s="36" t="s">
        <v>41</v>
      </c>
      <c r="J244" s="36" t="s">
        <v>34</v>
      </c>
      <c r="K244" s="36" t="s">
        <v>35</v>
      </c>
      <c r="L244" s="36" t="s">
        <v>1415</v>
      </c>
      <c r="M244" s="36">
        <v>1.0</v>
      </c>
      <c r="N244" s="36"/>
      <c r="O244" s="36"/>
      <c r="P244" s="36"/>
      <c r="Q244" s="36"/>
      <c r="R244" s="36"/>
      <c r="S244" s="36"/>
    </row>
    <row r="245" ht="15.75" customHeight="1">
      <c r="B245" s="34">
        <v>46076.0</v>
      </c>
      <c r="C245" s="36">
        <v>4647.0</v>
      </c>
      <c r="D245" s="36">
        <v>20.0</v>
      </c>
      <c r="E245" s="38">
        <v>36.0</v>
      </c>
      <c r="F245" s="43">
        <v>720.0</v>
      </c>
      <c r="G245" s="36" t="s">
        <v>1421</v>
      </c>
      <c r="H245" s="36"/>
      <c r="I245" s="36" t="s">
        <v>32</v>
      </c>
      <c r="J245" s="36" t="s">
        <v>34</v>
      </c>
      <c r="K245" s="36"/>
      <c r="L245" s="36" t="s">
        <v>279</v>
      </c>
      <c r="M245" s="36">
        <v>1.0</v>
      </c>
      <c r="N245" s="36"/>
      <c r="O245" s="36"/>
      <c r="P245" s="36"/>
      <c r="Q245" s="36"/>
      <c r="R245" s="36"/>
      <c r="S245" s="36"/>
    </row>
    <row r="246" ht="15.75" customHeight="1">
      <c r="B246" s="34">
        <v>46076.0</v>
      </c>
      <c r="C246" s="36">
        <v>4731.0</v>
      </c>
      <c r="D246" s="36">
        <v>100.0</v>
      </c>
      <c r="E246" s="38">
        <v>17.55</v>
      </c>
      <c r="F246" s="43">
        <f t="shared" ref="F246:F250" si="9">E246*D246</f>
        <v>1755</v>
      </c>
      <c r="G246" s="36" t="s">
        <v>1426</v>
      </c>
      <c r="H246" s="36"/>
      <c r="I246" s="36" t="s">
        <v>32</v>
      </c>
      <c r="J246" s="36" t="s">
        <v>34</v>
      </c>
      <c r="K246" s="36"/>
      <c r="L246" s="36" t="s">
        <v>279</v>
      </c>
      <c r="M246" s="36">
        <v>1.0</v>
      </c>
      <c r="N246" s="36"/>
      <c r="O246" s="36"/>
      <c r="P246" s="36"/>
      <c r="Q246" s="36"/>
      <c r="R246" s="36"/>
      <c r="S246" s="36"/>
    </row>
    <row r="247" ht="15.75" customHeight="1">
      <c r="B247" s="34">
        <v>46076.0</v>
      </c>
      <c r="C247" s="36">
        <v>4731.0</v>
      </c>
      <c r="D247" s="36">
        <v>12.0</v>
      </c>
      <c r="E247" s="38">
        <v>81.0</v>
      </c>
      <c r="F247" s="43">
        <f t="shared" si="9"/>
        <v>972</v>
      </c>
      <c r="G247" s="36" t="s">
        <v>1432</v>
      </c>
      <c r="H247" s="36"/>
      <c r="I247" s="36" t="s">
        <v>32</v>
      </c>
      <c r="J247" s="36" t="s">
        <v>34</v>
      </c>
      <c r="K247" s="36"/>
      <c r="L247" s="36" t="s">
        <v>279</v>
      </c>
      <c r="M247" s="36">
        <v>1.0</v>
      </c>
      <c r="N247" s="36"/>
      <c r="O247" s="36"/>
      <c r="P247" s="36"/>
      <c r="Q247" s="36"/>
      <c r="R247" s="36"/>
      <c r="S247" s="36"/>
    </row>
    <row r="248" ht="15.75" customHeight="1">
      <c r="B248" s="34">
        <v>46076.0</v>
      </c>
      <c r="C248" s="36">
        <v>4731.0</v>
      </c>
      <c r="D248" s="36">
        <v>12.0</v>
      </c>
      <c r="E248" s="38">
        <v>81.0</v>
      </c>
      <c r="F248" s="43">
        <f t="shared" si="9"/>
        <v>972</v>
      </c>
      <c r="G248" s="36" t="s">
        <v>1437</v>
      </c>
      <c r="H248" s="36"/>
      <c r="I248" s="36" t="s">
        <v>32</v>
      </c>
      <c r="J248" s="36" t="s">
        <v>34</v>
      </c>
      <c r="K248" s="36"/>
      <c r="L248" s="36" t="s">
        <v>279</v>
      </c>
      <c r="M248" s="36">
        <v>1.0</v>
      </c>
      <c r="N248" s="36"/>
      <c r="O248" s="36"/>
      <c r="P248" s="36"/>
      <c r="Q248" s="36"/>
      <c r="R248" s="36"/>
      <c r="S248" s="36"/>
    </row>
    <row r="249" ht="15.75" customHeight="1">
      <c r="B249" s="34">
        <v>46076.0</v>
      </c>
      <c r="C249" s="36">
        <v>4731.0</v>
      </c>
      <c r="D249" s="36">
        <v>20.0</v>
      </c>
      <c r="E249" s="38">
        <v>67.5</v>
      </c>
      <c r="F249" s="43">
        <f t="shared" si="9"/>
        <v>1350</v>
      </c>
      <c r="G249" s="36" t="s">
        <v>1440</v>
      </c>
      <c r="H249" s="36"/>
      <c r="I249" s="36" t="s">
        <v>32</v>
      </c>
      <c r="J249" s="36" t="s">
        <v>34</v>
      </c>
      <c r="K249" s="36"/>
      <c r="L249" s="36" t="s">
        <v>279</v>
      </c>
      <c r="M249" s="36">
        <v>1.0</v>
      </c>
      <c r="N249" s="36"/>
      <c r="O249" s="36"/>
      <c r="P249" s="36"/>
      <c r="Q249" s="36"/>
      <c r="R249" s="36"/>
      <c r="S249" s="36"/>
    </row>
    <row r="250" ht="15.75" customHeight="1">
      <c r="B250" s="34">
        <v>46076.0</v>
      </c>
      <c r="C250" s="36">
        <v>4731.0</v>
      </c>
      <c r="D250" s="36">
        <v>100.0</v>
      </c>
      <c r="E250" s="38">
        <v>16.2</v>
      </c>
      <c r="F250" s="43">
        <f t="shared" si="9"/>
        <v>1620</v>
      </c>
      <c r="G250" s="36" t="s">
        <v>1446</v>
      </c>
      <c r="H250" s="36"/>
      <c r="I250" s="36" t="s">
        <v>32</v>
      </c>
      <c r="J250" s="36" t="s">
        <v>34</v>
      </c>
      <c r="K250" s="36"/>
      <c r="L250" s="36" t="s">
        <v>279</v>
      </c>
      <c r="M250" s="36">
        <v>1.0</v>
      </c>
      <c r="N250" s="36"/>
      <c r="O250" s="36"/>
      <c r="P250" s="36"/>
      <c r="Q250" s="36"/>
      <c r="R250" s="36"/>
      <c r="S250" s="36"/>
    </row>
    <row r="251" ht="15.75" customHeight="1">
      <c r="B251" s="34">
        <v>46076.0</v>
      </c>
      <c r="C251" s="36">
        <v>4729.0</v>
      </c>
      <c r="D251" s="36">
        <v>120.0</v>
      </c>
      <c r="E251" s="38">
        <v>12.6</v>
      </c>
      <c r="F251" s="43">
        <v>1512.0</v>
      </c>
      <c r="G251" s="36" t="s">
        <v>803</v>
      </c>
      <c r="H251" s="36"/>
      <c r="I251" s="36" t="s">
        <v>32</v>
      </c>
      <c r="J251" s="36" t="s">
        <v>34</v>
      </c>
      <c r="K251" s="36"/>
      <c r="L251" s="36" t="s">
        <v>279</v>
      </c>
      <c r="M251" s="36">
        <v>1.0</v>
      </c>
      <c r="N251" s="36"/>
      <c r="O251" s="36"/>
      <c r="P251" s="36"/>
      <c r="Q251" s="36"/>
      <c r="R251" s="36"/>
      <c r="S251" s="36"/>
    </row>
    <row r="252" ht="15.75" customHeight="1">
      <c r="B252" s="34">
        <v>46076.0</v>
      </c>
      <c r="C252" s="36">
        <v>4729.0</v>
      </c>
      <c r="D252" s="36">
        <v>20.0</v>
      </c>
      <c r="E252" s="38">
        <v>67.5</v>
      </c>
      <c r="F252" s="43">
        <v>1350.0</v>
      </c>
      <c r="G252" s="36" t="s">
        <v>1453</v>
      </c>
      <c r="H252" s="36"/>
      <c r="I252" s="36" t="s">
        <v>32</v>
      </c>
      <c r="J252" s="36" t="s">
        <v>34</v>
      </c>
      <c r="K252" s="36"/>
      <c r="L252" s="36" t="s">
        <v>279</v>
      </c>
      <c r="M252" s="36">
        <v>1.0</v>
      </c>
      <c r="N252" s="36"/>
      <c r="O252" s="36"/>
      <c r="P252" s="36"/>
      <c r="Q252" s="36"/>
      <c r="R252" s="36"/>
      <c r="S252" s="36"/>
    </row>
    <row r="253" ht="15.75" customHeight="1">
      <c r="B253" s="34">
        <v>46076.0</v>
      </c>
      <c r="C253" s="36">
        <v>4729.0</v>
      </c>
      <c r="D253" s="36">
        <v>48.0</v>
      </c>
      <c r="E253" s="38">
        <v>72.0</v>
      </c>
      <c r="F253" s="43">
        <v>3456.0</v>
      </c>
      <c r="G253" s="36" t="s">
        <v>1456</v>
      </c>
      <c r="H253" s="36"/>
      <c r="I253" s="36" t="s">
        <v>32</v>
      </c>
      <c r="J253" s="36" t="s">
        <v>34</v>
      </c>
      <c r="K253" s="36"/>
      <c r="L253" s="36" t="s">
        <v>279</v>
      </c>
      <c r="M253" s="36">
        <v>1.0</v>
      </c>
      <c r="N253" s="36"/>
      <c r="O253" s="36"/>
      <c r="P253" s="36"/>
      <c r="Q253" s="36"/>
      <c r="R253" s="36"/>
      <c r="S253" s="36"/>
    </row>
    <row r="254" ht="15.75" customHeight="1">
      <c r="B254" s="34">
        <v>46076.0</v>
      </c>
      <c r="C254" s="36">
        <v>4729.0</v>
      </c>
      <c r="D254" s="36">
        <v>10.0</v>
      </c>
      <c r="E254" s="38">
        <v>359.1</v>
      </c>
      <c r="F254" s="43">
        <v>3591.0</v>
      </c>
      <c r="G254" s="36" t="s">
        <v>1461</v>
      </c>
      <c r="H254" s="36"/>
      <c r="I254" s="36" t="s">
        <v>32</v>
      </c>
      <c r="J254" s="36" t="s">
        <v>34</v>
      </c>
      <c r="K254" s="36"/>
      <c r="L254" s="36" t="s">
        <v>279</v>
      </c>
      <c r="M254" s="36">
        <v>1.0</v>
      </c>
      <c r="N254" s="36"/>
      <c r="O254" s="36"/>
      <c r="P254" s="36"/>
      <c r="Q254" s="36"/>
      <c r="R254" s="36"/>
      <c r="S254" s="36"/>
    </row>
    <row r="255" ht="15.75" customHeight="1">
      <c r="B255" s="34">
        <v>46076.0</v>
      </c>
      <c r="C255" s="36">
        <v>4729.0</v>
      </c>
      <c r="D255" s="36">
        <v>10.0</v>
      </c>
      <c r="E255" s="38">
        <v>359.1</v>
      </c>
      <c r="F255" s="43">
        <v>3591.0</v>
      </c>
      <c r="G255" s="36" t="s">
        <v>1465</v>
      </c>
      <c r="H255" s="36"/>
      <c r="I255" s="36" t="s">
        <v>32</v>
      </c>
      <c r="J255" s="36" t="s">
        <v>34</v>
      </c>
      <c r="K255" s="36"/>
      <c r="L255" s="36" t="s">
        <v>279</v>
      </c>
      <c r="M255" s="36">
        <v>1.0</v>
      </c>
      <c r="N255" s="36"/>
      <c r="O255" s="36"/>
      <c r="P255" s="36"/>
      <c r="Q255" s="36"/>
      <c r="R255" s="36"/>
      <c r="S255" s="36"/>
    </row>
    <row r="256" ht="15.75" customHeight="1">
      <c r="B256" s="34">
        <v>46076.0</v>
      </c>
      <c r="C256" s="36">
        <v>7165.0</v>
      </c>
      <c r="D256" s="36">
        <v>120.0</v>
      </c>
      <c r="E256" s="38">
        <v>17.9</v>
      </c>
      <c r="F256" s="43">
        <v>2148.0</v>
      </c>
      <c r="G256" s="50" t="s">
        <v>1470</v>
      </c>
      <c r="H256" s="36"/>
      <c r="I256" s="36" t="s">
        <v>41</v>
      </c>
      <c r="J256" s="36" t="s">
        <v>34</v>
      </c>
      <c r="K256" s="36"/>
      <c r="L256" s="36" t="s">
        <v>1369</v>
      </c>
      <c r="M256" s="36">
        <v>31.0</v>
      </c>
      <c r="N256" s="36"/>
      <c r="O256" s="36"/>
      <c r="P256" s="36"/>
      <c r="Q256" s="36"/>
      <c r="R256" s="36"/>
      <c r="S256" s="36"/>
    </row>
    <row r="257" ht="15.75" customHeight="1">
      <c r="B257" s="34">
        <v>46076.0</v>
      </c>
      <c r="C257" s="36">
        <v>7165.0</v>
      </c>
      <c r="D257" s="36">
        <v>40.0</v>
      </c>
      <c r="E257" s="38">
        <v>13.9</v>
      </c>
      <c r="F257" s="43">
        <v>556.0</v>
      </c>
      <c r="G257" s="50" t="s">
        <v>1474</v>
      </c>
      <c r="H257" s="36"/>
      <c r="I257" s="36" t="s">
        <v>41</v>
      </c>
      <c r="J257" s="36" t="s">
        <v>34</v>
      </c>
      <c r="K257" s="36"/>
      <c r="L257" s="36" t="s">
        <v>1369</v>
      </c>
      <c r="M257" s="36">
        <v>31.0</v>
      </c>
      <c r="N257" s="36"/>
      <c r="O257" s="36"/>
      <c r="P257" s="36"/>
      <c r="Q257" s="36"/>
      <c r="R257" s="36"/>
      <c r="S257" s="36"/>
    </row>
    <row r="258" ht="15.75" customHeight="1">
      <c r="B258" s="34">
        <v>46076.0</v>
      </c>
      <c r="C258" s="36">
        <v>7165.0</v>
      </c>
      <c r="D258" s="36">
        <v>10.0</v>
      </c>
      <c r="E258" s="38">
        <v>139.9</v>
      </c>
      <c r="F258" s="43">
        <v>1399.0</v>
      </c>
      <c r="G258" s="36" t="s">
        <v>1477</v>
      </c>
      <c r="H258" s="36"/>
      <c r="I258" s="36" t="s">
        <v>41</v>
      </c>
      <c r="J258" s="36" t="s">
        <v>34</v>
      </c>
      <c r="K258" s="36"/>
      <c r="L258" s="36" t="s">
        <v>1369</v>
      </c>
      <c r="M258" s="36">
        <v>31.0</v>
      </c>
      <c r="N258" s="36"/>
      <c r="O258" s="36"/>
      <c r="P258" s="36"/>
      <c r="Q258" s="36"/>
      <c r="R258" s="36"/>
      <c r="S258" s="36"/>
    </row>
    <row r="259" ht="15.75" customHeight="1">
      <c r="B259" s="34">
        <v>46076.0</v>
      </c>
      <c r="C259" s="36">
        <v>7165.0</v>
      </c>
      <c r="D259" s="36">
        <v>300.0</v>
      </c>
      <c r="E259" s="38">
        <v>12.9</v>
      </c>
      <c r="F259" s="43">
        <v>3870.0</v>
      </c>
      <c r="G259" s="36" t="s">
        <v>1482</v>
      </c>
      <c r="H259" s="36"/>
      <c r="I259" s="36" t="s">
        <v>41</v>
      </c>
      <c r="J259" s="36" t="s">
        <v>34</v>
      </c>
      <c r="K259" s="36"/>
      <c r="L259" s="36" t="s">
        <v>1369</v>
      </c>
      <c r="M259" s="36">
        <v>31.0</v>
      </c>
      <c r="N259" s="36"/>
      <c r="O259" s="36"/>
      <c r="P259" s="36"/>
      <c r="Q259" s="36"/>
      <c r="R259" s="36"/>
      <c r="S259" s="36"/>
    </row>
    <row r="260" ht="15.75" customHeight="1">
      <c r="B260" s="34">
        <v>46076.0</v>
      </c>
      <c r="C260" s="36">
        <v>7166.0</v>
      </c>
      <c r="D260" s="36">
        <v>80.0</v>
      </c>
      <c r="E260" s="38">
        <v>34.9</v>
      </c>
      <c r="F260" s="43">
        <v>2792.0</v>
      </c>
      <c r="G260" s="36" t="s">
        <v>855</v>
      </c>
      <c r="H260" s="36"/>
      <c r="I260" s="36" t="s">
        <v>41</v>
      </c>
      <c r="J260" s="36" t="s">
        <v>34</v>
      </c>
      <c r="K260" s="36"/>
      <c r="L260" s="36" t="s">
        <v>1369</v>
      </c>
      <c r="M260" s="36">
        <v>31.0</v>
      </c>
      <c r="N260" s="36"/>
      <c r="O260" s="36"/>
      <c r="P260" s="36"/>
      <c r="Q260" s="36"/>
      <c r="R260" s="36"/>
      <c r="S260" s="36"/>
    </row>
    <row r="261" ht="15.75" customHeight="1">
      <c r="B261" s="34">
        <v>46076.0</v>
      </c>
      <c r="C261" s="36">
        <v>7166.0</v>
      </c>
      <c r="D261" s="36">
        <v>20.0</v>
      </c>
      <c r="E261" s="38">
        <v>79.9</v>
      </c>
      <c r="F261" s="43">
        <v>1598.0</v>
      </c>
      <c r="G261" s="50" t="s">
        <v>1488</v>
      </c>
      <c r="H261" s="50"/>
      <c r="I261" s="36" t="s">
        <v>41</v>
      </c>
      <c r="J261" s="36" t="s">
        <v>34</v>
      </c>
      <c r="K261" s="36"/>
      <c r="L261" s="36" t="s">
        <v>1369</v>
      </c>
      <c r="M261" s="36">
        <v>31.0</v>
      </c>
      <c r="N261" s="36"/>
      <c r="O261" s="36"/>
      <c r="P261" s="36"/>
      <c r="Q261" s="36"/>
      <c r="R261" s="36"/>
      <c r="S261" s="36"/>
    </row>
    <row r="262" ht="15.75" customHeight="1">
      <c r="B262" s="34">
        <v>46076.0</v>
      </c>
      <c r="C262" s="36">
        <v>7166.0</v>
      </c>
      <c r="D262" s="36">
        <v>10.0</v>
      </c>
      <c r="E262" s="38">
        <v>148.8</v>
      </c>
      <c r="F262" s="43">
        <v>1488.0</v>
      </c>
      <c r="G262" s="36" t="s">
        <v>1261</v>
      </c>
      <c r="H262" s="36"/>
      <c r="I262" s="36" t="s">
        <v>41</v>
      </c>
      <c r="J262" s="36" t="s">
        <v>34</v>
      </c>
      <c r="K262" s="36"/>
      <c r="L262" s="36" t="s">
        <v>1369</v>
      </c>
      <c r="M262" s="36">
        <v>31.0</v>
      </c>
      <c r="N262" s="36"/>
      <c r="O262" s="36"/>
      <c r="P262" s="36"/>
      <c r="Q262" s="36"/>
      <c r="R262" s="36"/>
      <c r="S262" s="36"/>
    </row>
    <row r="263" ht="15.75" customHeight="1">
      <c r="B263" s="34">
        <v>46076.0</v>
      </c>
      <c r="C263" s="36">
        <v>7166.0</v>
      </c>
      <c r="D263" s="36">
        <v>20.0</v>
      </c>
      <c r="E263" s="38">
        <v>33.9</v>
      </c>
      <c r="F263" s="43">
        <v>678.0</v>
      </c>
      <c r="G263" s="36" t="s">
        <v>1497</v>
      </c>
      <c r="H263" s="36"/>
      <c r="I263" s="36" t="s">
        <v>41</v>
      </c>
      <c r="J263" s="36" t="s">
        <v>34</v>
      </c>
      <c r="K263" s="36"/>
      <c r="L263" s="36" t="s">
        <v>1369</v>
      </c>
      <c r="M263" s="36">
        <v>31.0</v>
      </c>
      <c r="N263" s="36"/>
      <c r="O263" s="36"/>
      <c r="P263" s="36"/>
      <c r="Q263" s="36"/>
      <c r="R263" s="36"/>
      <c r="S263" s="36"/>
    </row>
    <row r="264" ht="15.75" customHeight="1">
      <c r="B264" s="34">
        <v>46077.0</v>
      </c>
      <c r="C264" s="36"/>
      <c r="D264" s="36">
        <v>15.0</v>
      </c>
      <c r="E264" s="38">
        <v>600.0</v>
      </c>
      <c r="F264" s="43">
        <f>E264*D264</f>
        <v>9000</v>
      </c>
      <c r="G264" s="36" t="s">
        <v>1507</v>
      </c>
      <c r="H264" s="36"/>
      <c r="I264" s="36" t="s">
        <v>41</v>
      </c>
      <c r="J264" s="36" t="s">
        <v>49</v>
      </c>
      <c r="K264" s="36"/>
      <c r="L264" s="36" t="s">
        <v>1101</v>
      </c>
      <c r="M264" s="36">
        <v>31.0</v>
      </c>
      <c r="N264" s="36"/>
      <c r="O264" s="36"/>
      <c r="P264" s="36"/>
      <c r="Q264" s="36"/>
      <c r="R264" s="36"/>
      <c r="S264" s="36"/>
    </row>
    <row r="265" ht="15.75" customHeight="1">
      <c r="B265" s="34">
        <v>46077.0</v>
      </c>
      <c r="C265" s="36">
        <v>76944.0</v>
      </c>
      <c r="D265" s="36">
        <v>600.0</v>
      </c>
      <c r="E265" s="38">
        <v>100.0</v>
      </c>
      <c r="F265" s="43">
        <v>60000.0</v>
      </c>
      <c r="G265" s="36" t="s">
        <v>1510</v>
      </c>
      <c r="H265" s="36"/>
      <c r="I265" s="36" t="s">
        <v>59</v>
      </c>
      <c r="J265" s="36" t="s">
        <v>34</v>
      </c>
      <c r="K265" s="36"/>
      <c r="L265" s="36"/>
      <c r="M265" s="36">
        <v>31.0</v>
      </c>
      <c r="N265" s="36"/>
      <c r="O265" s="36"/>
      <c r="P265" s="36"/>
      <c r="Q265" s="36"/>
      <c r="R265" s="36"/>
      <c r="S265" s="36"/>
    </row>
    <row r="266" ht="15.75" customHeight="1">
      <c r="B266" s="34">
        <v>46077.0</v>
      </c>
      <c r="C266" s="36">
        <v>1070.0</v>
      </c>
      <c r="D266" s="36">
        <v>10.0</v>
      </c>
      <c r="E266" s="38">
        <v>799.0</v>
      </c>
      <c r="F266" s="43">
        <v>7990.0</v>
      </c>
      <c r="G266" s="36">
        <v>226570.0</v>
      </c>
      <c r="H266" s="36"/>
      <c r="I266" s="36" t="s">
        <v>39</v>
      </c>
      <c r="J266" s="36" t="s">
        <v>40</v>
      </c>
      <c r="K266" s="36"/>
      <c r="L266" s="36" t="s">
        <v>79</v>
      </c>
      <c r="M266" s="36">
        <v>1.0</v>
      </c>
      <c r="N266" s="36"/>
      <c r="O266" s="36"/>
      <c r="P266" s="36"/>
      <c r="Q266" s="36"/>
      <c r="R266" s="36"/>
      <c r="S266" s="36"/>
    </row>
    <row r="267" ht="15.75" customHeight="1">
      <c r="B267" s="34">
        <v>46077.0</v>
      </c>
      <c r="C267" s="36">
        <v>4981.0</v>
      </c>
      <c r="D267" s="36">
        <v>4.0</v>
      </c>
      <c r="E267" s="38">
        <v>108.0</v>
      </c>
      <c r="F267" s="43">
        <f t="shared" ref="F267:F325" si="10">E267*D267</f>
        <v>432</v>
      </c>
      <c r="G267" s="36" t="s">
        <v>1524</v>
      </c>
      <c r="H267" s="36" t="s">
        <v>1525</v>
      </c>
      <c r="I267" s="36" t="s">
        <v>202</v>
      </c>
      <c r="J267" s="36" t="s">
        <v>34</v>
      </c>
      <c r="K267" s="36" t="s">
        <v>35</v>
      </c>
      <c r="L267" s="36" t="s">
        <v>279</v>
      </c>
      <c r="M267" s="36">
        <v>1.0</v>
      </c>
      <c r="N267" s="36"/>
      <c r="O267" s="36"/>
      <c r="P267" s="36"/>
      <c r="Q267" s="36"/>
      <c r="R267" s="36"/>
      <c r="S267" s="36"/>
    </row>
    <row r="268" ht="15.75" customHeight="1">
      <c r="B268" s="34">
        <v>46078.0</v>
      </c>
      <c r="C268" s="36" t="s">
        <v>1527</v>
      </c>
      <c r="D268" s="36">
        <v>3600.0</v>
      </c>
      <c r="E268" s="38">
        <v>13.63</v>
      </c>
      <c r="F268" s="43">
        <f t="shared" si="10"/>
        <v>49068</v>
      </c>
      <c r="G268" s="36" t="s">
        <v>1530</v>
      </c>
      <c r="H268" s="36" t="s">
        <v>1531</v>
      </c>
      <c r="I268" s="36" t="s">
        <v>59</v>
      </c>
      <c r="J268" s="36" t="s">
        <v>34</v>
      </c>
      <c r="K268" s="36"/>
      <c r="L268" s="36" t="s">
        <v>346</v>
      </c>
      <c r="M268" s="36">
        <v>1.0</v>
      </c>
      <c r="N268" s="36"/>
      <c r="O268" s="45">
        <v>46090.0</v>
      </c>
      <c r="P268" s="36"/>
      <c r="Q268" s="36"/>
      <c r="R268" s="36"/>
      <c r="S268" s="36"/>
    </row>
    <row r="269" ht="15.75" customHeight="1">
      <c r="B269" s="34">
        <v>46078.0</v>
      </c>
      <c r="C269" s="36" t="s">
        <v>1536</v>
      </c>
      <c r="D269" s="36">
        <v>4320.0</v>
      </c>
      <c r="E269" s="38">
        <v>15.56</v>
      </c>
      <c r="F269" s="43">
        <f t="shared" si="10"/>
        <v>67219.2</v>
      </c>
      <c r="G269" s="55" t="s">
        <v>610</v>
      </c>
      <c r="H269" s="36" t="s">
        <v>613</v>
      </c>
      <c r="I269" s="36" t="s">
        <v>59</v>
      </c>
      <c r="J269" s="36" t="s">
        <v>34</v>
      </c>
      <c r="K269" s="36"/>
      <c r="L269" s="36" t="s">
        <v>346</v>
      </c>
      <c r="M269" s="36">
        <v>1.0</v>
      </c>
      <c r="N269" s="36"/>
      <c r="O269" s="45">
        <v>46090.0</v>
      </c>
      <c r="P269" s="36"/>
      <c r="Q269" s="36"/>
      <c r="R269" s="36"/>
      <c r="S269" s="36"/>
    </row>
    <row r="270" ht="15.75" customHeight="1">
      <c r="B270" s="34">
        <v>46079.0</v>
      </c>
      <c r="C270" s="36">
        <v>2425.0</v>
      </c>
      <c r="D270" s="36">
        <v>3.0</v>
      </c>
      <c r="E270" s="38">
        <v>342.0</v>
      </c>
      <c r="F270" s="43">
        <f t="shared" si="10"/>
        <v>1026</v>
      </c>
      <c r="G270" s="36" t="s">
        <v>1539</v>
      </c>
      <c r="H270" s="36" t="s">
        <v>1540</v>
      </c>
      <c r="I270" s="36" t="s">
        <v>32</v>
      </c>
      <c r="J270" s="36" t="s">
        <v>34</v>
      </c>
      <c r="K270" s="36" t="s">
        <v>35</v>
      </c>
      <c r="L270" s="36" t="s">
        <v>62</v>
      </c>
      <c r="M270" s="36">
        <v>31.0</v>
      </c>
      <c r="N270" s="36"/>
      <c r="O270" s="36"/>
      <c r="P270" s="36"/>
      <c r="Q270" s="36"/>
      <c r="R270" s="36"/>
      <c r="S270" s="36"/>
    </row>
    <row r="271" ht="15.75" customHeight="1">
      <c r="B271" s="34">
        <v>46079.0</v>
      </c>
      <c r="C271" s="36">
        <v>2425.0</v>
      </c>
      <c r="D271" s="36">
        <v>10.0</v>
      </c>
      <c r="E271" s="38">
        <v>342.0</v>
      </c>
      <c r="F271" s="43">
        <f t="shared" si="10"/>
        <v>3420</v>
      </c>
      <c r="G271" s="36" t="s">
        <v>1543</v>
      </c>
      <c r="H271" s="36" t="s">
        <v>1544</v>
      </c>
      <c r="I271" s="36" t="s">
        <v>32</v>
      </c>
      <c r="J271" s="36" t="s">
        <v>34</v>
      </c>
      <c r="K271" s="36" t="s">
        <v>35</v>
      </c>
      <c r="L271" s="36" t="s">
        <v>62</v>
      </c>
      <c r="M271" s="36">
        <v>31.0</v>
      </c>
      <c r="N271" s="36"/>
      <c r="O271" s="36"/>
      <c r="P271" s="36"/>
      <c r="Q271" s="36"/>
      <c r="R271" s="36"/>
      <c r="S271" s="36"/>
    </row>
    <row r="272" ht="15.75" customHeight="1">
      <c r="B272" s="34">
        <v>46079.0</v>
      </c>
      <c r="C272" s="36">
        <v>7753.0</v>
      </c>
      <c r="D272" s="36">
        <v>60.0</v>
      </c>
      <c r="E272" s="38">
        <v>38.9</v>
      </c>
      <c r="F272" s="43">
        <f t="shared" si="10"/>
        <v>2334</v>
      </c>
      <c r="G272" s="36" t="s">
        <v>1546</v>
      </c>
      <c r="H272" s="36" t="s">
        <v>1547</v>
      </c>
      <c r="I272" s="36" t="s">
        <v>32</v>
      </c>
      <c r="J272" s="36" t="s">
        <v>34</v>
      </c>
      <c r="K272" s="36" t="s">
        <v>35</v>
      </c>
      <c r="L272" s="36" t="s">
        <v>96</v>
      </c>
      <c r="M272" s="36">
        <v>1.0</v>
      </c>
      <c r="N272" s="36"/>
      <c r="O272" s="45">
        <v>46087.0</v>
      </c>
      <c r="P272" s="36"/>
      <c r="Q272" s="36"/>
      <c r="R272" s="36"/>
      <c r="S272" s="36"/>
    </row>
    <row r="273" ht="15.75" customHeight="1">
      <c r="B273" s="34">
        <v>46079.0</v>
      </c>
      <c r="C273" s="36">
        <v>7753.0</v>
      </c>
      <c r="D273" s="36">
        <v>24.0</v>
      </c>
      <c r="E273" s="38">
        <v>26.9</v>
      </c>
      <c r="F273" s="43">
        <f t="shared" si="10"/>
        <v>645.6</v>
      </c>
      <c r="G273" s="36" t="s">
        <v>1550</v>
      </c>
      <c r="H273" s="36" t="s">
        <v>1551</v>
      </c>
      <c r="I273" s="36" t="s">
        <v>32</v>
      </c>
      <c r="J273" s="36" t="s">
        <v>34</v>
      </c>
      <c r="K273" s="36" t="s">
        <v>35</v>
      </c>
      <c r="L273" s="36" t="s">
        <v>96</v>
      </c>
      <c r="M273" s="36">
        <v>1.0</v>
      </c>
      <c r="N273" s="36"/>
      <c r="O273" s="45">
        <v>46087.0</v>
      </c>
      <c r="P273" s="36"/>
      <c r="Q273" s="36"/>
      <c r="R273" s="36"/>
      <c r="S273" s="36"/>
    </row>
    <row r="274" ht="15.0" customHeight="1">
      <c r="B274" s="34">
        <v>46079.0</v>
      </c>
      <c r="C274" s="36">
        <v>7753.0</v>
      </c>
      <c r="D274" s="36">
        <v>100.0</v>
      </c>
      <c r="E274" s="38">
        <v>6.99</v>
      </c>
      <c r="F274" s="43">
        <f t="shared" si="10"/>
        <v>699</v>
      </c>
      <c r="G274" s="36" t="s">
        <v>1557</v>
      </c>
      <c r="H274" s="36" t="s">
        <v>1558</v>
      </c>
      <c r="I274" s="36" t="s">
        <v>32</v>
      </c>
      <c r="J274" s="36" t="s">
        <v>34</v>
      </c>
      <c r="K274" s="36" t="s">
        <v>35</v>
      </c>
      <c r="L274" s="36" t="s">
        <v>96</v>
      </c>
      <c r="M274" s="36">
        <v>1.0</v>
      </c>
      <c r="N274" s="36"/>
      <c r="O274" s="45">
        <v>46087.0</v>
      </c>
      <c r="P274" s="36"/>
      <c r="Q274" s="36"/>
      <c r="R274" s="36"/>
      <c r="S274" s="36"/>
    </row>
    <row r="275" ht="15.75" customHeight="1">
      <c r="B275" s="34">
        <v>46079.0</v>
      </c>
      <c r="C275" s="36">
        <v>7753.0</v>
      </c>
      <c r="D275" s="36">
        <v>10.0</v>
      </c>
      <c r="E275" s="38">
        <v>139.9</v>
      </c>
      <c r="F275" s="43">
        <f t="shared" si="10"/>
        <v>1399</v>
      </c>
      <c r="G275" s="36" t="s">
        <v>1565</v>
      </c>
      <c r="H275" s="36" t="s">
        <v>1566</v>
      </c>
      <c r="I275" s="36" t="s">
        <v>32</v>
      </c>
      <c r="J275" s="36" t="s">
        <v>34</v>
      </c>
      <c r="K275" s="36" t="s">
        <v>35</v>
      </c>
      <c r="L275" s="36" t="s">
        <v>96</v>
      </c>
      <c r="M275" s="36">
        <v>1.0</v>
      </c>
      <c r="N275" s="36"/>
      <c r="O275" s="45">
        <v>46087.0</v>
      </c>
      <c r="P275" s="36"/>
      <c r="Q275" s="36"/>
      <c r="R275" s="36"/>
      <c r="S275" s="36"/>
    </row>
    <row r="276" ht="15.75" customHeight="1">
      <c r="B276" s="34">
        <v>46079.0</v>
      </c>
      <c r="C276" s="36">
        <v>7753.0</v>
      </c>
      <c r="D276" s="36">
        <v>200.0</v>
      </c>
      <c r="E276" s="38">
        <v>15.99</v>
      </c>
      <c r="F276" s="43">
        <f t="shared" si="10"/>
        <v>3198</v>
      </c>
      <c r="G276" s="36" t="s">
        <v>1570</v>
      </c>
      <c r="H276" s="36" t="s">
        <v>1571</v>
      </c>
      <c r="I276" s="36" t="s">
        <v>32</v>
      </c>
      <c r="J276" s="36" t="s">
        <v>34</v>
      </c>
      <c r="K276" s="36" t="s">
        <v>35</v>
      </c>
      <c r="L276" s="36" t="s">
        <v>96</v>
      </c>
      <c r="M276" s="36">
        <v>1.0</v>
      </c>
      <c r="N276" s="36"/>
      <c r="O276" s="45">
        <v>46087.0</v>
      </c>
      <c r="P276" s="36"/>
      <c r="Q276" s="36"/>
      <c r="R276" s="36"/>
      <c r="S276" s="36"/>
    </row>
    <row r="277" ht="15.75" customHeight="1">
      <c r="B277" s="34">
        <v>46079.0</v>
      </c>
      <c r="C277" s="36">
        <v>7754.0</v>
      </c>
      <c r="D277" s="36">
        <v>80.0</v>
      </c>
      <c r="E277" s="38">
        <v>16.99</v>
      </c>
      <c r="F277" s="43">
        <f t="shared" si="10"/>
        <v>1359.2</v>
      </c>
      <c r="G277" s="36" t="s">
        <v>1576</v>
      </c>
      <c r="H277" s="36" t="s">
        <v>1577</v>
      </c>
      <c r="I277" s="36" t="s">
        <v>32</v>
      </c>
      <c r="J277" s="36" t="s">
        <v>34</v>
      </c>
      <c r="K277" s="36" t="s">
        <v>35</v>
      </c>
      <c r="L277" s="36" t="s">
        <v>96</v>
      </c>
      <c r="M277" s="36">
        <v>1.0</v>
      </c>
      <c r="N277" s="36"/>
      <c r="O277" s="45">
        <v>46087.0</v>
      </c>
      <c r="P277" s="36"/>
      <c r="Q277" s="36"/>
      <c r="R277" s="36"/>
      <c r="S277" s="36"/>
    </row>
    <row r="278" ht="15.75" customHeight="1">
      <c r="B278" s="34">
        <v>46079.0</v>
      </c>
      <c r="C278" s="36">
        <v>7754.0</v>
      </c>
      <c r="D278" s="36">
        <v>10.0</v>
      </c>
      <c r="E278" s="38">
        <v>129.9</v>
      </c>
      <c r="F278" s="43">
        <f t="shared" si="10"/>
        <v>1299</v>
      </c>
      <c r="G278" s="36" t="s">
        <v>1582</v>
      </c>
      <c r="H278" s="36" t="s">
        <v>1583</v>
      </c>
      <c r="I278" s="36" t="s">
        <v>32</v>
      </c>
      <c r="J278" s="36" t="s">
        <v>34</v>
      </c>
      <c r="K278" s="36" t="s">
        <v>35</v>
      </c>
      <c r="L278" s="36" t="s">
        <v>96</v>
      </c>
      <c r="M278" s="36">
        <v>1.0</v>
      </c>
      <c r="N278" s="36"/>
      <c r="O278" s="45">
        <v>46087.0</v>
      </c>
      <c r="P278" s="36"/>
      <c r="Q278" s="36"/>
      <c r="R278" s="36"/>
      <c r="S278" s="36"/>
    </row>
    <row r="279" ht="15.75" customHeight="1">
      <c r="B279" s="34">
        <v>46079.0</v>
      </c>
      <c r="C279" s="36">
        <v>7754.0</v>
      </c>
      <c r="D279" s="36">
        <v>96.0</v>
      </c>
      <c r="E279" s="38">
        <v>8.99</v>
      </c>
      <c r="F279" s="43">
        <f t="shared" si="10"/>
        <v>863.04</v>
      </c>
      <c r="G279" s="36" t="s">
        <v>1586</v>
      </c>
      <c r="H279" s="36" t="s">
        <v>1587</v>
      </c>
      <c r="I279" s="36" t="s">
        <v>32</v>
      </c>
      <c r="J279" s="36" t="s">
        <v>34</v>
      </c>
      <c r="K279" s="36" t="s">
        <v>35</v>
      </c>
      <c r="L279" s="36" t="s">
        <v>96</v>
      </c>
      <c r="M279" s="36">
        <v>1.0</v>
      </c>
      <c r="N279" s="36"/>
      <c r="O279" s="45">
        <v>46087.0</v>
      </c>
      <c r="P279" s="36"/>
      <c r="Q279" s="36"/>
      <c r="R279" s="36"/>
      <c r="S279" s="36"/>
    </row>
    <row r="280" ht="15.75" customHeight="1">
      <c r="B280" s="34">
        <v>46079.0</v>
      </c>
      <c r="C280" s="36">
        <v>7754.0</v>
      </c>
      <c r="D280" s="36">
        <v>2.0</v>
      </c>
      <c r="E280" s="38">
        <v>349.9</v>
      </c>
      <c r="F280" s="43">
        <f t="shared" si="10"/>
        <v>699.8</v>
      </c>
      <c r="G280" s="36" t="s">
        <v>1592</v>
      </c>
      <c r="H280" s="36" t="s">
        <v>224</v>
      </c>
      <c r="I280" s="36" t="s">
        <v>32</v>
      </c>
      <c r="J280" s="36" t="s">
        <v>34</v>
      </c>
      <c r="K280" s="36" t="s">
        <v>35</v>
      </c>
      <c r="L280" s="36" t="s">
        <v>96</v>
      </c>
      <c r="M280" s="36">
        <v>1.0</v>
      </c>
      <c r="N280" s="36"/>
      <c r="O280" s="45">
        <v>46087.0</v>
      </c>
      <c r="P280" s="36"/>
      <c r="Q280" s="36"/>
      <c r="R280" s="36"/>
      <c r="S280" s="36"/>
    </row>
    <row r="281" ht="15.75" customHeight="1">
      <c r="B281" s="34">
        <v>46079.0</v>
      </c>
      <c r="C281" s="36">
        <v>7754.0</v>
      </c>
      <c r="D281" s="36">
        <v>2.0</v>
      </c>
      <c r="E281" s="38">
        <v>399.9</v>
      </c>
      <c r="F281" s="43">
        <f t="shared" si="10"/>
        <v>799.8</v>
      </c>
      <c r="G281" s="36" t="s">
        <v>1598</v>
      </c>
      <c r="H281" s="36" t="s">
        <v>1600</v>
      </c>
      <c r="I281" s="36" t="s">
        <v>32</v>
      </c>
      <c r="J281" s="36" t="s">
        <v>34</v>
      </c>
      <c r="K281" s="36" t="s">
        <v>35</v>
      </c>
      <c r="L281" s="36" t="s">
        <v>96</v>
      </c>
      <c r="M281" s="36">
        <v>1.0</v>
      </c>
      <c r="N281" s="36"/>
      <c r="O281" s="45">
        <v>46087.0</v>
      </c>
      <c r="P281" s="36"/>
      <c r="Q281" s="36"/>
      <c r="R281" s="36"/>
      <c r="S281" s="36"/>
    </row>
    <row r="282" ht="15.75" customHeight="1">
      <c r="B282" s="34">
        <v>46079.0</v>
      </c>
      <c r="C282" s="36">
        <v>7754.0</v>
      </c>
      <c r="D282" s="36">
        <v>10.0</v>
      </c>
      <c r="E282" s="38">
        <v>99.9</v>
      </c>
      <c r="F282" s="43">
        <f t="shared" si="10"/>
        <v>999</v>
      </c>
      <c r="G282" s="36" t="s">
        <v>1603</v>
      </c>
      <c r="H282" s="36" t="s">
        <v>1605</v>
      </c>
      <c r="I282" s="36" t="s">
        <v>32</v>
      </c>
      <c r="J282" s="36" t="s">
        <v>34</v>
      </c>
      <c r="K282" s="36" t="s">
        <v>35</v>
      </c>
      <c r="L282" s="36" t="s">
        <v>96</v>
      </c>
      <c r="M282" s="36">
        <v>1.0</v>
      </c>
      <c r="N282" s="36"/>
      <c r="O282" s="45">
        <v>46087.0</v>
      </c>
      <c r="P282" s="36"/>
      <c r="Q282" s="36"/>
      <c r="R282" s="36"/>
      <c r="S282" s="36"/>
    </row>
    <row r="283" ht="15.75" customHeight="1">
      <c r="B283" s="34">
        <v>46079.0</v>
      </c>
      <c r="C283" s="36">
        <v>7754.0</v>
      </c>
      <c r="D283" s="36">
        <v>6.0</v>
      </c>
      <c r="E283" s="38">
        <v>139.9</v>
      </c>
      <c r="F283" s="43">
        <f t="shared" si="10"/>
        <v>839.4</v>
      </c>
      <c r="G283" s="36" t="s">
        <v>1609</v>
      </c>
      <c r="H283" s="36" t="s">
        <v>546</v>
      </c>
      <c r="I283" s="36" t="s">
        <v>32</v>
      </c>
      <c r="J283" s="36" t="s">
        <v>34</v>
      </c>
      <c r="K283" s="36" t="s">
        <v>35</v>
      </c>
      <c r="L283" s="36" t="s">
        <v>96</v>
      </c>
      <c r="M283" s="36">
        <v>1.0</v>
      </c>
      <c r="N283" s="36"/>
      <c r="O283" s="45">
        <v>46087.0</v>
      </c>
      <c r="P283" s="36"/>
      <c r="Q283" s="36"/>
      <c r="R283" s="36"/>
      <c r="S283" s="36"/>
    </row>
    <row r="284" ht="15.75" customHeight="1">
      <c r="B284" s="34">
        <v>46079.0</v>
      </c>
      <c r="C284" s="36">
        <v>7754.0</v>
      </c>
      <c r="D284" s="36">
        <v>10.0</v>
      </c>
      <c r="E284" s="38">
        <v>119.9</v>
      </c>
      <c r="F284" s="43">
        <f t="shared" si="10"/>
        <v>1199</v>
      </c>
      <c r="G284" s="36" t="s">
        <v>416</v>
      </c>
      <c r="H284" s="36" t="s">
        <v>417</v>
      </c>
      <c r="I284" s="36" t="s">
        <v>32</v>
      </c>
      <c r="J284" s="36" t="s">
        <v>34</v>
      </c>
      <c r="K284" s="36" t="s">
        <v>35</v>
      </c>
      <c r="L284" s="36" t="s">
        <v>96</v>
      </c>
      <c r="M284" s="36">
        <v>1.0</v>
      </c>
      <c r="N284" s="36"/>
      <c r="O284" s="45">
        <v>46087.0</v>
      </c>
      <c r="P284" s="36"/>
      <c r="Q284" s="36"/>
      <c r="R284" s="36"/>
      <c r="S284" s="36"/>
    </row>
    <row r="285" ht="15.75" customHeight="1">
      <c r="B285" s="34">
        <v>46079.0</v>
      </c>
      <c r="C285" s="36">
        <v>7754.0</v>
      </c>
      <c r="D285" s="36">
        <v>20.0</v>
      </c>
      <c r="E285" s="38">
        <v>69.9</v>
      </c>
      <c r="F285" s="43">
        <f t="shared" si="10"/>
        <v>1398</v>
      </c>
      <c r="G285" s="36" t="s">
        <v>1619</v>
      </c>
      <c r="H285" s="36" t="s">
        <v>1621</v>
      </c>
      <c r="I285" s="36" t="s">
        <v>32</v>
      </c>
      <c r="J285" s="36" t="s">
        <v>34</v>
      </c>
      <c r="K285" s="36" t="s">
        <v>35</v>
      </c>
      <c r="L285" s="36" t="s">
        <v>96</v>
      </c>
      <c r="M285" s="36">
        <v>1.0</v>
      </c>
      <c r="N285" s="36"/>
      <c r="O285" s="45">
        <v>46087.0</v>
      </c>
      <c r="P285" s="36"/>
      <c r="Q285" s="36"/>
      <c r="R285" s="36"/>
      <c r="S285" s="36"/>
    </row>
    <row r="286" ht="15.75" customHeight="1">
      <c r="B286" s="34">
        <v>46079.0</v>
      </c>
      <c r="C286" s="36">
        <v>7754.0</v>
      </c>
      <c r="D286" s="36">
        <v>80.0</v>
      </c>
      <c r="E286" s="38">
        <v>17.99</v>
      </c>
      <c r="F286" s="43">
        <f t="shared" si="10"/>
        <v>1439.2</v>
      </c>
      <c r="G286" s="36" t="s">
        <v>1623</v>
      </c>
      <c r="H286" s="36" t="s">
        <v>1624</v>
      </c>
      <c r="I286" s="36" t="s">
        <v>32</v>
      </c>
      <c r="J286" s="36" t="s">
        <v>34</v>
      </c>
      <c r="K286" s="36" t="s">
        <v>35</v>
      </c>
      <c r="L286" s="36" t="s">
        <v>96</v>
      </c>
      <c r="M286" s="36">
        <v>1.0</v>
      </c>
      <c r="N286" s="36"/>
      <c r="O286" s="45">
        <v>46087.0</v>
      </c>
      <c r="P286" s="36"/>
      <c r="Q286" s="36"/>
      <c r="R286" s="36"/>
      <c r="S286" s="36"/>
    </row>
    <row r="287" ht="15.75" customHeight="1">
      <c r="B287" s="34">
        <v>46079.0</v>
      </c>
      <c r="C287" s="36">
        <v>7754.0</v>
      </c>
      <c r="D287" s="36">
        <v>60.0</v>
      </c>
      <c r="E287" s="38">
        <v>13.9</v>
      </c>
      <c r="F287" s="43">
        <f t="shared" si="10"/>
        <v>834</v>
      </c>
      <c r="G287" s="36" t="s">
        <v>1015</v>
      </c>
      <c r="H287" s="36" t="s">
        <v>1017</v>
      </c>
      <c r="I287" s="36" t="s">
        <v>32</v>
      </c>
      <c r="J287" s="36" t="s">
        <v>34</v>
      </c>
      <c r="K287" s="36" t="s">
        <v>35</v>
      </c>
      <c r="L287" s="36" t="s">
        <v>96</v>
      </c>
      <c r="M287" s="36">
        <v>1.0</v>
      </c>
      <c r="N287" s="36"/>
      <c r="O287" s="45">
        <v>46087.0</v>
      </c>
      <c r="P287" s="36"/>
      <c r="Q287" s="36"/>
      <c r="R287" s="36"/>
      <c r="S287" s="36"/>
    </row>
    <row r="288" ht="15.75" customHeight="1">
      <c r="B288" s="34">
        <v>46079.0</v>
      </c>
      <c r="C288" s="36">
        <v>7755.0</v>
      </c>
      <c r="D288" s="36">
        <v>1.0</v>
      </c>
      <c r="E288" s="38">
        <v>139.9</v>
      </c>
      <c r="F288" s="43">
        <f t="shared" si="10"/>
        <v>139.9</v>
      </c>
      <c r="G288" s="36" t="s">
        <v>1361</v>
      </c>
      <c r="H288" s="36" t="s">
        <v>1363</v>
      </c>
      <c r="I288" s="36" t="s">
        <v>32</v>
      </c>
      <c r="J288" s="36" t="s">
        <v>34</v>
      </c>
      <c r="K288" s="36" t="s">
        <v>35</v>
      </c>
      <c r="L288" s="36" t="s">
        <v>96</v>
      </c>
      <c r="M288" s="36">
        <v>1.0</v>
      </c>
      <c r="N288" s="36"/>
      <c r="O288" s="45">
        <v>46087.0</v>
      </c>
      <c r="P288" s="36"/>
      <c r="Q288" s="36"/>
      <c r="R288" s="36"/>
      <c r="S288" s="36"/>
    </row>
    <row r="289" ht="15.75" customHeight="1">
      <c r="B289" s="34">
        <v>46079.0</v>
      </c>
      <c r="C289" s="36">
        <v>7755.0</v>
      </c>
      <c r="D289" s="36">
        <v>60.0</v>
      </c>
      <c r="E289" s="38">
        <v>14.8</v>
      </c>
      <c r="F289" s="43">
        <f t="shared" si="10"/>
        <v>888</v>
      </c>
      <c r="G289" s="36" t="s">
        <v>1635</v>
      </c>
      <c r="H289" s="36" t="s">
        <v>1636</v>
      </c>
      <c r="I289" s="36" t="s">
        <v>32</v>
      </c>
      <c r="J289" s="36" t="s">
        <v>34</v>
      </c>
      <c r="K289" s="36" t="s">
        <v>35</v>
      </c>
      <c r="L289" s="36" t="s">
        <v>96</v>
      </c>
      <c r="M289" s="36">
        <v>1.0</v>
      </c>
      <c r="N289" s="36"/>
      <c r="O289" s="45">
        <v>46087.0</v>
      </c>
      <c r="P289" s="36"/>
      <c r="Q289" s="36"/>
      <c r="R289" s="36"/>
      <c r="S289" s="36"/>
    </row>
    <row r="290" ht="15.75" customHeight="1">
      <c r="B290" s="34">
        <v>46079.0</v>
      </c>
      <c r="C290" s="36">
        <v>7755.0</v>
      </c>
      <c r="D290" s="36">
        <v>60.0</v>
      </c>
      <c r="E290" s="38">
        <v>23.9</v>
      </c>
      <c r="F290" s="43">
        <f t="shared" si="10"/>
        <v>1434</v>
      </c>
      <c r="G290" s="36" t="s">
        <v>1641</v>
      </c>
      <c r="H290" s="36" t="s">
        <v>1642</v>
      </c>
      <c r="I290" s="36" t="s">
        <v>32</v>
      </c>
      <c r="J290" s="36" t="s">
        <v>34</v>
      </c>
      <c r="K290" s="36" t="s">
        <v>35</v>
      </c>
      <c r="L290" s="36" t="s">
        <v>96</v>
      </c>
      <c r="M290" s="36">
        <v>1.0</v>
      </c>
      <c r="N290" s="36"/>
      <c r="O290" s="45">
        <v>46087.0</v>
      </c>
      <c r="P290" s="36"/>
      <c r="Q290" s="36"/>
      <c r="R290" s="36"/>
      <c r="S290" s="36"/>
    </row>
    <row r="291" ht="15.75" customHeight="1">
      <c r="B291" s="34">
        <v>46079.0</v>
      </c>
      <c r="C291" s="36">
        <v>7755.0</v>
      </c>
      <c r="D291" s="36">
        <v>40.0</v>
      </c>
      <c r="E291" s="38">
        <v>66.9</v>
      </c>
      <c r="F291" s="43">
        <f t="shared" si="10"/>
        <v>2676</v>
      </c>
      <c r="G291" s="36" t="s">
        <v>1645</v>
      </c>
      <c r="H291" s="36" t="s">
        <v>1647</v>
      </c>
      <c r="I291" s="36" t="s">
        <v>32</v>
      </c>
      <c r="J291" s="36" t="s">
        <v>34</v>
      </c>
      <c r="K291" s="36" t="s">
        <v>35</v>
      </c>
      <c r="L291" s="36" t="s">
        <v>96</v>
      </c>
      <c r="M291" s="36">
        <v>1.0</v>
      </c>
      <c r="N291" s="36"/>
      <c r="O291" s="45">
        <v>46087.0</v>
      </c>
      <c r="P291" s="36"/>
      <c r="Q291" s="36"/>
      <c r="R291" s="36"/>
      <c r="S291" s="36"/>
    </row>
    <row r="292" ht="15.75" customHeight="1">
      <c r="B292" s="34">
        <v>46079.0</v>
      </c>
      <c r="C292" s="36">
        <v>7755.0</v>
      </c>
      <c r="D292" s="36">
        <v>50.0</v>
      </c>
      <c r="E292" s="38">
        <v>52.9</v>
      </c>
      <c r="F292" s="43">
        <f t="shared" si="10"/>
        <v>2645</v>
      </c>
      <c r="G292" s="36" t="s">
        <v>1650</v>
      </c>
      <c r="H292" s="36" t="s">
        <v>1651</v>
      </c>
      <c r="I292" s="36" t="s">
        <v>32</v>
      </c>
      <c r="J292" s="36" t="s">
        <v>34</v>
      </c>
      <c r="K292" s="36" t="s">
        <v>35</v>
      </c>
      <c r="L292" s="36" t="s">
        <v>96</v>
      </c>
      <c r="M292" s="36">
        <v>1.0</v>
      </c>
      <c r="N292" s="36"/>
      <c r="O292" s="45">
        <v>46087.0</v>
      </c>
      <c r="P292" s="36"/>
      <c r="Q292" s="36"/>
      <c r="R292" s="36"/>
      <c r="S292" s="36"/>
    </row>
    <row r="293" ht="15.75" customHeight="1">
      <c r="B293" s="34">
        <v>46079.0</v>
      </c>
      <c r="C293" s="36">
        <v>7755.0</v>
      </c>
      <c r="D293" s="36">
        <v>96.0</v>
      </c>
      <c r="E293" s="38">
        <v>8.99</v>
      </c>
      <c r="F293" s="43">
        <f t="shared" si="10"/>
        <v>863.04</v>
      </c>
      <c r="G293" s="36" t="s">
        <v>1586</v>
      </c>
      <c r="H293" s="36" t="s">
        <v>1587</v>
      </c>
      <c r="I293" s="36" t="s">
        <v>32</v>
      </c>
      <c r="J293" s="36" t="s">
        <v>34</v>
      </c>
      <c r="K293" s="36" t="s">
        <v>35</v>
      </c>
      <c r="L293" s="36" t="s">
        <v>96</v>
      </c>
      <c r="M293" s="36">
        <v>1.0</v>
      </c>
      <c r="N293" s="36"/>
      <c r="O293" s="45">
        <v>46087.0</v>
      </c>
      <c r="P293" s="36"/>
      <c r="Q293" s="36"/>
      <c r="R293" s="36"/>
      <c r="S293" s="36"/>
    </row>
    <row r="294" ht="15.75" customHeight="1">
      <c r="B294" s="34">
        <v>46079.0</v>
      </c>
      <c r="C294" s="36">
        <v>7755.0</v>
      </c>
      <c r="D294" s="36">
        <v>50.0</v>
      </c>
      <c r="E294" s="38">
        <v>14.9</v>
      </c>
      <c r="F294" s="43">
        <f t="shared" si="10"/>
        <v>745</v>
      </c>
      <c r="G294" s="36" t="s">
        <v>1657</v>
      </c>
      <c r="H294" s="36" t="s">
        <v>1658</v>
      </c>
      <c r="I294" s="36" t="s">
        <v>32</v>
      </c>
      <c r="J294" s="36" t="s">
        <v>34</v>
      </c>
      <c r="K294" s="36" t="s">
        <v>35</v>
      </c>
      <c r="L294" s="36" t="s">
        <v>96</v>
      </c>
      <c r="M294" s="36">
        <v>1.0</v>
      </c>
      <c r="N294" s="36"/>
      <c r="O294" s="45">
        <v>46087.0</v>
      </c>
      <c r="P294" s="36"/>
      <c r="Q294" s="36"/>
      <c r="R294" s="36"/>
      <c r="S294" s="36"/>
    </row>
    <row r="295" ht="15.75" customHeight="1">
      <c r="B295" s="34">
        <v>46079.0</v>
      </c>
      <c r="C295" s="36">
        <v>7756.0</v>
      </c>
      <c r="D295" s="36">
        <v>100.0</v>
      </c>
      <c r="E295" s="38">
        <v>13.99</v>
      </c>
      <c r="F295" s="43">
        <f t="shared" si="10"/>
        <v>1399</v>
      </c>
      <c r="G295" s="36" t="s">
        <v>1661</v>
      </c>
      <c r="H295" s="36" t="s">
        <v>1662</v>
      </c>
      <c r="I295" s="36" t="s">
        <v>32</v>
      </c>
      <c r="J295" s="36" t="s">
        <v>34</v>
      </c>
      <c r="K295" s="36" t="s">
        <v>35</v>
      </c>
      <c r="L295" s="36" t="s">
        <v>96</v>
      </c>
      <c r="M295" s="36">
        <v>1.0</v>
      </c>
      <c r="N295" s="36"/>
      <c r="O295" s="45">
        <v>46087.0</v>
      </c>
      <c r="P295" s="36"/>
      <c r="Q295" s="36"/>
      <c r="R295" s="36"/>
      <c r="S295" s="36"/>
    </row>
    <row r="296" ht="15.75" customHeight="1">
      <c r="B296" s="34">
        <v>46079.0</v>
      </c>
      <c r="C296" s="36">
        <v>7756.0</v>
      </c>
      <c r="D296" s="36">
        <v>200.0</v>
      </c>
      <c r="E296" s="38">
        <v>15.99</v>
      </c>
      <c r="F296" s="43">
        <f t="shared" si="10"/>
        <v>3198</v>
      </c>
      <c r="G296" s="36" t="s">
        <v>1570</v>
      </c>
      <c r="H296" s="36" t="s">
        <v>1571</v>
      </c>
      <c r="I296" s="36" t="s">
        <v>32</v>
      </c>
      <c r="J296" s="36" t="s">
        <v>34</v>
      </c>
      <c r="K296" s="36" t="s">
        <v>35</v>
      </c>
      <c r="L296" s="36" t="s">
        <v>96</v>
      </c>
      <c r="M296" s="36">
        <v>1.0</v>
      </c>
      <c r="N296" s="36"/>
      <c r="O296" s="45">
        <v>46087.0</v>
      </c>
      <c r="P296" s="36"/>
      <c r="Q296" s="36"/>
      <c r="R296" s="36"/>
      <c r="S296" s="36"/>
    </row>
    <row r="297" ht="15.75" customHeight="1">
      <c r="B297" s="34">
        <v>46079.0</v>
      </c>
      <c r="C297" s="36">
        <v>6545.0</v>
      </c>
      <c r="D297" s="36">
        <v>32.0</v>
      </c>
      <c r="E297" s="38">
        <v>23.994</v>
      </c>
      <c r="F297" s="43">
        <f t="shared" si="10"/>
        <v>767.808</v>
      </c>
      <c r="G297" s="36" t="s">
        <v>1669</v>
      </c>
      <c r="H297" s="36" t="s">
        <v>1671</v>
      </c>
      <c r="I297" s="36" t="s">
        <v>41</v>
      </c>
      <c r="J297" s="36" t="s">
        <v>34</v>
      </c>
      <c r="K297" s="36" t="s">
        <v>35</v>
      </c>
      <c r="L297" s="36" t="s">
        <v>1415</v>
      </c>
      <c r="M297" s="36">
        <v>31.0</v>
      </c>
      <c r="N297" s="36"/>
      <c r="O297" s="45">
        <v>46091.0</v>
      </c>
      <c r="P297" s="36"/>
      <c r="Q297" s="36"/>
      <c r="R297" s="36"/>
      <c r="S297" s="36"/>
    </row>
    <row r="298" ht="15.75" customHeight="1">
      <c r="B298" s="34">
        <v>46079.0</v>
      </c>
      <c r="C298" s="36">
        <v>6545.0</v>
      </c>
      <c r="D298" s="36">
        <v>100.0</v>
      </c>
      <c r="E298" s="38">
        <v>6.045</v>
      </c>
      <c r="F298" s="43">
        <f t="shared" si="10"/>
        <v>604.5</v>
      </c>
      <c r="G298" s="36" t="s">
        <v>980</v>
      </c>
      <c r="H298" s="36" t="s">
        <v>1679</v>
      </c>
      <c r="I298" s="36" t="s">
        <v>41</v>
      </c>
      <c r="J298" s="36" t="s">
        <v>34</v>
      </c>
      <c r="K298" s="36" t="s">
        <v>35</v>
      </c>
      <c r="L298" s="36" t="s">
        <v>1415</v>
      </c>
      <c r="M298" s="36">
        <v>31.0</v>
      </c>
      <c r="N298" s="36"/>
      <c r="O298" s="45">
        <v>46091.0</v>
      </c>
      <c r="P298" s="36"/>
      <c r="Q298" s="36"/>
      <c r="R298" s="36"/>
      <c r="S298" s="36"/>
    </row>
    <row r="299" ht="15.75" customHeight="1">
      <c r="B299" s="34">
        <v>46079.0</v>
      </c>
      <c r="C299" s="36">
        <v>6545.0</v>
      </c>
      <c r="D299" s="36">
        <v>50.0</v>
      </c>
      <c r="E299" s="38">
        <v>10.695</v>
      </c>
      <c r="F299" s="43">
        <f t="shared" si="10"/>
        <v>534.75</v>
      </c>
      <c r="G299" s="36" t="s">
        <v>1683</v>
      </c>
      <c r="H299" s="36" t="s">
        <v>1686</v>
      </c>
      <c r="I299" s="36" t="s">
        <v>41</v>
      </c>
      <c r="J299" s="36" t="s">
        <v>34</v>
      </c>
      <c r="K299" s="36" t="s">
        <v>35</v>
      </c>
      <c r="L299" s="36" t="s">
        <v>1415</v>
      </c>
      <c r="M299" s="36">
        <v>31.0</v>
      </c>
      <c r="N299" s="36"/>
      <c r="O299" s="45">
        <v>46091.0</v>
      </c>
      <c r="P299" s="36"/>
      <c r="Q299" s="36"/>
      <c r="R299" s="36"/>
      <c r="S299" s="36"/>
    </row>
    <row r="300" ht="15.75" customHeight="1">
      <c r="B300" s="34">
        <v>46079.0</v>
      </c>
      <c r="C300" s="36">
        <v>6545.0</v>
      </c>
      <c r="D300" s="36">
        <v>200.0</v>
      </c>
      <c r="E300" s="38">
        <v>5.301</v>
      </c>
      <c r="F300" s="43">
        <f t="shared" si="10"/>
        <v>1060.2</v>
      </c>
      <c r="G300" s="36" t="s">
        <v>615</v>
      </c>
      <c r="H300" s="36" t="s">
        <v>1692</v>
      </c>
      <c r="I300" s="36" t="s">
        <v>41</v>
      </c>
      <c r="J300" s="36" t="s">
        <v>34</v>
      </c>
      <c r="K300" s="36" t="s">
        <v>35</v>
      </c>
      <c r="L300" s="36" t="s">
        <v>1415</v>
      </c>
      <c r="M300" s="36">
        <v>31.0</v>
      </c>
      <c r="N300" s="36"/>
      <c r="O300" s="45">
        <v>46091.0</v>
      </c>
      <c r="P300" s="36"/>
      <c r="Q300" s="36"/>
      <c r="R300" s="36"/>
      <c r="S300" s="36"/>
    </row>
    <row r="301" ht="15.75" customHeight="1">
      <c r="B301" s="34">
        <v>46079.0</v>
      </c>
      <c r="C301" s="36">
        <v>6545.0</v>
      </c>
      <c r="D301" s="36">
        <v>50.0</v>
      </c>
      <c r="E301" s="38">
        <v>34.41</v>
      </c>
      <c r="F301" s="43">
        <f t="shared" si="10"/>
        <v>1720.5</v>
      </c>
      <c r="G301" s="36" t="s">
        <v>615</v>
      </c>
      <c r="H301" s="36" t="s">
        <v>1402</v>
      </c>
      <c r="I301" s="36" t="s">
        <v>41</v>
      </c>
      <c r="J301" s="36" t="s">
        <v>34</v>
      </c>
      <c r="K301" s="36" t="s">
        <v>35</v>
      </c>
      <c r="L301" s="36" t="s">
        <v>1415</v>
      </c>
      <c r="M301" s="36">
        <v>31.0</v>
      </c>
      <c r="N301" s="36"/>
      <c r="O301" s="45">
        <v>46091.0</v>
      </c>
      <c r="P301" s="36"/>
      <c r="Q301" s="36"/>
      <c r="R301" s="36"/>
      <c r="S301" s="36"/>
    </row>
    <row r="302" ht="15.75" customHeight="1">
      <c r="B302" s="34">
        <v>46079.0</v>
      </c>
      <c r="C302" s="36">
        <v>6545.0</v>
      </c>
      <c r="D302" s="36">
        <v>100.0</v>
      </c>
      <c r="E302" s="38">
        <v>9.765</v>
      </c>
      <c r="F302" s="43">
        <f t="shared" si="10"/>
        <v>976.5</v>
      </c>
      <c r="G302" s="36" t="s">
        <v>1697</v>
      </c>
      <c r="H302" s="36" t="s">
        <v>1699</v>
      </c>
      <c r="I302" s="36" t="s">
        <v>41</v>
      </c>
      <c r="J302" s="36" t="s">
        <v>34</v>
      </c>
      <c r="K302" s="36" t="s">
        <v>35</v>
      </c>
      <c r="L302" s="36" t="s">
        <v>1415</v>
      </c>
      <c r="M302" s="36">
        <v>31.0</v>
      </c>
      <c r="N302" s="36"/>
      <c r="O302" s="45">
        <v>46091.0</v>
      </c>
      <c r="P302" s="36"/>
      <c r="Q302" s="36"/>
      <c r="R302" s="36"/>
      <c r="S302" s="36"/>
    </row>
    <row r="303" ht="15.75" customHeight="1">
      <c r="B303" s="34">
        <v>46079.0</v>
      </c>
      <c r="C303" s="36">
        <v>6545.0</v>
      </c>
      <c r="D303" s="36">
        <v>200.0</v>
      </c>
      <c r="E303" s="38">
        <v>8.835</v>
      </c>
      <c r="F303" s="43">
        <f t="shared" si="10"/>
        <v>1767</v>
      </c>
      <c r="G303" s="36" t="s">
        <v>1704</v>
      </c>
      <c r="H303" s="36" t="s">
        <v>1706</v>
      </c>
      <c r="I303" s="36" t="s">
        <v>41</v>
      </c>
      <c r="J303" s="36" t="s">
        <v>34</v>
      </c>
      <c r="K303" s="36" t="s">
        <v>35</v>
      </c>
      <c r="L303" s="36" t="s">
        <v>1415</v>
      </c>
      <c r="M303" s="36">
        <v>31.0</v>
      </c>
      <c r="N303" s="36"/>
      <c r="O303" s="45">
        <v>46091.0</v>
      </c>
      <c r="P303" s="36"/>
      <c r="Q303" s="36"/>
      <c r="R303" s="36"/>
      <c r="S303" s="36"/>
    </row>
    <row r="304" ht="15.75" customHeight="1">
      <c r="B304" s="34">
        <v>46079.0</v>
      </c>
      <c r="C304" s="36">
        <v>6545.0</v>
      </c>
      <c r="D304" s="36">
        <v>200.0</v>
      </c>
      <c r="E304" s="38">
        <v>3.069</v>
      </c>
      <c r="F304" s="43">
        <f t="shared" si="10"/>
        <v>613.8</v>
      </c>
      <c r="G304" s="36" t="s">
        <v>1393</v>
      </c>
      <c r="H304" s="36" t="s">
        <v>1709</v>
      </c>
      <c r="I304" s="36" t="s">
        <v>41</v>
      </c>
      <c r="J304" s="36" t="s">
        <v>34</v>
      </c>
      <c r="K304" s="36" t="s">
        <v>35</v>
      </c>
      <c r="L304" s="36" t="s">
        <v>1415</v>
      </c>
      <c r="M304" s="36">
        <v>31.0</v>
      </c>
      <c r="N304" s="36"/>
      <c r="O304" s="45">
        <v>46091.0</v>
      </c>
      <c r="P304" s="36"/>
      <c r="Q304" s="36"/>
      <c r="R304" s="36"/>
      <c r="S304" s="36"/>
    </row>
    <row r="305" ht="15.75" customHeight="1">
      <c r="B305" s="34">
        <v>46079.0</v>
      </c>
      <c r="C305" s="36">
        <v>6545.0</v>
      </c>
      <c r="D305" s="36">
        <v>200.0</v>
      </c>
      <c r="E305" s="38">
        <v>5.115</v>
      </c>
      <c r="F305" s="43">
        <f t="shared" si="10"/>
        <v>1023</v>
      </c>
      <c r="G305" s="36" t="s">
        <v>1715</v>
      </c>
      <c r="H305" s="36" t="s">
        <v>1716</v>
      </c>
      <c r="I305" s="36" t="s">
        <v>41</v>
      </c>
      <c r="J305" s="36" t="s">
        <v>34</v>
      </c>
      <c r="K305" s="36" t="s">
        <v>35</v>
      </c>
      <c r="L305" s="36" t="s">
        <v>1415</v>
      </c>
      <c r="M305" s="36">
        <v>31.0</v>
      </c>
      <c r="N305" s="36"/>
      <c r="O305" s="45">
        <v>46091.0</v>
      </c>
      <c r="P305" s="36"/>
      <c r="Q305" s="36"/>
      <c r="R305" s="36"/>
      <c r="S305" s="36"/>
    </row>
    <row r="306" ht="15.75" customHeight="1">
      <c r="B306" s="34">
        <v>46080.0</v>
      </c>
      <c r="C306" s="36">
        <v>30.0</v>
      </c>
      <c r="D306" s="36">
        <v>160.0</v>
      </c>
      <c r="E306" s="38">
        <v>200.0</v>
      </c>
      <c r="F306" s="43">
        <f t="shared" si="10"/>
        <v>32000</v>
      </c>
      <c r="G306" s="36" t="s">
        <v>1136</v>
      </c>
      <c r="H306" s="36"/>
      <c r="I306" s="36" t="s">
        <v>32</v>
      </c>
      <c r="J306" s="36" t="s">
        <v>34</v>
      </c>
      <c r="K306" s="36" t="s">
        <v>35</v>
      </c>
      <c r="L306" s="36" t="s">
        <v>515</v>
      </c>
      <c r="M306" s="36">
        <v>31.0</v>
      </c>
      <c r="N306" s="36"/>
      <c r="O306" s="36"/>
      <c r="P306" s="36"/>
      <c r="Q306" s="36" t="s">
        <v>1722</v>
      </c>
      <c r="R306" s="36" t="s">
        <v>1723</v>
      </c>
      <c r="S306" s="36" t="s">
        <v>1724</v>
      </c>
    </row>
    <row r="307" ht="15.75" customHeight="1">
      <c r="B307" s="34">
        <v>46080.0</v>
      </c>
      <c r="C307" s="36">
        <v>30.0</v>
      </c>
      <c r="D307" s="36">
        <v>155.0</v>
      </c>
      <c r="E307" s="38">
        <v>399.0</v>
      </c>
      <c r="F307" s="43">
        <f t="shared" si="10"/>
        <v>61845</v>
      </c>
      <c r="G307" s="36" t="s">
        <v>579</v>
      </c>
      <c r="H307" s="36"/>
      <c r="I307" s="36" t="s">
        <v>32</v>
      </c>
      <c r="J307" s="36" t="s">
        <v>34</v>
      </c>
      <c r="K307" s="36" t="s">
        <v>35</v>
      </c>
      <c r="L307" s="36" t="s">
        <v>515</v>
      </c>
      <c r="M307" s="36">
        <v>31.0</v>
      </c>
      <c r="N307" s="36"/>
      <c r="O307" s="45">
        <v>46092.0</v>
      </c>
      <c r="P307" s="36"/>
      <c r="Q307" s="36"/>
      <c r="R307" s="36"/>
      <c r="S307" s="36"/>
    </row>
    <row r="308" ht="15.75" customHeight="1">
      <c r="B308" s="34">
        <v>46080.0</v>
      </c>
      <c r="C308" s="36">
        <v>4969.0</v>
      </c>
      <c r="D308" s="36">
        <v>6.0</v>
      </c>
      <c r="E308" s="38">
        <v>185.0</v>
      </c>
      <c r="F308" s="43">
        <f t="shared" si="10"/>
        <v>1110</v>
      </c>
      <c r="G308" s="36" t="s">
        <v>1732</v>
      </c>
      <c r="H308" s="36" t="s">
        <v>35</v>
      </c>
      <c r="I308" s="36" t="s">
        <v>32</v>
      </c>
      <c r="J308" s="36" t="s">
        <v>34</v>
      </c>
      <c r="K308" s="36" t="s">
        <v>35</v>
      </c>
      <c r="L308" s="36" t="s">
        <v>1491</v>
      </c>
      <c r="M308" s="36">
        <v>31.0</v>
      </c>
      <c r="N308" s="36"/>
      <c r="O308" s="36"/>
      <c r="P308" s="36"/>
      <c r="Q308" s="36"/>
      <c r="R308" s="36"/>
      <c r="S308" s="36"/>
    </row>
    <row r="309" ht="15.75" customHeight="1">
      <c r="B309" s="34">
        <v>46080.0</v>
      </c>
      <c r="C309" s="36">
        <v>4969.0</v>
      </c>
      <c r="D309" s="36">
        <v>4.0</v>
      </c>
      <c r="E309" s="38">
        <v>155.0</v>
      </c>
      <c r="F309" s="43">
        <f t="shared" si="10"/>
        <v>620</v>
      </c>
      <c r="G309" s="36" t="s">
        <v>1738</v>
      </c>
      <c r="H309" s="36" t="s">
        <v>35</v>
      </c>
      <c r="I309" s="36" t="s">
        <v>32</v>
      </c>
      <c r="J309" s="36" t="s">
        <v>34</v>
      </c>
      <c r="K309" s="36" t="s">
        <v>35</v>
      </c>
      <c r="L309" s="36" t="s">
        <v>1491</v>
      </c>
      <c r="M309" s="36">
        <v>31.0</v>
      </c>
      <c r="N309" s="36"/>
      <c r="O309" s="36"/>
      <c r="P309" s="36"/>
      <c r="Q309" s="36"/>
      <c r="R309" s="36"/>
      <c r="S309" s="36"/>
    </row>
    <row r="310" ht="15.75" customHeight="1">
      <c r="B310" s="34">
        <v>46080.0</v>
      </c>
      <c r="C310" s="36">
        <v>4969.0</v>
      </c>
      <c r="D310" s="36">
        <v>4.0</v>
      </c>
      <c r="E310" s="38">
        <v>98.0</v>
      </c>
      <c r="F310" s="43">
        <f t="shared" si="10"/>
        <v>392</v>
      </c>
      <c r="G310" s="36" t="s">
        <v>1742</v>
      </c>
      <c r="H310" s="36" t="s">
        <v>35</v>
      </c>
      <c r="I310" s="36" t="s">
        <v>32</v>
      </c>
      <c r="J310" s="36" t="s">
        <v>34</v>
      </c>
      <c r="K310" s="36" t="s">
        <v>35</v>
      </c>
      <c r="L310" s="36" t="s">
        <v>1491</v>
      </c>
      <c r="M310" s="36">
        <v>31.0</v>
      </c>
      <c r="N310" s="36"/>
      <c r="O310" s="36"/>
      <c r="P310" s="36"/>
      <c r="Q310" s="36"/>
      <c r="R310" s="36"/>
      <c r="S310" s="36"/>
    </row>
    <row r="311" ht="15.75" customHeight="1">
      <c r="B311" s="34">
        <v>46080.0</v>
      </c>
      <c r="C311" s="36">
        <v>4969.0</v>
      </c>
      <c r="D311" s="36">
        <v>10.0</v>
      </c>
      <c r="E311" s="38">
        <v>70.0</v>
      </c>
      <c r="F311" s="43">
        <f t="shared" si="10"/>
        <v>700</v>
      </c>
      <c r="G311" s="36" t="s">
        <v>1745</v>
      </c>
      <c r="H311" s="36" t="s">
        <v>35</v>
      </c>
      <c r="I311" s="36" t="s">
        <v>32</v>
      </c>
      <c r="J311" s="36" t="s">
        <v>34</v>
      </c>
      <c r="K311" s="36" t="s">
        <v>35</v>
      </c>
      <c r="L311" s="36" t="s">
        <v>1491</v>
      </c>
      <c r="M311" s="36">
        <v>31.0</v>
      </c>
      <c r="N311" s="36"/>
      <c r="O311" s="36"/>
      <c r="P311" s="36"/>
      <c r="Q311" s="36"/>
      <c r="R311" s="36"/>
      <c r="S311" s="36"/>
    </row>
    <row r="312" ht="15.75" customHeight="1">
      <c r="B312" s="34">
        <v>46080.0</v>
      </c>
      <c r="C312" s="36">
        <v>2487.0</v>
      </c>
      <c r="D312" s="36">
        <v>30.0</v>
      </c>
      <c r="E312" s="38">
        <v>342.0</v>
      </c>
      <c r="F312" s="43">
        <f t="shared" si="10"/>
        <v>10260</v>
      </c>
      <c r="G312" s="36" t="s">
        <v>1751</v>
      </c>
      <c r="H312" s="36" t="s">
        <v>775</v>
      </c>
      <c r="I312" s="36" t="s">
        <v>202</v>
      </c>
      <c r="J312" s="36" t="s">
        <v>34</v>
      </c>
      <c r="K312" s="36" t="s">
        <v>35</v>
      </c>
      <c r="L312" s="36" t="s">
        <v>62</v>
      </c>
      <c r="M312" s="36">
        <v>1.0</v>
      </c>
      <c r="N312" s="36"/>
      <c r="O312" s="45">
        <v>46101.0</v>
      </c>
      <c r="P312" s="36"/>
      <c r="Q312" s="36"/>
      <c r="R312" s="36"/>
      <c r="S312" s="36"/>
    </row>
    <row r="313" ht="15.75" customHeight="1">
      <c r="B313" s="34">
        <v>46080.0</v>
      </c>
      <c r="C313" s="36">
        <v>6657.0</v>
      </c>
      <c r="D313" s="36">
        <v>100.0</v>
      </c>
      <c r="E313" s="38">
        <v>12.56</v>
      </c>
      <c r="F313" s="43">
        <f t="shared" si="10"/>
        <v>1256</v>
      </c>
      <c r="G313" s="36" t="s">
        <v>1753</v>
      </c>
      <c r="H313" s="36" t="s">
        <v>1754</v>
      </c>
      <c r="I313" s="36" t="s">
        <v>41</v>
      </c>
      <c r="J313" s="36" t="s">
        <v>34</v>
      </c>
      <c r="K313" s="36" t="s">
        <v>35</v>
      </c>
      <c r="L313" s="36" t="s">
        <v>1415</v>
      </c>
      <c r="M313" s="36">
        <v>31.0</v>
      </c>
      <c r="N313" s="36"/>
      <c r="O313" s="36"/>
      <c r="P313" s="36"/>
      <c r="Q313" s="36"/>
      <c r="R313" s="36"/>
      <c r="S313" s="36"/>
    </row>
    <row r="314" ht="15.75" customHeight="1">
      <c r="B314" s="34">
        <v>46080.0</v>
      </c>
      <c r="C314" s="36">
        <v>99688.0</v>
      </c>
      <c r="D314" s="36">
        <v>100.0</v>
      </c>
      <c r="E314" s="38">
        <v>591.0587</v>
      </c>
      <c r="F314" s="43">
        <f t="shared" si="10"/>
        <v>59105.87</v>
      </c>
      <c r="G314" s="36" t="s">
        <v>1757</v>
      </c>
      <c r="H314" s="36">
        <v>29006.0</v>
      </c>
      <c r="I314" s="36" t="s">
        <v>32</v>
      </c>
      <c r="J314" s="36" t="s">
        <v>40</v>
      </c>
      <c r="K314" s="36" t="s">
        <v>35</v>
      </c>
      <c r="L314" s="36" t="s">
        <v>68</v>
      </c>
      <c r="M314" s="36">
        <v>1.0</v>
      </c>
      <c r="N314" s="36"/>
      <c r="O314" s="45">
        <v>46066.0</v>
      </c>
      <c r="P314" s="36"/>
      <c r="Q314" s="36"/>
      <c r="R314" s="36"/>
      <c r="S314" s="36"/>
    </row>
    <row r="315" ht="15.75" customHeight="1">
      <c r="B315" s="34">
        <v>46080.0</v>
      </c>
      <c r="C315" s="36" t="s">
        <v>35</v>
      </c>
      <c r="D315" s="36">
        <v>400.0</v>
      </c>
      <c r="E315" s="38">
        <v>33.5</v>
      </c>
      <c r="F315" s="43">
        <f t="shared" si="10"/>
        <v>13400</v>
      </c>
      <c r="G315" s="36" t="s">
        <v>514</v>
      </c>
      <c r="H315" s="36" t="s">
        <v>35</v>
      </c>
      <c r="I315" s="36" t="s">
        <v>300</v>
      </c>
      <c r="J315" s="36" t="s">
        <v>34</v>
      </c>
      <c r="K315" s="36" t="s">
        <v>35</v>
      </c>
      <c r="L315" s="36" t="s">
        <v>1761</v>
      </c>
      <c r="M315" s="36">
        <v>31.0</v>
      </c>
      <c r="N315" s="36"/>
      <c r="O315" s="36"/>
      <c r="P315" s="36"/>
      <c r="Q315" s="36"/>
      <c r="R315" s="36"/>
      <c r="S315" s="36"/>
    </row>
    <row r="316" ht="15.75" customHeight="1">
      <c r="B316" s="34">
        <v>46080.0</v>
      </c>
      <c r="C316" s="36">
        <v>31579.0</v>
      </c>
      <c r="D316" s="36">
        <v>53.0</v>
      </c>
      <c r="E316" s="38">
        <v>84.0</v>
      </c>
      <c r="F316" s="43">
        <f t="shared" si="10"/>
        <v>4452</v>
      </c>
      <c r="G316" s="36" t="s">
        <v>1764</v>
      </c>
      <c r="H316" s="36">
        <v>53550.0</v>
      </c>
      <c r="I316" s="36" t="s">
        <v>77</v>
      </c>
      <c r="J316" s="36" t="s">
        <v>79</v>
      </c>
      <c r="K316" s="36" t="s">
        <v>35</v>
      </c>
      <c r="L316" s="36" t="s">
        <v>254</v>
      </c>
      <c r="M316" s="36">
        <v>31.0</v>
      </c>
      <c r="N316" s="36"/>
      <c r="O316" s="36"/>
      <c r="P316" s="36"/>
      <c r="Q316" s="36"/>
      <c r="R316" s="36"/>
      <c r="S316" s="36"/>
    </row>
    <row r="317" ht="15.75" customHeight="1">
      <c r="B317" s="34">
        <v>46080.0</v>
      </c>
      <c r="C317" s="36">
        <v>31579.0</v>
      </c>
      <c r="D317" s="36">
        <v>169.0</v>
      </c>
      <c r="E317" s="38">
        <v>84.0</v>
      </c>
      <c r="F317" s="43">
        <f t="shared" si="10"/>
        <v>14196</v>
      </c>
      <c r="G317" s="36" t="s">
        <v>818</v>
      </c>
      <c r="H317" s="36" t="s">
        <v>1766</v>
      </c>
      <c r="I317" s="36" t="s">
        <v>77</v>
      </c>
      <c r="J317" s="36" t="s">
        <v>79</v>
      </c>
      <c r="K317" s="36" t="s">
        <v>35</v>
      </c>
      <c r="L317" s="36" t="s">
        <v>254</v>
      </c>
      <c r="M317" s="36">
        <v>31.0</v>
      </c>
      <c r="N317" s="36"/>
      <c r="O317" s="36"/>
      <c r="P317" s="36"/>
      <c r="Q317" s="36"/>
      <c r="R317" s="36"/>
      <c r="S317" s="36"/>
    </row>
    <row r="318" ht="15.75" customHeight="1">
      <c r="B318" s="34">
        <v>46080.0</v>
      </c>
      <c r="C318" s="36">
        <v>31579.0</v>
      </c>
      <c r="D318" s="36">
        <v>19.0</v>
      </c>
      <c r="E318" s="38">
        <v>84.0</v>
      </c>
      <c r="F318" s="43">
        <f t="shared" si="10"/>
        <v>1596</v>
      </c>
      <c r="G318" s="36" t="s">
        <v>1770</v>
      </c>
      <c r="H318" s="36" t="s">
        <v>1771</v>
      </c>
      <c r="I318" s="36" t="s">
        <v>77</v>
      </c>
      <c r="J318" s="36" t="s">
        <v>79</v>
      </c>
      <c r="K318" s="36" t="s">
        <v>35</v>
      </c>
      <c r="L318" s="36" t="s">
        <v>254</v>
      </c>
      <c r="M318" s="36">
        <v>31.0</v>
      </c>
      <c r="N318" s="36"/>
      <c r="O318" s="36"/>
      <c r="P318" s="36"/>
      <c r="Q318" s="36"/>
      <c r="R318" s="36"/>
      <c r="S318" s="36"/>
    </row>
    <row r="319" ht="15.75" customHeight="1">
      <c r="B319" s="34">
        <v>46080.0</v>
      </c>
      <c r="C319" s="36">
        <v>31579.0</v>
      </c>
      <c r="D319" s="36">
        <v>80.0</v>
      </c>
      <c r="E319" s="38">
        <v>146.5</v>
      </c>
      <c r="F319" s="43">
        <f t="shared" si="10"/>
        <v>11720</v>
      </c>
      <c r="G319" s="36" t="s">
        <v>1778</v>
      </c>
      <c r="H319" s="36" t="s">
        <v>1779</v>
      </c>
      <c r="I319" s="36" t="s">
        <v>77</v>
      </c>
      <c r="J319" s="36" t="s">
        <v>79</v>
      </c>
      <c r="K319" s="36" t="s">
        <v>35</v>
      </c>
      <c r="L319" s="36" t="s">
        <v>254</v>
      </c>
      <c r="M319" s="36">
        <v>31.0</v>
      </c>
      <c r="N319" s="36"/>
      <c r="O319" s="36"/>
      <c r="P319" s="36"/>
      <c r="Q319" s="36"/>
      <c r="R319" s="36"/>
      <c r="S319" s="36"/>
    </row>
    <row r="320" ht="15.75" customHeight="1">
      <c r="B320" s="34">
        <v>46080.0</v>
      </c>
      <c r="C320" s="36">
        <v>31579.0</v>
      </c>
      <c r="D320" s="36">
        <v>130.0</v>
      </c>
      <c r="E320" s="38">
        <v>146.5</v>
      </c>
      <c r="F320" s="43">
        <f t="shared" si="10"/>
        <v>19045</v>
      </c>
      <c r="G320" s="36" t="s">
        <v>1783</v>
      </c>
      <c r="H320" s="36">
        <v>6600.0</v>
      </c>
      <c r="I320" s="36" t="s">
        <v>77</v>
      </c>
      <c r="J320" s="36" t="s">
        <v>79</v>
      </c>
      <c r="K320" s="36" t="s">
        <v>35</v>
      </c>
      <c r="L320" s="36" t="s">
        <v>254</v>
      </c>
      <c r="M320" s="36">
        <v>31.0</v>
      </c>
      <c r="N320" s="36"/>
      <c r="O320" s="36"/>
      <c r="P320" s="36"/>
      <c r="Q320" s="36"/>
      <c r="R320" s="36"/>
      <c r="S320" s="36"/>
    </row>
    <row r="321" ht="15.75" customHeight="1">
      <c r="B321" s="34">
        <v>46084.0</v>
      </c>
      <c r="C321" s="36" t="s">
        <v>35</v>
      </c>
      <c r="D321" s="36">
        <v>124.0</v>
      </c>
      <c r="E321" s="38">
        <v>510.0</v>
      </c>
      <c r="F321" s="43">
        <f t="shared" si="10"/>
        <v>63240</v>
      </c>
      <c r="G321" s="36"/>
      <c r="H321" s="36"/>
      <c r="I321" s="36" t="s">
        <v>32</v>
      </c>
      <c r="J321" s="36" t="s">
        <v>34</v>
      </c>
      <c r="K321" s="36" t="s">
        <v>35</v>
      </c>
      <c r="L321" s="36" t="s">
        <v>261</v>
      </c>
      <c r="M321" s="36">
        <v>31.0</v>
      </c>
      <c r="N321" s="36"/>
      <c r="O321" s="36"/>
      <c r="P321" s="36"/>
      <c r="Q321" s="36"/>
      <c r="R321" s="36"/>
      <c r="S321" s="36"/>
    </row>
    <row r="322" ht="15.75" customHeight="1">
      <c r="B322" s="34">
        <v>46084.0</v>
      </c>
      <c r="C322" s="36" t="s">
        <v>35</v>
      </c>
      <c r="D322" s="36">
        <v>1.0</v>
      </c>
      <c r="E322" s="38">
        <v>50.0</v>
      </c>
      <c r="F322" s="43">
        <f t="shared" si="10"/>
        <v>50</v>
      </c>
      <c r="G322" s="36"/>
      <c r="H322" s="36"/>
      <c r="I322" s="36" t="s">
        <v>32</v>
      </c>
      <c r="J322" s="36" t="s">
        <v>34</v>
      </c>
      <c r="K322" s="36" t="s">
        <v>35</v>
      </c>
      <c r="L322" s="36" t="s">
        <v>261</v>
      </c>
      <c r="M322" s="36">
        <v>31.0</v>
      </c>
      <c r="N322" s="36"/>
      <c r="O322" s="36"/>
      <c r="P322" s="36"/>
      <c r="Q322" s="36"/>
      <c r="R322" s="36"/>
      <c r="S322" s="36"/>
    </row>
    <row r="323" ht="15.75" customHeight="1">
      <c r="B323" s="33">
        <v>46072.0</v>
      </c>
      <c r="C323" s="35" t="s">
        <v>1797</v>
      </c>
      <c r="D323" s="35">
        <v>60.0</v>
      </c>
      <c r="E323" s="37">
        <v>125.0</v>
      </c>
      <c r="F323" s="43">
        <f t="shared" si="10"/>
        <v>7500</v>
      </c>
      <c r="G323" s="35" t="s">
        <v>1801</v>
      </c>
      <c r="H323" s="35">
        <v>1003947.0</v>
      </c>
      <c r="I323" s="36"/>
      <c r="J323" s="36"/>
      <c r="K323" s="36"/>
      <c r="L323" s="35" t="s">
        <v>1803</v>
      </c>
      <c r="M323" s="36"/>
      <c r="N323" s="36"/>
      <c r="O323" s="36"/>
      <c r="P323" s="36"/>
      <c r="Q323" s="36"/>
      <c r="R323" s="36"/>
      <c r="S323" s="36"/>
    </row>
    <row r="324" ht="15.75" customHeight="1">
      <c r="B324" s="33">
        <v>46083.0</v>
      </c>
      <c r="C324" s="35" t="s">
        <v>1804</v>
      </c>
      <c r="D324" s="35">
        <v>100.0</v>
      </c>
      <c r="E324" s="37">
        <v>99.9</v>
      </c>
      <c r="F324" s="43">
        <f t="shared" si="10"/>
        <v>9990</v>
      </c>
      <c r="G324" s="35" t="s">
        <v>1801</v>
      </c>
      <c r="H324" s="35">
        <v>1003947.0</v>
      </c>
      <c r="I324" s="36"/>
      <c r="J324" s="36"/>
      <c r="K324" s="36"/>
      <c r="L324" s="35" t="s">
        <v>1803</v>
      </c>
      <c r="M324" s="36"/>
      <c r="N324" s="36"/>
      <c r="O324" s="36"/>
      <c r="P324" s="36"/>
      <c r="Q324" s="36"/>
      <c r="R324" s="36"/>
      <c r="S324" s="36"/>
    </row>
    <row r="325" ht="15.75" customHeight="1">
      <c r="B325" s="33">
        <v>46072.0</v>
      </c>
      <c r="C325" s="35" t="s">
        <v>1810</v>
      </c>
      <c r="D325" s="35">
        <v>5.0</v>
      </c>
      <c r="E325" s="37">
        <v>720.0</v>
      </c>
      <c r="F325" s="43">
        <f t="shared" si="10"/>
        <v>3600</v>
      </c>
      <c r="G325" s="35" t="s">
        <v>1814</v>
      </c>
      <c r="H325" s="35">
        <v>1005209.0</v>
      </c>
      <c r="I325" s="36"/>
      <c r="J325" s="36"/>
      <c r="K325" s="36"/>
      <c r="L325" s="35" t="s">
        <v>1803</v>
      </c>
      <c r="M325" s="36"/>
      <c r="N325" s="36"/>
      <c r="O325" s="36"/>
      <c r="P325" s="36"/>
      <c r="Q325" s="36"/>
      <c r="R325" s="36"/>
      <c r="S325" s="36"/>
    </row>
    <row r="326" ht="15.75" customHeight="1">
      <c r="B326" s="34"/>
      <c r="C326" s="36"/>
      <c r="D326" s="36"/>
      <c r="E326" s="38"/>
      <c r="F326" s="43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</row>
    <row r="327" ht="15.75" customHeight="1">
      <c r="B327" s="34"/>
      <c r="C327" s="36"/>
      <c r="D327" s="36"/>
      <c r="E327" s="38"/>
      <c r="F327" s="43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</row>
    <row r="328" ht="15.75" customHeight="1">
      <c r="B328" s="34"/>
      <c r="C328" s="36"/>
      <c r="D328" s="36"/>
      <c r="E328" s="38"/>
      <c r="F328" s="43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</row>
    <row r="329" ht="15.75" customHeight="1">
      <c r="B329" s="34"/>
      <c r="C329" s="36"/>
      <c r="D329" s="36"/>
      <c r="E329" s="38"/>
      <c r="F329" s="43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</row>
    <row r="330" ht="15.75" customHeight="1">
      <c r="B330" s="34"/>
      <c r="C330" s="36"/>
      <c r="D330" s="36"/>
      <c r="E330" s="38"/>
      <c r="F330" s="43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</row>
    <row r="331" ht="15.75" customHeight="1">
      <c r="B331" s="34"/>
      <c r="C331" s="36"/>
      <c r="D331" s="36"/>
      <c r="E331" s="38"/>
      <c r="F331" s="43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</row>
    <row r="332" ht="15.75" customHeight="1">
      <c r="B332" s="7"/>
      <c r="E332" s="18"/>
      <c r="G332" s="12"/>
    </row>
    <row r="333" ht="15.75" customHeight="1">
      <c r="B333" s="7"/>
      <c r="E333" s="18"/>
      <c r="G333" s="12"/>
    </row>
    <row r="334" ht="15.75" customHeight="1">
      <c r="B334" s="7"/>
      <c r="E334" s="18"/>
      <c r="G334" s="12"/>
    </row>
    <row r="335" ht="15.75" customHeight="1">
      <c r="B335" s="7"/>
      <c r="E335" s="18"/>
      <c r="G335" s="12"/>
    </row>
    <row r="336" ht="15.75" customHeight="1">
      <c r="B336" s="7"/>
      <c r="E336" s="18"/>
      <c r="G336" s="12"/>
    </row>
    <row r="337" ht="15.75" customHeight="1">
      <c r="B337" s="7"/>
      <c r="E337" s="18"/>
      <c r="G337" s="12"/>
    </row>
    <row r="338" ht="15.75" customHeight="1">
      <c r="B338" s="7"/>
      <c r="E338" s="18"/>
      <c r="G338" s="12"/>
    </row>
    <row r="339" ht="15.75" customHeight="1">
      <c r="B339" s="7"/>
      <c r="E339" s="18"/>
      <c r="G339" s="12"/>
    </row>
    <row r="340" ht="15.75" customHeight="1">
      <c r="B340" s="7"/>
      <c r="E340" s="18"/>
      <c r="G340" s="12"/>
    </row>
    <row r="341" ht="15.75" customHeight="1">
      <c r="B341" s="7"/>
      <c r="E341" s="18"/>
      <c r="G341" s="12"/>
    </row>
    <row r="342" ht="15.75" customHeight="1">
      <c r="B342" s="7"/>
      <c r="E342" s="18"/>
      <c r="G342" s="12"/>
    </row>
    <row r="343" ht="15.75" customHeight="1">
      <c r="B343" s="7"/>
      <c r="E343" s="18"/>
      <c r="G343" s="12"/>
    </row>
    <row r="344" ht="15.75" customHeight="1">
      <c r="B344" s="7"/>
      <c r="E344" s="18"/>
      <c r="G344" s="12"/>
    </row>
    <row r="345" ht="15.75" customHeight="1">
      <c r="B345" s="7"/>
      <c r="E345" s="18"/>
      <c r="G345" s="12"/>
    </row>
    <row r="346" ht="15.75" customHeight="1">
      <c r="B346" s="7"/>
      <c r="E346" s="18"/>
      <c r="G346" s="12"/>
    </row>
    <row r="347" ht="15.75" customHeight="1">
      <c r="B347" s="7"/>
      <c r="E347" s="18"/>
      <c r="G347" s="12"/>
    </row>
    <row r="348" ht="15.75" customHeight="1">
      <c r="B348" s="7"/>
      <c r="E348" s="18"/>
      <c r="G348" s="12"/>
    </row>
    <row r="349" ht="15.75" customHeight="1">
      <c r="B349" s="7"/>
      <c r="E349" s="18"/>
      <c r="G349" s="12"/>
    </row>
    <row r="350" ht="15.75" customHeight="1">
      <c r="B350" s="7"/>
      <c r="E350" s="18"/>
      <c r="G350" s="12"/>
    </row>
    <row r="351" ht="15.75" customHeight="1">
      <c r="B351" s="7"/>
      <c r="E351" s="18"/>
      <c r="G351" s="12"/>
    </row>
    <row r="352" ht="15.75" customHeight="1">
      <c r="B352" s="7"/>
      <c r="E352" s="18"/>
      <c r="G352" s="12"/>
    </row>
    <row r="353" ht="15.75" customHeight="1">
      <c r="B353" s="7"/>
      <c r="E353" s="18"/>
      <c r="G353" s="12"/>
    </row>
    <row r="354" ht="15.75" customHeight="1">
      <c r="B354" s="7"/>
      <c r="E354" s="18"/>
      <c r="G354" s="12"/>
    </row>
    <row r="355" ht="15.75" customHeight="1">
      <c r="B355" s="7"/>
      <c r="E355" s="18"/>
      <c r="G355" s="12"/>
    </row>
    <row r="356" ht="15.75" customHeight="1">
      <c r="B356" s="7"/>
      <c r="E356" s="18"/>
      <c r="G356" s="12"/>
    </row>
    <row r="357" ht="15.75" customHeight="1">
      <c r="B357" s="7"/>
      <c r="E357" s="18"/>
      <c r="G357" s="12"/>
    </row>
    <row r="358" ht="15.75" customHeight="1">
      <c r="B358" s="7"/>
      <c r="E358" s="18"/>
      <c r="G358" s="12"/>
    </row>
    <row r="359" ht="15.75" customHeight="1">
      <c r="B359" s="7"/>
      <c r="E359" s="18"/>
      <c r="G359" s="12"/>
    </row>
    <row r="360" ht="15.75" customHeight="1">
      <c r="B360" s="7"/>
      <c r="E360" s="18"/>
      <c r="G360" s="12"/>
    </row>
    <row r="361" ht="15.75" customHeight="1">
      <c r="B361" s="7"/>
      <c r="E361" s="18"/>
      <c r="G361" s="12"/>
    </row>
    <row r="362" ht="15.75" customHeight="1">
      <c r="B362" s="7"/>
      <c r="E362" s="18"/>
      <c r="G362" s="12"/>
    </row>
    <row r="363" ht="15.75" customHeight="1">
      <c r="B363" s="7"/>
      <c r="E363" s="18"/>
      <c r="G363" s="12"/>
    </row>
    <row r="364" ht="15.75" customHeight="1">
      <c r="B364" s="7"/>
      <c r="E364" s="18"/>
      <c r="G364" s="12"/>
    </row>
    <row r="365" ht="15.75" customHeight="1">
      <c r="B365" s="7"/>
      <c r="E365" s="18"/>
      <c r="G365" s="12"/>
    </row>
    <row r="366" ht="15.75" customHeight="1">
      <c r="B366" s="7"/>
      <c r="E366" s="18"/>
      <c r="G366" s="12"/>
    </row>
    <row r="367" ht="15.75" customHeight="1">
      <c r="B367" s="7"/>
      <c r="E367" s="18"/>
      <c r="G367" s="12"/>
    </row>
    <row r="368" ht="15.75" customHeight="1">
      <c r="B368" s="7"/>
      <c r="E368" s="18"/>
      <c r="G368" s="12"/>
    </row>
    <row r="369" ht="15.75" customHeight="1">
      <c r="B369" s="7"/>
      <c r="E369" s="18"/>
      <c r="G369" s="12"/>
    </row>
    <row r="370" ht="15.75" customHeight="1">
      <c r="B370" s="7"/>
      <c r="E370" s="18"/>
      <c r="G370" s="12"/>
    </row>
    <row r="371" ht="15.75" customHeight="1">
      <c r="B371" s="7"/>
      <c r="E371" s="18"/>
      <c r="G371" s="12"/>
    </row>
    <row r="372" ht="15.75" customHeight="1">
      <c r="B372" s="7"/>
      <c r="E372" s="18"/>
      <c r="G372" s="12"/>
    </row>
    <row r="373" ht="15.75" customHeight="1">
      <c r="B373" s="7"/>
      <c r="E373" s="18"/>
      <c r="G373" s="12"/>
    </row>
    <row r="374" ht="15.75" customHeight="1">
      <c r="B374" s="7"/>
      <c r="E374" s="18"/>
      <c r="G374" s="12"/>
    </row>
    <row r="375" ht="15.75" customHeight="1">
      <c r="B375" s="7"/>
      <c r="E375" s="18"/>
      <c r="G375" s="12"/>
    </row>
    <row r="376" ht="15.75" customHeight="1">
      <c r="B376" s="7"/>
      <c r="E376" s="18"/>
      <c r="G376" s="12"/>
    </row>
    <row r="377" ht="15.75" customHeight="1">
      <c r="B377" s="7"/>
      <c r="E377" s="18"/>
      <c r="G377" s="12"/>
    </row>
    <row r="378" ht="15.75" customHeight="1">
      <c r="B378" s="7"/>
      <c r="E378" s="18"/>
      <c r="G378" s="12"/>
    </row>
    <row r="379" ht="15.75" customHeight="1">
      <c r="B379" s="7"/>
      <c r="E379" s="18"/>
      <c r="G379" s="12"/>
    </row>
    <row r="380" ht="15.75" customHeight="1">
      <c r="B380" s="7"/>
      <c r="E380" s="18"/>
      <c r="G380" s="12"/>
    </row>
    <row r="381" ht="15.75" customHeight="1">
      <c r="B381" s="7"/>
      <c r="E381" s="18"/>
      <c r="G381" s="12"/>
    </row>
    <row r="382" ht="15.75" customHeight="1">
      <c r="B382" s="7"/>
      <c r="E382" s="18"/>
      <c r="G382" s="12"/>
    </row>
    <row r="383" ht="15.75" customHeight="1">
      <c r="B383" s="7"/>
      <c r="E383" s="18"/>
      <c r="G383" s="12"/>
    </row>
    <row r="384" ht="15.75" customHeight="1">
      <c r="B384" s="7"/>
      <c r="E384" s="18"/>
      <c r="G384" s="12"/>
    </row>
    <row r="385" ht="15.75" customHeight="1">
      <c r="B385" s="7"/>
      <c r="E385" s="18"/>
      <c r="G385" s="12"/>
    </row>
    <row r="386" ht="15.75" customHeight="1">
      <c r="B386" s="7"/>
      <c r="E386" s="18"/>
      <c r="G386" s="12"/>
    </row>
    <row r="387" ht="15.75" customHeight="1">
      <c r="B387" s="7"/>
      <c r="E387" s="18"/>
      <c r="G387" s="12"/>
    </row>
    <row r="388" ht="15.75" customHeight="1">
      <c r="B388" s="7"/>
      <c r="E388" s="18"/>
      <c r="G388" s="12"/>
    </row>
    <row r="389" ht="15.75" customHeight="1">
      <c r="B389" s="7"/>
      <c r="E389" s="18"/>
      <c r="G389" s="12"/>
    </row>
    <row r="390" ht="15.75" customHeight="1">
      <c r="B390" s="7"/>
      <c r="E390" s="18"/>
      <c r="G390" s="12"/>
    </row>
    <row r="391" ht="15.75" customHeight="1">
      <c r="B391" s="7"/>
      <c r="E391" s="18"/>
      <c r="G391" s="12"/>
    </row>
    <row r="392" ht="15.75" customHeight="1">
      <c r="B392" s="7"/>
      <c r="E392" s="18"/>
      <c r="G392" s="12"/>
    </row>
    <row r="393" ht="15.75" customHeight="1">
      <c r="B393" s="7"/>
      <c r="E393" s="18"/>
      <c r="G393" s="12"/>
    </row>
    <row r="394" ht="15.75" customHeight="1">
      <c r="B394" s="7"/>
      <c r="E394" s="18"/>
      <c r="G394" s="12"/>
    </row>
    <row r="395" ht="15.75" customHeight="1">
      <c r="B395" s="7"/>
      <c r="E395" s="18"/>
      <c r="G395" s="12"/>
    </row>
    <row r="396" ht="15.75" customHeight="1">
      <c r="B396" s="7"/>
      <c r="E396" s="18"/>
      <c r="G396" s="12"/>
    </row>
    <row r="397" ht="15.75" customHeight="1">
      <c r="B397" s="7"/>
      <c r="E397" s="18"/>
      <c r="G397" s="12"/>
    </row>
    <row r="398" ht="15.75" customHeight="1">
      <c r="B398" s="7"/>
      <c r="E398" s="18"/>
      <c r="G398" s="12"/>
    </row>
    <row r="399" ht="15.75" customHeight="1">
      <c r="B399" s="7"/>
      <c r="E399" s="18"/>
      <c r="G399" s="12"/>
    </row>
    <row r="400" ht="15.75" customHeight="1">
      <c r="B400" s="7"/>
      <c r="E400" s="18"/>
      <c r="G400" s="12"/>
    </row>
    <row r="401" ht="15.75" customHeight="1">
      <c r="B401" s="7"/>
      <c r="E401" s="18"/>
      <c r="G401" s="12"/>
    </row>
    <row r="402" ht="15.75" customHeight="1">
      <c r="B402" s="7"/>
      <c r="E402" s="18"/>
      <c r="G402" s="12"/>
    </row>
    <row r="403" ht="15.75" customHeight="1">
      <c r="B403" s="7"/>
      <c r="E403" s="18"/>
      <c r="G403" s="12"/>
    </row>
    <row r="404" ht="15.75" customHeight="1">
      <c r="B404" s="7"/>
      <c r="E404" s="18"/>
      <c r="G404" s="12"/>
    </row>
    <row r="405" ht="15.75" customHeight="1">
      <c r="B405" s="7"/>
      <c r="E405" s="18"/>
      <c r="G405" s="12"/>
    </row>
    <row r="406" ht="15.75" customHeight="1">
      <c r="B406" s="7"/>
      <c r="E406" s="18"/>
      <c r="G406" s="12"/>
    </row>
    <row r="407" ht="15.75" customHeight="1">
      <c r="B407" s="7"/>
      <c r="E407" s="18"/>
      <c r="G407" s="12"/>
    </row>
    <row r="408" ht="15.75" customHeight="1">
      <c r="B408" s="7"/>
      <c r="E408" s="18"/>
      <c r="G408" s="12"/>
    </row>
    <row r="409" ht="15.75" customHeight="1">
      <c r="B409" s="7"/>
      <c r="E409" s="18"/>
      <c r="G409" s="12"/>
    </row>
    <row r="410" ht="15.75" customHeight="1">
      <c r="B410" s="7"/>
      <c r="E410" s="18"/>
      <c r="G410" s="12"/>
    </row>
    <row r="411" ht="15.75" customHeight="1">
      <c r="B411" s="7"/>
      <c r="E411" s="18"/>
      <c r="G411" s="12"/>
    </row>
    <row r="412" ht="15.75" customHeight="1">
      <c r="B412" s="7"/>
      <c r="E412" s="18"/>
      <c r="G412" s="12"/>
    </row>
    <row r="413" ht="15.75" customHeight="1">
      <c r="B413" s="7"/>
      <c r="E413" s="18"/>
      <c r="G413" s="12"/>
    </row>
    <row r="414" ht="15.75" customHeight="1">
      <c r="B414" s="7"/>
      <c r="E414" s="18"/>
      <c r="G414" s="12"/>
    </row>
    <row r="415" ht="15.75" customHeight="1">
      <c r="B415" s="7"/>
      <c r="E415" s="18"/>
      <c r="G415" s="12"/>
    </row>
    <row r="416" ht="15.75" customHeight="1">
      <c r="B416" s="7"/>
      <c r="E416" s="18"/>
      <c r="G416" s="12"/>
    </row>
    <row r="417" ht="15.75" customHeight="1">
      <c r="B417" s="7"/>
      <c r="E417" s="18"/>
      <c r="G417" s="12"/>
    </row>
    <row r="418" ht="15.75" customHeight="1">
      <c r="B418" s="7"/>
      <c r="E418" s="18"/>
      <c r="G418" s="12"/>
    </row>
    <row r="419" ht="15.75" customHeight="1">
      <c r="B419" s="7"/>
      <c r="E419" s="18"/>
      <c r="G419" s="12"/>
    </row>
    <row r="420" ht="15.75" customHeight="1">
      <c r="B420" s="7"/>
      <c r="E420" s="18"/>
      <c r="G420" s="12"/>
    </row>
    <row r="421" ht="15.75" customHeight="1">
      <c r="B421" s="7"/>
      <c r="E421" s="18"/>
      <c r="G421" s="12"/>
    </row>
    <row r="422" ht="15.75" customHeight="1">
      <c r="B422" s="7"/>
      <c r="E422" s="18"/>
      <c r="G422" s="12"/>
    </row>
    <row r="423" ht="15.75" customHeight="1">
      <c r="B423" s="7"/>
      <c r="E423" s="18"/>
      <c r="G423" s="12"/>
    </row>
    <row r="424" ht="15.75" customHeight="1">
      <c r="B424" s="7"/>
      <c r="E424" s="18"/>
      <c r="G424" s="12"/>
    </row>
    <row r="425" ht="15.75" customHeight="1">
      <c r="B425" s="7"/>
      <c r="E425" s="18"/>
      <c r="G425" s="12"/>
    </row>
    <row r="426" ht="15.75" customHeight="1">
      <c r="B426" s="7"/>
      <c r="E426" s="18"/>
      <c r="G426" s="12"/>
    </row>
    <row r="427" ht="15.75" customHeight="1">
      <c r="B427" s="7"/>
      <c r="E427" s="18"/>
      <c r="G427" s="12"/>
    </row>
    <row r="428" ht="15.75" customHeight="1">
      <c r="B428" s="7"/>
      <c r="E428" s="18"/>
      <c r="G428" s="12"/>
    </row>
    <row r="429" ht="15.75" customHeight="1">
      <c r="B429" s="7"/>
      <c r="E429" s="18"/>
      <c r="G429" s="12"/>
    </row>
    <row r="430" ht="15.75" customHeight="1">
      <c r="B430" s="7"/>
      <c r="E430" s="18"/>
      <c r="G430" s="12"/>
    </row>
    <row r="431" ht="15.75" customHeight="1">
      <c r="B431" s="7"/>
      <c r="E431" s="18"/>
      <c r="G431" s="12"/>
    </row>
    <row r="432" ht="15.75" customHeight="1">
      <c r="B432" s="7"/>
      <c r="E432" s="18"/>
      <c r="G432" s="12"/>
    </row>
    <row r="433" ht="15.75" customHeight="1">
      <c r="B433" s="7"/>
      <c r="E433" s="18"/>
      <c r="G433" s="12"/>
    </row>
    <row r="434" ht="15.75" customHeight="1">
      <c r="B434" s="7"/>
      <c r="E434" s="18"/>
      <c r="G434" s="12"/>
    </row>
    <row r="435" ht="15.75" customHeight="1">
      <c r="B435" s="7"/>
      <c r="E435" s="18"/>
      <c r="G435" s="12"/>
    </row>
    <row r="436" ht="15.75" customHeight="1">
      <c r="B436" s="7"/>
      <c r="E436" s="18"/>
      <c r="G436" s="12"/>
    </row>
    <row r="437" ht="15.75" customHeight="1">
      <c r="B437" s="7"/>
      <c r="E437" s="18"/>
      <c r="G437" s="12"/>
    </row>
    <row r="438" ht="15.75" customHeight="1">
      <c r="B438" s="7"/>
      <c r="E438" s="18"/>
      <c r="G438" s="12"/>
    </row>
    <row r="439" ht="15.75" customHeight="1">
      <c r="B439" s="7"/>
      <c r="E439" s="18"/>
      <c r="G439" s="12"/>
    </row>
    <row r="440" ht="15.75" customHeight="1">
      <c r="B440" s="7"/>
      <c r="E440" s="18"/>
      <c r="G440" s="12"/>
    </row>
    <row r="441" ht="15.75" customHeight="1">
      <c r="B441" s="7"/>
      <c r="E441" s="18"/>
      <c r="G441" s="12"/>
    </row>
    <row r="442" ht="15.75" customHeight="1">
      <c r="B442" s="7"/>
      <c r="E442" s="18"/>
      <c r="G442" s="12"/>
    </row>
    <row r="443" ht="15.75" customHeight="1">
      <c r="B443" s="7"/>
      <c r="E443" s="18"/>
      <c r="G443" s="12"/>
    </row>
    <row r="444" ht="15.75" customHeight="1">
      <c r="B444" s="7"/>
      <c r="E444" s="18"/>
      <c r="G444" s="12"/>
    </row>
    <row r="445" ht="15.75" customHeight="1">
      <c r="B445" s="7"/>
      <c r="E445" s="18"/>
      <c r="G445" s="12"/>
    </row>
    <row r="446" ht="15.75" customHeight="1">
      <c r="B446" s="7"/>
      <c r="E446" s="18"/>
      <c r="G446" s="12"/>
    </row>
    <row r="447" ht="15.75" customHeight="1">
      <c r="B447" s="7"/>
      <c r="E447" s="18"/>
      <c r="G447" s="12"/>
    </row>
    <row r="448" ht="15.75" customHeight="1">
      <c r="B448" s="7"/>
      <c r="E448" s="18"/>
      <c r="G448" s="12"/>
    </row>
    <row r="449" ht="15.75" customHeight="1">
      <c r="B449" s="7"/>
      <c r="E449" s="18"/>
      <c r="G449" s="12"/>
    </row>
    <row r="450" ht="15.75" customHeight="1">
      <c r="B450" s="7"/>
      <c r="E450" s="18"/>
      <c r="G450" s="12"/>
    </row>
    <row r="451" ht="15.75" customHeight="1">
      <c r="B451" s="7"/>
      <c r="E451" s="18"/>
      <c r="G451" s="12"/>
    </row>
    <row r="452" ht="15.75" customHeight="1">
      <c r="B452" s="7"/>
      <c r="E452" s="18"/>
      <c r="G452" s="12"/>
    </row>
    <row r="453" ht="15.75" customHeight="1">
      <c r="B453" s="7"/>
      <c r="E453" s="18"/>
      <c r="G453" s="12"/>
    </row>
    <row r="454" ht="15.75" customHeight="1">
      <c r="B454" s="7"/>
      <c r="E454" s="18"/>
      <c r="G454" s="12"/>
    </row>
    <row r="455" ht="15.75" customHeight="1">
      <c r="B455" s="7"/>
      <c r="E455" s="18"/>
      <c r="G455" s="12"/>
    </row>
    <row r="456" ht="15.75" customHeight="1">
      <c r="B456" s="7"/>
      <c r="E456" s="18"/>
      <c r="G456" s="12"/>
    </row>
    <row r="457" ht="15.75" customHeight="1">
      <c r="B457" s="7"/>
      <c r="E457" s="18"/>
      <c r="G457" s="12"/>
    </row>
    <row r="458" ht="15.75" customHeight="1">
      <c r="B458" s="7"/>
      <c r="E458" s="18"/>
      <c r="G458" s="12"/>
    </row>
    <row r="459" ht="15.75" customHeight="1">
      <c r="B459" s="7"/>
      <c r="E459" s="18"/>
      <c r="G459" s="12"/>
    </row>
    <row r="460" ht="15.75" customHeight="1">
      <c r="B460" s="7"/>
      <c r="E460" s="18"/>
      <c r="G460" s="12"/>
    </row>
    <row r="461" ht="15.75" customHeight="1">
      <c r="B461" s="7"/>
      <c r="E461" s="18"/>
      <c r="G461" s="12"/>
    </row>
    <row r="462" ht="15.75" customHeight="1">
      <c r="B462" s="7"/>
      <c r="E462" s="18"/>
      <c r="G462" s="12"/>
    </row>
    <row r="463" ht="15.75" customHeight="1">
      <c r="B463" s="7"/>
      <c r="E463" s="18"/>
      <c r="G463" s="12"/>
    </row>
    <row r="464" ht="15.75" customHeight="1">
      <c r="B464" s="7"/>
      <c r="E464" s="18"/>
      <c r="G464" s="12"/>
    </row>
    <row r="465" ht="15.75" customHeight="1">
      <c r="B465" s="7"/>
      <c r="E465" s="18"/>
      <c r="G465" s="12"/>
    </row>
    <row r="466" ht="15.75" customHeight="1">
      <c r="B466" s="7"/>
      <c r="E466" s="18"/>
      <c r="G466" s="12"/>
    </row>
    <row r="467" ht="15.75" customHeight="1">
      <c r="B467" s="7"/>
      <c r="E467" s="18"/>
      <c r="G467" s="12"/>
    </row>
    <row r="468" ht="15.75" customHeight="1">
      <c r="B468" s="7"/>
      <c r="E468" s="18"/>
      <c r="G468" s="12"/>
    </row>
    <row r="469" ht="15.75" customHeight="1">
      <c r="B469" s="7"/>
      <c r="E469" s="18"/>
      <c r="G469" s="12"/>
    </row>
    <row r="470" ht="15.75" customHeight="1">
      <c r="B470" s="7"/>
      <c r="E470" s="18"/>
      <c r="G470" s="12"/>
    </row>
    <row r="471" ht="15.75" customHeight="1">
      <c r="B471" s="7"/>
      <c r="E471" s="18"/>
      <c r="G471" s="12"/>
    </row>
    <row r="472" ht="15.75" customHeight="1">
      <c r="B472" s="7"/>
      <c r="E472" s="18"/>
      <c r="G472" s="12"/>
    </row>
    <row r="473" ht="15.75" customHeight="1">
      <c r="B473" s="7"/>
      <c r="E473" s="18"/>
      <c r="G473" s="12"/>
    </row>
    <row r="474" ht="15.75" customHeight="1">
      <c r="B474" s="7"/>
      <c r="E474" s="18"/>
      <c r="G474" s="12"/>
    </row>
    <row r="475" ht="15.75" customHeight="1">
      <c r="B475" s="7"/>
      <c r="E475" s="18"/>
      <c r="G475" s="12"/>
    </row>
    <row r="476" ht="15.75" customHeight="1">
      <c r="B476" s="7"/>
      <c r="E476" s="18"/>
      <c r="G476" s="12"/>
    </row>
    <row r="477" ht="15.75" customHeight="1">
      <c r="B477" s="7"/>
      <c r="E477" s="18"/>
      <c r="G477" s="12"/>
    </row>
    <row r="478" ht="15.75" customHeight="1">
      <c r="B478" s="7"/>
      <c r="E478" s="18"/>
      <c r="G478" s="12"/>
    </row>
    <row r="479" ht="15.75" customHeight="1">
      <c r="B479" s="7"/>
      <c r="E479" s="18"/>
      <c r="G479" s="12"/>
    </row>
    <row r="480" ht="15.75" customHeight="1">
      <c r="B480" s="7"/>
      <c r="E480" s="18"/>
      <c r="G480" s="12"/>
    </row>
    <row r="481" ht="15.75" customHeight="1">
      <c r="B481" s="7"/>
      <c r="E481" s="18"/>
      <c r="G481" s="12"/>
    </row>
    <row r="482" ht="15.75" customHeight="1">
      <c r="B482" s="7"/>
      <c r="E482" s="18"/>
      <c r="G482" s="12"/>
    </row>
    <row r="483" ht="15.75" customHeight="1">
      <c r="B483" s="7"/>
      <c r="E483" s="18"/>
      <c r="G483" s="12"/>
    </row>
    <row r="484" ht="15.75" customHeight="1">
      <c r="B484" s="7"/>
      <c r="E484" s="18"/>
      <c r="G484" s="12"/>
    </row>
    <row r="485" ht="15.75" customHeight="1">
      <c r="B485" s="7"/>
      <c r="E485" s="18"/>
      <c r="G485" s="12"/>
    </row>
    <row r="486" ht="15.75" customHeight="1">
      <c r="B486" s="7"/>
      <c r="E486" s="18"/>
      <c r="G486" s="12"/>
    </row>
    <row r="487" ht="15.75" customHeight="1">
      <c r="B487" s="7"/>
      <c r="E487" s="18"/>
      <c r="G487" s="12"/>
    </row>
    <row r="488" ht="15.75" customHeight="1">
      <c r="B488" s="7"/>
      <c r="E488" s="18"/>
      <c r="G488" s="12"/>
    </row>
    <row r="489" ht="15.75" customHeight="1">
      <c r="B489" s="7"/>
      <c r="E489" s="18"/>
      <c r="G489" s="12"/>
    </row>
    <row r="490" ht="15.75" customHeight="1">
      <c r="B490" s="7"/>
      <c r="E490" s="18"/>
      <c r="G490" s="12"/>
    </row>
    <row r="491" ht="15.75" customHeight="1">
      <c r="B491" s="7"/>
      <c r="E491" s="18"/>
      <c r="G491" s="12"/>
    </row>
    <row r="492" ht="15.75" customHeight="1">
      <c r="B492" s="7"/>
      <c r="E492" s="18"/>
      <c r="G492" s="12"/>
    </row>
    <row r="493" ht="15.75" customHeight="1">
      <c r="B493" s="7"/>
      <c r="E493" s="18"/>
      <c r="G493" s="12"/>
    </row>
    <row r="494" ht="15.75" customHeight="1">
      <c r="B494" s="7"/>
      <c r="E494" s="18"/>
      <c r="G494" s="12"/>
    </row>
    <row r="495" ht="15.75" customHeight="1">
      <c r="B495" s="7"/>
      <c r="E495" s="18"/>
      <c r="G495" s="12"/>
    </row>
    <row r="496" ht="15.75" customHeight="1">
      <c r="B496" s="7"/>
      <c r="E496" s="18"/>
      <c r="G496" s="12"/>
    </row>
    <row r="497" ht="15.75" customHeight="1">
      <c r="B497" s="7"/>
      <c r="E497" s="18"/>
      <c r="G497" s="12"/>
    </row>
    <row r="498" ht="15.75" customHeight="1">
      <c r="B498" s="7"/>
      <c r="E498" s="18"/>
      <c r="G498" s="12"/>
    </row>
    <row r="499" ht="15.75" customHeight="1">
      <c r="B499" s="7"/>
      <c r="E499" s="18"/>
      <c r="G499" s="12"/>
    </row>
    <row r="500" ht="15.75" customHeight="1">
      <c r="B500" s="7"/>
      <c r="E500" s="18"/>
      <c r="G500" s="12"/>
    </row>
    <row r="501" ht="15.75" customHeight="1">
      <c r="B501" s="7"/>
      <c r="E501" s="18"/>
      <c r="G501" s="12"/>
    </row>
    <row r="502" ht="15.75" customHeight="1">
      <c r="B502" s="7"/>
      <c r="E502" s="18"/>
      <c r="G502" s="12"/>
    </row>
    <row r="503" ht="15.75" customHeight="1">
      <c r="B503" s="7"/>
      <c r="E503" s="18"/>
      <c r="G503" s="12"/>
    </row>
    <row r="504" ht="15.75" customHeight="1">
      <c r="B504" s="7"/>
      <c r="E504" s="18"/>
      <c r="G504" s="12"/>
    </row>
    <row r="505" ht="15.75" customHeight="1">
      <c r="B505" s="7"/>
      <c r="E505" s="18"/>
      <c r="G505" s="12"/>
    </row>
    <row r="506" ht="15.75" customHeight="1">
      <c r="B506" s="7"/>
      <c r="E506" s="18"/>
      <c r="G506" s="12"/>
    </row>
    <row r="507" ht="15.75" customHeight="1">
      <c r="B507" s="7"/>
      <c r="E507" s="18"/>
      <c r="G507" s="12"/>
    </row>
    <row r="508" ht="15.75" customHeight="1">
      <c r="B508" s="7"/>
      <c r="E508" s="18"/>
      <c r="G508" s="12"/>
    </row>
    <row r="509" ht="15.75" customHeight="1">
      <c r="B509" s="7"/>
      <c r="E509" s="18"/>
      <c r="G509" s="12"/>
    </row>
    <row r="510" ht="15.75" customHeight="1">
      <c r="B510" s="7"/>
      <c r="E510" s="18"/>
      <c r="G510" s="12"/>
    </row>
    <row r="511" ht="15.75" customHeight="1">
      <c r="B511" s="7"/>
      <c r="E511" s="18"/>
      <c r="G511" s="12"/>
    </row>
    <row r="512" ht="15.75" customHeight="1">
      <c r="B512" s="7"/>
      <c r="E512" s="18"/>
      <c r="G512" s="12"/>
    </row>
    <row r="513" ht="15.75" customHeight="1">
      <c r="B513" s="7"/>
      <c r="E513" s="18"/>
      <c r="G513" s="12"/>
    </row>
    <row r="514" ht="15.75" customHeight="1">
      <c r="B514" s="7"/>
      <c r="E514" s="18"/>
      <c r="G514" s="12"/>
    </row>
    <row r="515" ht="15.75" customHeight="1">
      <c r="B515" s="7"/>
      <c r="E515" s="18"/>
      <c r="G515" s="12"/>
    </row>
    <row r="516" ht="15.75" customHeight="1">
      <c r="B516" s="7"/>
      <c r="E516" s="18"/>
      <c r="G516" s="12"/>
    </row>
    <row r="517" ht="15.75" customHeight="1">
      <c r="B517" s="7"/>
      <c r="E517" s="18"/>
      <c r="G517" s="12"/>
    </row>
    <row r="518" ht="15.75" customHeight="1">
      <c r="B518" s="7"/>
      <c r="E518" s="18"/>
      <c r="G518" s="12"/>
    </row>
    <row r="519" ht="15.75" customHeight="1">
      <c r="B519" s="7"/>
      <c r="E519" s="18"/>
      <c r="G519" s="12"/>
    </row>
    <row r="520" ht="15.75" customHeight="1">
      <c r="B520" s="7"/>
      <c r="E520" s="18"/>
      <c r="G520" s="12"/>
    </row>
    <row r="521" ht="15.75" customHeight="1">
      <c r="B521" s="7"/>
      <c r="E521" s="18"/>
      <c r="G521" s="12"/>
    </row>
    <row r="522" ht="15.75" customHeight="1">
      <c r="B522" s="7"/>
      <c r="E522" s="18"/>
      <c r="G522" s="12"/>
    </row>
    <row r="523" ht="15.75" customHeight="1">
      <c r="B523" s="7"/>
      <c r="E523" s="18"/>
      <c r="G523" s="12"/>
    </row>
    <row r="524" ht="15.75" customHeight="1">
      <c r="B524" s="7"/>
      <c r="E524" s="18"/>
      <c r="G524" s="12"/>
    </row>
    <row r="525" ht="15.75" customHeight="1">
      <c r="B525" s="7"/>
      <c r="E525" s="18"/>
      <c r="G525" s="12"/>
    </row>
    <row r="526" ht="15.75" customHeight="1">
      <c r="B526" s="7"/>
      <c r="E526" s="18"/>
      <c r="G526" s="12"/>
    </row>
    <row r="527" ht="15.75" customHeight="1">
      <c r="B527" s="7"/>
      <c r="E527" s="18"/>
      <c r="G527" s="12"/>
    </row>
    <row r="528" ht="15.75" customHeight="1">
      <c r="B528" s="7"/>
      <c r="E528" s="18"/>
      <c r="G528" s="12"/>
    </row>
    <row r="529" ht="15.75" customHeight="1">
      <c r="B529" s="7"/>
      <c r="E529" s="18"/>
      <c r="G529" s="12"/>
    </row>
    <row r="530" ht="15.75" customHeight="1">
      <c r="B530" s="7"/>
      <c r="E530" s="18"/>
      <c r="G530" s="12"/>
    </row>
    <row r="531" ht="15.75" customHeight="1">
      <c r="B531" s="7"/>
      <c r="E531" s="18"/>
      <c r="G531" s="12"/>
    </row>
    <row r="532" ht="15.75" customHeight="1">
      <c r="B532" s="7"/>
      <c r="E532" s="18"/>
      <c r="G532" s="12"/>
    </row>
    <row r="533" ht="15.75" customHeight="1">
      <c r="B533" s="7"/>
      <c r="E533" s="18"/>
      <c r="G533" s="12"/>
    </row>
    <row r="534" ht="15.75" customHeight="1">
      <c r="B534" s="7"/>
      <c r="E534" s="18"/>
      <c r="G534" s="12"/>
    </row>
    <row r="535" ht="15.75" customHeight="1">
      <c r="B535" s="7"/>
      <c r="E535" s="18"/>
      <c r="G535" s="12"/>
    </row>
    <row r="536" ht="15.75" customHeight="1">
      <c r="B536" s="7"/>
      <c r="E536" s="18"/>
      <c r="G536" s="12"/>
    </row>
    <row r="537" ht="15.75" customHeight="1">
      <c r="B537" s="7"/>
      <c r="E537" s="18"/>
      <c r="G537" s="12"/>
    </row>
    <row r="538" ht="15.75" customHeight="1">
      <c r="B538" s="7"/>
      <c r="E538" s="18"/>
      <c r="G538" s="12"/>
    </row>
    <row r="539" ht="15.75" customHeight="1">
      <c r="B539" s="7"/>
      <c r="E539" s="18"/>
      <c r="G539" s="12"/>
    </row>
    <row r="540" ht="15.75" customHeight="1">
      <c r="B540" s="7"/>
      <c r="E540" s="18"/>
      <c r="G540" s="12"/>
    </row>
    <row r="541" ht="15.75" customHeight="1">
      <c r="B541" s="7"/>
      <c r="E541" s="18"/>
      <c r="G541" s="12"/>
    </row>
    <row r="542" ht="15.75" customHeight="1">
      <c r="B542" s="7"/>
      <c r="E542" s="18"/>
      <c r="G542" s="12"/>
    </row>
    <row r="543" ht="15.75" customHeight="1">
      <c r="B543" s="7"/>
      <c r="E543" s="18"/>
      <c r="G543" s="12"/>
    </row>
    <row r="544" ht="15.75" customHeight="1">
      <c r="B544" s="7"/>
      <c r="E544" s="18"/>
      <c r="G544" s="12"/>
    </row>
    <row r="545" ht="15.75" customHeight="1">
      <c r="B545" s="7"/>
      <c r="E545" s="18"/>
      <c r="G545" s="12"/>
    </row>
    <row r="546" ht="15.75" customHeight="1">
      <c r="B546" s="7"/>
      <c r="E546" s="18"/>
      <c r="G546" s="12"/>
    </row>
    <row r="547" ht="15.75" customHeight="1">
      <c r="B547" s="7"/>
      <c r="E547" s="18"/>
      <c r="G547" s="12"/>
    </row>
    <row r="548" ht="15.75" customHeight="1">
      <c r="B548" s="7"/>
      <c r="E548" s="18"/>
      <c r="G548" s="12"/>
    </row>
    <row r="549" ht="15.75" customHeight="1">
      <c r="B549" s="7"/>
      <c r="E549" s="18"/>
      <c r="G549" s="12"/>
    </row>
    <row r="550" ht="15.75" customHeight="1">
      <c r="B550" s="7"/>
      <c r="E550" s="18"/>
      <c r="G550" s="12"/>
    </row>
    <row r="551" ht="15.75" customHeight="1">
      <c r="B551" s="7"/>
      <c r="E551" s="18"/>
      <c r="G551" s="12"/>
    </row>
    <row r="552" ht="15.75" customHeight="1">
      <c r="B552" s="7"/>
      <c r="E552" s="18"/>
      <c r="G552" s="12"/>
    </row>
    <row r="553" ht="15.75" customHeight="1">
      <c r="B553" s="7"/>
      <c r="E553" s="18"/>
      <c r="G553" s="12"/>
    </row>
    <row r="554" ht="15.75" customHeight="1">
      <c r="B554" s="7"/>
      <c r="E554" s="18"/>
      <c r="G554" s="12"/>
    </row>
    <row r="555" ht="15.75" customHeight="1">
      <c r="B555" s="7"/>
      <c r="E555" s="18"/>
      <c r="G555" s="12"/>
    </row>
    <row r="556" ht="15.75" customHeight="1">
      <c r="B556" s="7"/>
      <c r="E556" s="18"/>
      <c r="G556" s="12"/>
    </row>
    <row r="557" ht="15.75" customHeight="1">
      <c r="B557" s="7"/>
      <c r="E557" s="18"/>
      <c r="G557" s="12"/>
    </row>
    <row r="558" ht="15.75" customHeight="1">
      <c r="B558" s="7"/>
      <c r="E558" s="18"/>
      <c r="G558" s="12"/>
    </row>
    <row r="559" ht="15.75" customHeight="1">
      <c r="B559" s="7"/>
      <c r="E559" s="18"/>
      <c r="G559" s="12"/>
    </row>
    <row r="560" ht="15.75" customHeight="1">
      <c r="B560" s="7"/>
      <c r="E560" s="18"/>
      <c r="G560" s="12"/>
    </row>
    <row r="561" ht="15.75" customHeight="1">
      <c r="B561" s="7"/>
      <c r="E561" s="18"/>
      <c r="G561" s="12"/>
    </row>
    <row r="562" ht="15.75" customHeight="1">
      <c r="B562" s="7"/>
      <c r="E562" s="18"/>
      <c r="G562" s="12"/>
    </row>
    <row r="563" ht="15.75" customHeight="1">
      <c r="B563" s="7"/>
      <c r="E563" s="18"/>
      <c r="G563" s="12"/>
    </row>
    <row r="564" ht="15.75" customHeight="1">
      <c r="B564" s="7"/>
      <c r="E564" s="18"/>
      <c r="G564" s="12"/>
    </row>
    <row r="565" ht="15.75" customHeight="1">
      <c r="B565" s="7"/>
      <c r="E565" s="18"/>
      <c r="G565" s="12"/>
    </row>
    <row r="566" ht="15.75" customHeight="1">
      <c r="B566" s="7"/>
      <c r="E566" s="18"/>
      <c r="G566" s="12"/>
    </row>
    <row r="567" ht="15.75" customHeight="1">
      <c r="B567" s="7"/>
      <c r="E567" s="18"/>
      <c r="G567" s="12"/>
    </row>
    <row r="568" ht="15.75" customHeight="1">
      <c r="B568" s="7"/>
      <c r="E568" s="18"/>
      <c r="G568" s="12"/>
    </row>
    <row r="569" ht="15.75" customHeight="1">
      <c r="B569" s="7"/>
      <c r="E569" s="18"/>
      <c r="G569" s="12"/>
    </row>
    <row r="570" ht="15.75" customHeight="1">
      <c r="B570" s="7"/>
      <c r="E570" s="18"/>
      <c r="G570" s="12"/>
    </row>
    <row r="571" ht="15.75" customHeight="1">
      <c r="B571" s="7"/>
      <c r="E571" s="18"/>
      <c r="G571" s="12"/>
    </row>
    <row r="572" ht="15.75" customHeight="1">
      <c r="B572" s="7"/>
      <c r="E572" s="18"/>
      <c r="G572" s="12"/>
    </row>
    <row r="573" ht="15.75" customHeight="1">
      <c r="B573" s="7"/>
      <c r="E573" s="18"/>
      <c r="G573" s="12"/>
    </row>
    <row r="574" ht="15.75" customHeight="1">
      <c r="B574" s="7"/>
      <c r="E574" s="18"/>
      <c r="G574" s="12"/>
    </row>
    <row r="575" ht="15.75" customHeight="1">
      <c r="B575" s="7"/>
      <c r="E575" s="18"/>
      <c r="G575" s="12"/>
    </row>
    <row r="576" ht="15.75" customHeight="1">
      <c r="B576" s="7"/>
      <c r="E576" s="18"/>
      <c r="G576" s="12"/>
    </row>
    <row r="577" ht="15.75" customHeight="1">
      <c r="B577" s="7"/>
      <c r="E577" s="18"/>
      <c r="G577" s="12"/>
    </row>
    <row r="578" ht="15.75" customHeight="1">
      <c r="B578" s="7"/>
      <c r="E578" s="18"/>
      <c r="G578" s="12"/>
    </row>
    <row r="579" ht="15.75" customHeight="1">
      <c r="B579" s="7"/>
      <c r="E579" s="18"/>
      <c r="G579" s="12"/>
    </row>
    <row r="580" ht="15.75" customHeight="1">
      <c r="B580" s="7"/>
      <c r="E580" s="18"/>
      <c r="G580" s="12"/>
    </row>
    <row r="581" ht="15.75" customHeight="1">
      <c r="B581" s="7"/>
      <c r="E581" s="18"/>
      <c r="G581" s="12"/>
    </row>
    <row r="582" ht="15.75" customHeight="1">
      <c r="B582" s="7"/>
      <c r="E582" s="18"/>
      <c r="G582" s="12"/>
    </row>
    <row r="583" ht="15.75" customHeight="1">
      <c r="B583" s="7"/>
      <c r="E583" s="18"/>
      <c r="G583" s="12"/>
    </row>
    <row r="584" ht="15.75" customHeight="1">
      <c r="B584" s="7"/>
      <c r="E584" s="18"/>
      <c r="G584" s="12"/>
    </row>
    <row r="585" ht="15.75" customHeight="1">
      <c r="B585" s="7"/>
      <c r="E585" s="18"/>
      <c r="G585" s="12"/>
    </row>
    <row r="586" ht="15.75" customHeight="1">
      <c r="B586" s="7"/>
      <c r="E586" s="18"/>
      <c r="G586" s="12"/>
    </row>
    <row r="587" ht="15.75" customHeight="1">
      <c r="B587" s="7"/>
      <c r="E587" s="18"/>
      <c r="G587" s="12"/>
    </row>
    <row r="588" ht="15.75" customHeight="1">
      <c r="B588" s="7"/>
      <c r="E588" s="18"/>
      <c r="G588" s="12"/>
    </row>
    <row r="589" ht="15.75" customHeight="1">
      <c r="B589" s="7"/>
      <c r="E589" s="18"/>
      <c r="G589" s="12"/>
    </row>
    <row r="590" ht="15.75" customHeight="1">
      <c r="B590" s="7"/>
      <c r="E590" s="18"/>
      <c r="G590" s="12"/>
    </row>
    <row r="591" ht="15.75" customHeight="1">
      <c r="B591" s="7"/>
      <c r="E591" s="18"/>
      <c r="G591" s="12"/>
    </row>
    <row r="592" ht="15.75" customHeight="1">
      <c r="B592" s="7"/>
      <c r="E592" s="18"/>
      <c r="G592" s="12"/>
    </row>
    <row r="593" ht="15.75" customHeight="1">
      <c r="B593" s="7"/>
      <c r="E593" s="18"/>
      <c r="G593" s="12"/>
    </row>
    <row r="594" ht="15.75" customHeight="1">
      <c r="B594" s="7"/>
      <c r="E594" s="18"/>
      <c r="G594" s="12"/>
    </row>
    <row r="595" ht="15.75" customHeight="1">
      <c r="B595" s="7"/>
      <c r="E595" s="18"/>
      <c r="G595" s="12"/>
    </row>
    <row r="596" ht="15.75" customHeight="1">
      <c r="B596" s="7"/>
      <c r="E596" s="18"/>
      <c r="G596" s="12"/>
    </row>
    <row r="597" ht="15.75" customHeight="1">
      <c r="B597" s="7"/>
      <c r="E597" s="18"/>
      <c r="G597" s="12"/>
    </row>
    <row r="598" ht="15.75" customHeight="1">
      <c r="B598" s="7"/>
      <c r="E598" s="18"/>
      <c r="G598" s="12"/>
    </row>
    <row r="599" ht="15.75" customHeight="1">
      <c r="B599" s="7"/>
      <c r="E599" s="18"/>
      <c r="G599" s="12"/>
    </row>
    <row r="600" ht="15.75" customHeight="1">
      <c r="B600" s="7"/>
      <c r="E600" s="18"/>
      <c r="G600" s="12"/>
    </row>
    <row r="601" ht="15.75" customHeight="1">
      <c r="B601" s="7"/>
      <c r="E601" s="18"/>
      <c r="G601" s="12"/>
    </row>
    <row r="602" ht="15.75" customHeight="1">
      <c r="B602" s="7"/>
      <c r="E602" s="18"/>
      <c r="G602" s="12"/>
    </row>
    <row r="603" ht="15.75" customHeight="1">
      <c r="B603" s="7"/>
      <c r="E603" s="18"/>
      <c r="G603" s="12"/>
    </row>
    <row r="604" ht="15.75" customHeight="1">
      <c r="B604" s="7"/>
      <c r="E604" s="18"/>
      <c r="G604" s="12"/>
    </row>
    <row r="605" ht="15.75" customHeight="1">
      <c r="B605" s="7"/>
      <c r="E605" s="18"/>
      <c r="G605" s="12"/>
    </row>
    <row r="606" ht="15.75" customHeight="1">
      <c r="B606" s="7"/>
      <c r="E606" s="18"/>
      <c r="G606" s="12"/>
    </row>
    <row r="607" ht="15.75" customHeight="1">
      <c r="B607" s="7"/>
      <c r="E607" s="18"/>
      <c r="G607" s="12"/>
    </row>
    <row r="608" ht="15.75" customHeight="1">
      <c r="B608" s="7"/>
      <c r="E608" s="18"/>
      <c r="G608" s="12"/>
    </row>
    <row r="609" ht="15.75" customHeight="1">
      <c r="B609" s="7"/>
      <c r="E609" s="18"/>
      <c r="G609" s="12"/>
    </row>
    <row r="610" ht="15.75" customHeight="1">
      <c r="B610" s="7"/>
      <c r="E610" s="18"/>
      <c r="G610" s="12"/>
    </row>
    <row r="611" ht="15.75" customHeight="1">
      <c r="B611" s="7"/>
      <c r="E611" s="18"/>
      <c r="G611" s="12"/>
    </row>
    <row r="612" ht="15.75" customHeight="1">
      <c r="B612" s="7"/>
      <c r="E612" s="18"/>
      <c r="G612" s="12"/>
    </row>
    <row r="613" ht="15.75" customHeight="1">
      <c r="B613" s="7"/>
      <c r="E613" s="18"/>
      <c r="G613" s="12"/>
    </row>
    <row r="614" ht="15.75" customHeight="1">
      <c r="B614" s="7"/>
      <c r="E614" s="18"/>
      <c r="G614" s="12"/>
    </row>
    <row r="615" ht="15.75" customHeight="1">
      <c r="B615" s="7"/>
      <c r="E615" s="18"/>
      <c r="G615" s="12"/>
    </row>
    <row r="616" ht="15.75" customHeight="1">
      <c r="B616" s="7"/>
      <c r="E616" s="18"/>
      <c r="G616" s="12"/>
    </row>
    <row r="617" ht="15.75" customHeight="1">
      <c r="B617" s="7"/>
      <c r="E617" s="18"/>
      <c r="G617" s="12"/>
    </row>
    <row r="618" ht="15.75" customHeight="1">
      <c r="B618" s="7"/>
      <c r="E618" s="18"/>
      <c r="G618" s="12"/>
    </row>
    <row r="619" ht="15.75" customHeight="1">
      <c r="B619" s="7"/>
      <c r="E619" s="18"/>
      <c r="G619" s="12"/>
    </row>
    <row r="620" ht="15.75" customHeight="1">
      <c r="B620" s="7"/>
      <c r="E620" s="18"/>
      <c r="G620" s="12"/>
    </row>
    <row r="621" ht="15.75" customHeight="1">
      <c r="B621" s="7"/>
      <c r="E621" s="18"/>
      <c r="G621" s="12"/>
    </row>
    <row r="622" ht="15.75" customHeight="1">
      <c r="B622" s="7"/>
      <c r="E622" s="18"/>
      <c r="G622" s="12"/>
    </row>
    <row r="623" ht="15.75" customHeight="1">
      <c r="B623" s="7"/>
      <c r="E623" s="18"/>
      <c r="G623" s="12"/>
    </row>
    <row r="624" ht="15.75" customHeight="1">
      <c r="B624" s="7"/>
      <c r="E624" s="18"/>
      <c r="G624" s="12"/>
    </row>
    <row r="625" ht="15.75" customHeight="1">
      <c r="B625" s="7"/>
      <c r="E625" s="18"/>
      <c r="G625" s="12"/>
    </row>
    <row r="626" ht="15.75" customHeight="1">
      <c r="B626" s="7"/>
      <c r="E626" s="18"/>
      <c r="G626" s="12"/>
    </row>
    <row r="627" ht="15.75" customHeight="1">
      <c r="B627" s="7"/>
      <c r="E627" s="18"/>
      <c r="G627" s="12"/>
    </row>
    <row r="628" ht="15.75" customHeight="1">
      <c r="B628" s="7"/>
      <c r="E628" s="18"/>
      <c r="G628" s="12"/>
    </row>
    <row r="629" ht="15.75" customHeight="1">
      <c r="B629" s="7"/>
      <c r="E629" s="18"/>
      <c r="G629" s="12"/>
    </row>
    <row r="630" ht="15.75" customHeight="1">
      <c r="B630" s="7"/>
      <c r="E630" s="18"/>
      <c r="G630" s="12"/>
    </row>
    <row r="631" ht="15.75" customHeight="1">
      <c r="B631" s="7"/>
      <c r="E631" s="18"/>
      <c r="G631" s="12"/>
    </row>
    <row r="632" ht="15.75" customHeight="1">
      <c r="B632" s="7"/>
      <c r="E632" s="18"/>
      <c r="G632" s="12"/>
    </row>
    <row r="633" ht="15.75" customHeight="1">
      <c r="B633" s="7"/>
      <c r="E633" s="18"/>
      <c r="G633" s="12"/>
    </row>
    <row r="634" ht="15.75" customHeight="1">
      <c r="B634" s="7"/>
      <c r="E634" s="18"/>
      <c r="G634" s="12"/>
    </row>
    <row r="635" ht="15.75" customHeight="1">
      <c r="B635" s="7"/>
      <c r="E635" s="18"/>
      <c r="G635" s="12"/>
    </row>
    <row r="636" ht="15.75" customHeight="1">
      <c r="B636" s="7"/>
      <c r="E636" s="18"/>
      <c r="G636" s="12"/>
    </row>
    <row r="637" ht="15.75" customHeight="1">
      <c r="B637" s="7"/>
      <c r="E637" s="18"/>
      <c r="G637" s="12"/>
    </row>
    <row r="638" ht="15.75" customHeight="1">
      <c r="B638" s="7"/>
      <c r="E638" s="18"/>
      <c r="G638" s="12"/>
    </row>
    <row r="639" ht="15.75" customHeight="1">
      <c r="B639" s="7"/>
      <c r="E639" s="18"/>
      <c r="G639" s="12"/>
    </row>
    <row r="640" ht="15.75" customHeight="1">
      <c r="B640" s="7"/>
      <c r="E640" s="18"/>
      <c r="G640" s="12"/>
    </row>
    <row r="641" ht="15.75" customHeight="1">
      <c r="B641" s="7"/>
      <c r="E641" s="18"/>
      <c r="G641" s="12"/>
    </row>
    <row r="642" ht="15.75" customHeight="1">
      <c r="B642" s="7"/>
      <c r="E642" s="18"/>
      <c r="G642" s="12"/>
    </row>
    <row r="643" ht="15.75" customHeight="1">
      <c r="B643" s="7"/>
      <c r="E643" s="18"/>
      <c r="G643" s="12"/>
    </row>
    <row r="644" ht="15.75" customHeight="1">
      <c r="B644" s="7"/>
      <c r="E644" s="18"/>
      <c r="G644" s="12"/>
    </row>
    <row r="645" ht="15.75" customHeight="1">
      <c r="B645" s="7"/>
      <c r="E645" s="18"/>
      <c r="G645" s="12"/>
    </row>
    <row r="646" ht="15.75" customHeight="1">
      <c r="B646" s="7"/>
      <c r="E646" s="18"/>
      <c r="G646" s="12"/>
    </row>
    <row r="647" ht="15.75" customHeight="1">
      <c r="B647" s="7"/>
      <c r="E647" s="18"/>
      <c r="G647" s="12"/>
    </row>
    <row r="648" ht="15.75" customHeight="1">
      <c r="B648" s="7"/>
      <c r="E648" s="18"/>
      <c r="G648" s="12"/>
    </row>
    <row r="649" ht="15.75" customHeight="1">
      <c r="B649" s="7"/>
      <c r="E649" s="18"/>
      <c r="G649" s="12"/>
    </row>
    <row r="650" ht="15.75" customHeight="1">
      <c r="B650" s="7"/>
      <c r="E650" s="18"/>
      <c r="G650" s="12"/>
    </row>
    <row r="651" ht="15.75" customHeight="1">
      <c r="B651" s="7"/>
      <c r="E651" s="18"/>
      <c r="G651" s="12"/>
    </row>
    <row r="652" ht="15.75" customHeight="1">
      <c r="B652" s="7"/>
      <c r="E652" s="18"/>
      <c r="G652" s="12"/>
    </row>
    <row r="653" ht="15.75" customHeight="1">
      <c r="B653" s="7"/>
      <c r="E653" s="18"/>
      <c r="G653" s="12"/>
    </row>
    <row r="654" ht="15.75" customHeight="1">
      <c r="B654" s="7"/>
      <c r="E654" s="18"/>
      <c r="G654" s="12"/>
    </row>
    <row r="655" ht="15.75" customHeight="1">
      <c r="B655" s="7"/>
      <c r="E655" s="18"/>
      <c r="G655" s="12"/>
    </row>
    <row r="656" ht="15.75" customHeight="1">
      <c r="B656" s="7"/>
      <c r="E656" s="18"/>
      <c r="G656" s="12"/>
    </row>
    <row r="657" ht="15.75" customHeight="1">
      <c r="B657" s="7"/>
      <c r="E657" s="18"/>
      <c r="G657" s="12"/>
    </row>
    <row r="658" ht="15.75" customHeight="1">
      <c r="B658" s="7"/>
      <c r="E658" s="18"/>
      <c r="G658" s="12"/>
    </row>
    <row r="659" ht="15.75" customHeight="1">
      <c r="B659" s="7"/>
      <c r="E659" s="18"/>
      <c r="G659" s="12"/>
    </row>
    <row r="660" ht="15.75" customHeight="1">
      <c r="B660" s="7"/>
      <c r="E660" s="18"/>
      <c r="G660" s="12"/>
    </row>
    <row r="661" ht="15.75" customHeight="1">
      <c r="B661" s="7"/>
      <c r="E661" s="18"/>
      <c r="G661" s="12"/>
    </row>
    <row r="662" ht="15.75" customHeight="1">
      <c r="B662" s="7"/>
      <c r="E662" s="18"/>
      <c r="G662" s="12"/>
    </row>
    <row r="663" ht="15.75" customHeight="1">
      <c r="B663" s="7"/>
      <c r="E663" s="18"/>
      <c r="G663" s="12"/>
    </row>
    <row r="664" ht="15.75" customHeight="1">
      <c r="B664" s="7"/>
      <c r="E664" s="18"/>
      <c r="G664" s="12"/>
    </row>
    <row r="665" ht="15.75" customHeight="1">
      <c r="B665" s="7"/>
      <c r="E665" s="18"/>
      <c r="G665" s="12"/>
    </row>
    <row r="666" ht="15.75" customHeight="1">
      <c r="B666" s="7"/>
      <c r="E666" s="18"/>
      <c r="G666" s="12"/>
    </row>
    <row r="667" ht="15.75" customHeight="1">
      <c r="B667" s="7"/>
      <c r="E667" s="18"/>
      <c r="G667" s="12"/>
    </row>
    <row r="668" ht="15.75" customHeight="1">
      <c r="B668" s="7"/>
      <c r="E668" s="18"/>
      <c r="G668" s="12"/>
    </row>
    <row r="669" ht="15.75" customHeight="1">
      <c r="B669" s="7"/>
      <c r="E669" s="18"/>
      <c r="G669" s="12"/>
    </row>
    <row r="670" ht="15.75" customHeight="1">
      <c r="B670" s="7"/>
      <c r="E670" s="18"/>
      <c r="G670" s="12"/>
    </row>
    <row r="671" ht="15.75" customHeight="1">
      <c r="B671" s="7"/>
      <c r="E671" s="18"/>
      <c r="G671" s="12"/>
    </row>
    <row r="672" ht="15.75" customHeight="1">
      <c r="B672" s="7"/>
      <c r="E672" s="18"/>
      <c r="G672" s="12"/>
    </row>
    <row r="673" ht="15.75" customHeight="1">
      <c r="B673" s="7"/>
      <c r="E673" s="18"/>
      <c r="G673" s="12"/>
    </row>
    <row r="674" ht="15.75" customHeight="1">
      <c r="B674" s="7"/>
      <c r="E674" s="18"/>
      <c r="G674" s="12"/>
    </row>
    <row r="675" ht="15.75" customHeight="1">
      <c r="B675" s="7"/>
      <c r="E675" s="18"/>
      <c r="G675" s="12"/>
    </row>
    <row r="676" ht="15.75" customHeight="1">
      <c r="B676" s="7"/>
      <c r="E676" s="18"/>
      <c r="G676" s="12"/>
    </row>
    <row r="677" ht="15.75" customHeight="1">
      <c r="B677" s="7"/>
      <c r="E677" s="18"/>
      <c r="G677" s="12"/>
    </row>
    <row r="678" ht="15.75" customHeight="1">
      <c r="B678" s="7"/>
      <c r="E678" s="18"/>
      <c r="G678" s="12"/>
    </row>
    <row r="679" ht="15.75" customHeight="1">
      <c r="B679" s="7"/>
      <c r="E679" s="18"/>
      <c r="G679" s="12"/>
    </row>
    <row r="680" ht="15.75" customHeight="1">
      <c r="B680" s="7"/>
      <c r="E680" s="18"/>
      <c r="G680" s="12"/>
    </row>
    <row r="681" ht="15.75" customHeight="1">
      <c r="B681" s="7"/>
      <c r="E681" s="18"/>
      <c r="G681" s="12"/>
    </row>
    <row r="682" ht="15.75" customHeight="1">
      <c r="B682" s="7"/>
      <c r="E682" s="18"/>
      <c r="G682" s="12"/>
    </row>
    <row r="683" ht="15.75" customHeight="1">
      <c r="B683" s="7"/>
      <c r="E683" s="18"/>
      <c r="G683" s="12"/>
    </row>
    <row r="684" ht="15.75" customHeight="1">
      <c r="B684" s="7"/>
      <c r="E684" s="18"/>
      <c r="G684" s="12"/>
    </row>
    <row r="685" ht="15.75" customHeight="1">
      <c r="B685" s="7"/>
      <c r="E685" s="18"/>
      <c r="G685" s="12"/>
    </row>
    <row r="686" ht="15.75" customHeight="1">
      <c r="B686" s="7"/>
      <c r="E686" s="18"/>
      <c r="G686" s="12"/>
    </row>
    <row r="687" ht="15.75" customHeight="1">
      <c r="B687" s="7"/>
      <c r="E687" s="18"/>
      <c r="G687" s="12"/>
    </row>
    <row r="688" ht="15.75" customHeight="1">
      <c r="B688" s="7"/>
      <c r="E688" s="18"/>
      <c r="G688" s="12"/>
    </row>
    <row r="689" ht="15.75" customHeight="1">
      <c r="B689" s="7"/>
      <c r="E689" s="18"/>
      <c r="G689" s="12"/>
    </row>
    <row r="690" ht="15.75" customHeight="1">
      <c r="B690" s="7"/>
      <c r="E690" s="18"/>
      <c r="G690" s="12"/>
    </row>
    <row r="691" ht="15.75" customHeight="1">
      <c r="B691" s="7"/>
      <c r="E691" s="18"/>
      <c r="G691" s="12"/>
    </row>
    <row r="692" ht="15.75" customHeight="1">
      <c r="B692" s="7"/>
      <c r="E692" s="18"/>
      <c r="G692" s="12"/>
    </row>
    <row r="693" ht="15.75" customHeight="1">
      <c r="B693" s="7"/>
      <c r="E693" s="18"/>
      <c r="G693" s="12"/>
    </row>
    <row r="694" ht="15.75" customHeight="1">
      <c r="B694" s="7"/>
      <c r="E694" s="18"/>
      <c r="G694" s="12"/>
    </row>
    <row r="695" ht="15.75" customHeight="1">
      <c r="B695" s="7"/>
      <c r="E695" s="18"/>
      <c r="G695" s="12"/>
    </row>
    <row r="696" ht="15.75" customHeight="1">
      <c r="B696" s="7"/>
      <c r="E696" s="18"/>
      <c r="G696" s="12"/>
    </row>
    <row r="697" ht="15.75" customHeight="1">
      <c r="B697" s="7"/>
      <c r="E697" s="18"/>
      <c r="G697" s="12"/>
    </row>
    <row r="698" ht="15.75" customHeight="1">
      <c r="B698" s="7"/>
      <c r="E698" s="18"/>
      <c r="G698" s="12"/>
    </row>
    <row r="699" ht="15.75" customHeight="1">
      <c r="B699" s="7"/>
      <c r="E699" s="18"/>
      <c r="G699" s="12"/>
    </row>
    <row r="700" ht="15.75" customHeight="1">
      <c r="B700" s="7"/>
      <c r="E700" s="18"/>
      <c r="G700" s="12"/>
    </row>
    <row r="701" ht="15.75" customHeight="1">
      <c r="B701" s="7"/>
      <c r="E701" s="18"/>
      <c r="G701" s="12"/>
    </row>
    <row r="702" ht="15.75" customHeight="1">
      <c r="B702" s="7"/>
      <c r="E702" s="18"/>
      <c r="G702" s="12"/>
    </row>
    <row r="703" ht="15.75" customHeight="1">
      <c r="B703" s="7"/>
      <c r="E703" s="18"/>
      <c r="G703" s="12"/>
    </row>
    <row r="704" ht="15.75" customHeight="1">
      <c r="B704" s="7"/>
      <c r="E704" s="18"/>
      <c r="G704" s="12"/>
    </row>
    <row r="705" ht="15.75" customHeight="1">
      <c r="B705" s="7"/>
      <c r="E705" s="18"/>
      <c r="G705" s="12"/>
    </row>
    <row r="706" ht="15.75" customHeight="1">
      <c r="B706" s="7"/>
      <c r="E706" s="18"/>
      <c r="G706" s="12"/>
    </row>
    <row r="707" ht="15.75" customHeight="1">
      <c r="B707" s="7"/>
      <c r="E707" s="18"/>
      <c r="G707" s="12"/>
    </row>
    <row r="708" ht="15.75" customHeight="1">
      <c r="B708" s="7"/>
      <c r="E708" s="18"/>
      <c r="G708" s="12"/>
    </row>
    <row r="709" ht="15.75" customHeight="1">
      <c r="B709" s="7"/>
      <c r="E709" s="18"/>
      <c r="G709" s="12"/>
    </row>
    <row r="710" ht="15.75" customHeight="1">
      <c r="B710" s="7"/>
      <c r="E710" s="18"/>
      <c r="G710" s="12"/>
    </row>
    <row r="711" ht="15.75" customHeight="1">
      <c r="B711" s="7"/>
      <c r="E711" s="18"/>
      <c r="G711" s="12"/>
    </row>
    <row r="712" ht="15.75" customHeight="1">
      <c r="B712" s="7"/>
      <c r="E712" s="18"/>
      <c r="G712" s="12"/>
    </row>
    <row r="713" ht="15.75" customHeight="1">
      <c r="B713" s="7"/>
      <c r="E713" s="18"/>
      <c r="G713" s="12"/>
    </row>
    <row r="714" ht="15.75" customHeight="1">
      <c r="B714" s="7"/>
      <c r="E714" s="18"/>
      <c r="G714" s="12"/>
    </row>
    <row r="715" ht="15.75" customHeight="1">
      <c r="B715" s="7"/>
      <c r="E715" s="18"/>
      <c r="G715" s="12"/>
    </row>
    <row r="716" ht="15.75" customHeight="1">
      <c r="B716" s="7"/>
      <c r="E716" s="18"/>
      <c r="G716" s="12"/>
    </row>
    <row r="717" ht="15.75" customHeight="1">
      <c r="B717" s="7"/>
      <c r="E717" s="18"/>
      <c r="G717" s="12"/>
    </row>
    <row r="718" ht="15.75" customHeight="1">
      <c r="B718" s="7"/>
      <c r="E718" s="18"/>
      <c r="G718" s="12"/>
    </row>
    <row r="719" ht="15.75" customHeight="1">
      <c r="B719" s="7"/>
      <c r="E719" s="18"/>
      <c r="G719" s="12"/>
    </row>
    <row r="720" ht="15.75" customHeight="1">
      <c r="B720" s="7"/>
      <c r="E720" s="18"/>
      <c r="G720" s="12"/>
    </row>
    <row r="721" ht="15.75" customHeight="1">
      <c r="B721" s="7"/>
      <c r="E721" s="18"/>
      <c r="G721" s="12"/>
    </row>
    <row r="722" ht="15.75" customHeight="1">
      <c r="B722" s="7"/>
      <c r="E722" s="18"/>
      <c r="G722" s="12"/>
    </row>
    <row r="723" ht="15.75" customHeight="1">
      <c r="B723" s="7"/>
      <c r="E723" s="18"/>
      <c r="G723" s="12"/>
    </row>
    <row r="724" ht="15.75" customHeight="1">
      <c r="B724" s="7"/>
      <c r="E724" s="18"/>
      <c r="G724" s="12"/>
    </row>
    <row r="725" ht="15.75" customHeight="1">
      <c r="B725" s="7"/>
      <c r="E725" s="18"/>
      <c r="G725" s="12"/>
    </row>
    <row r="726" ht="15.75" customHeight="1">
      <c r="B726" s="7"/>
      <c r="E726" s="18"/>
      <c r="G726" s="12"/>
    </row>
    <row r="727" ht="15.75" customHeight="1">
      <c r="B727" s="7"/>
      <c r="E727" s="18"/>
      <c r="G727" s="12"/>
    </row>
    <row r="728" ht="15.75" customHeight="1">
      <c r="B728" s="7"/>
      <c r="E728" s="18"/>
      <c r="G728" s="12"/>
    </row>
    <row r="729" ht="15.75" customHeight="1">
      <c r="B729" s="7"/>
      <c r="E729" s="18"/>
      <c r="G729" s="12"/>
    </row>
    <row r="730" ht="15.75" customHeight="1">
      <c r="B730" s="7"/>
      <c r="E730" s="18"/>
      <c r="G730" s="12"/>
    </row>
    <row r="731" ht="15.75" customHeight="1">
      <c r="B731" s="7"/>
      <c r="E731" s="18"/>
      <c r="G731" s="12"/>
    </row>
    <row r="732" ht="15.75" customHeight="1">
      <c r="B732" s="7"/>
      <c r="E732" s="18"/>
      <c r="G732" s="12"/>
    </row>
    <row r="733" ht="15.75" customHeight="1">
      <c r="B733" s="7"/>
      <c r="E733" s="18"/>
      <c r="G733" s="12"/>
    </row>
    <row r="734" ht="15.75" customHeight="1">
      <c r="B734" s="7"/>
      <c r="E734" s="18"/>
      <c r="G734" s="12"/>
    </row>
    <row r="735" ht="15.75" customHeight="1">
      <c r="B735" s="7"/>
      <c r="E735" s="18"/>
      <c r="G735" s="12"/>
    </row>
    <row r="736" ht="15.75" customHeight="1">
      <c r="B736" s="7"/>
      <c r="E736" s="18"/>
      <c r="G736" s="12"/>
    </row>
    <row r="737" ht="15.75" customHeight="1">
      <c r="B737" s="7"/>
      <c r="E737" s="18"/>
      <c r="G737" s="12"/>
    </row>
    <row r="738" ht="15.75" customHeight="1">
      <c r="B738" s="7"/>
      <c r="E738" s="18"/>
      <c r="G738" s="12"/>
    </row>
    <row r="739" ht="15.75" customHeight="1">
      <c r="B739" s="7"/>
      <c r="E739" s="18"/>
      <c r="G739" s="12"/>
    </row>
    <row r="740" ht="15.75" customHeight="1">
      <c r="B740" s="7"/>
      <c r="E740" s="18"/>
      <c r="G740" s="12"/>
    </row>
    <row r="741" ht="15.75" customHeight="1">
      <c r="B741" s="7"/>
      <c r="E741" s="18"/>
      <c r="G741" s="12"/>
    </row>
    <row r="742" ht="15.75" customHeight="1">
      <c r="B742" s="7"/>
      <c r="E742" s="18"/>
      <c r="G742" s="12"/>
    </row>
    <row r="743" ht="15.75" customHeight="1">
      <c r="B743" s="7"/>
      <c r="E743" s="18"/>
      <c r="G743" s="12"/>
    </row>
    <row r="744" ht="15.75" customHeight="1">
      <c r="B744" s="7"/>
      <c r="E744" s="18"/>
      <c r="G744" s="12"/>
    </row>
    <row r="745" ht="15.75" customHeight="1">
      <c r="B745" s="7"/>
      <c r="E745" s="18"/>
      <c r="G745" s="12"/>
    </row>
    <row r="746" ht="15.75" customHeight="1">
      <c r="B746" s="7"/>
      <c r="E746" s="18"/>
      <c r="G746" s="12"/>
    </row>
    <row r="747" ht="15.75" customHeight="1">
      <c r="B747" s="7"/>
      <c r="E747" s="18"/>
      <c r="G747" s="12"/>
    </row>
    <row r="748" ht="15.75" customHeight="1">
      <c r="B748" s="7"/>
      <c r="E748" s="18"/>
      <c r="G748" s="12"/>
    </row>
    <row r="749" ht="15.75" customHeight="1">
      <c r="B749" s="7"/>
      <c r="E749" s="18"/>
      <c r="G749" s="12"/>
    </row>
    <row r="750" ht="15.75" customHeight="1">
      <c r="B750" s="7"/>
      <c r="E750" s="18"/>
      <c r="G750" s="12"/>
    </row>
    <row r="751" ht="15.75" customHeight="1">
      <c r="B751" s="7"/>
      <c r="E751" s="18"/>
      <c r="G751" s="12"/>
    </row>
    <row r="752" ht="15.75" customHeight="1">
      <c r="B752" s="7"/>
      <c r="E752" s="18"/>
      <c r="G752" s="12"/>
    </row>
    <row r="753" ht="15.75" customHeight="1">
      <c r="B753" s="7"/>
      <c r="E753" s="18"/>
      <c r="G753" s="12"/>
    </row>
    <row r="754" ht="15.75" customHeight="1">
      <c r="B754" s="7"/>
      <c r="E754" s="18"/>
      <c r="G754" s="12"/>
    </row>
    <row r="755" ht="15.75" customHeight="1">
      <c r="B755" s="7"/>
      <c r="E755" s="18"/>
      <c r="G755" s="12"/>
    </row>
    <row r="756" ht="15.75" customHeight="1">
      <c r="B756" s="7"/>
      <c r="E756" s="18"/>
      <c r="G756" s="12"/>
    </row>
    <row r="757" ht="15.75" customHeight="1">
      <c r="B757" s="7"/>
      <c r="E757" s="18"/>
      <c r="G757" s="12"/>
    </row>
    <row r="758" ht="15.75" customHeight="1">
      <c r="B758" s="7"/>
      <c r="E758" s="18"/>
      <c r="G758" s="12"/>
    </row>
    <row r="759" ht="15.75" customHeight="1">
      <c r="B759" s="7"/>
      <c r="E759" s="18"/>
      <c r="G759" s="12"/>
    </row>
    <row r="760" ht="15.75" customHeight="1">
      <c r="B760" s="7"/>
      <c r="E760" s="18"/>
      <c r="G760" s="12"/>
    </row>
    <row r="761" ht="15.75" customHeight="1">
      <c r="B761" s="7"/>
      <c r="E761" s="18"/>
      <c r="G761" s="12"/>
    </row>
    <row r="762" ht="15.75" customHeight="1">
      <c r="B762" s="7"/>
      <c r="E762" s="18"/>
      <c r="G762" s="12"/>
    </row>
    <row r="763" ht="15.75" customHeight="1">
      <c r="B763" s="7"/>
      <c r="E763" s="18"/>
      <c r="G763" s="12"/>
    </row>
    <row r="764" ht="15.75" customHeight="1">
      <c r="B764" s="7"/>
      <c r="E764" s="18"/>
      <c r="G764" s="12"/>
    </row>
    <row r="765" ht="15.75" customHeight="1">
      <c r="B765" s="7"/>
      <c r="E765" s="18"/>
      <c r="G765" s="12"/>
    </row>
    <row r="766" ht="15.75" customHeight="1">
      <c r="B766" s="7"/>
      <c r="E766" s="18"/>
      <c r="G766" s="12"/>
    </row>
    <row r="767" ht="15.75" customHeight="1">
      <c r="B767" s="7"/>
      <c r="E767" s="18"/>
      <c r="G767" s="12"/>
    </row>
    <row r="768" ht="15.75" customHeight="1">
      <c r="B768" s="7"/>
      <c r="E768" s="18"/>
      <c r="G768" s="12"/>
    </row>
    <row r="769" ht="15.75" customHeight="1">
      <c r="B769" s="7"/>
      <c r="E769" s="18"/>
      <c r="G769" s="12"/>
    </row>
    <row r="770" ht="15.75" customHeight="1">
      <c r="B770" s="7"/>
      <c r="E770" s="18"/>
      <c r="G770" s="12"/>
    </row>
    <row r="771" ht="15.75" customHeight="1">
      <c r="B771" s="7"/>
      <c r="E771" s="18"/>
      <c r="G771" s="12"/>
    </row>
    <row r="772" ht="15.75" customHeight="1">
      <c r="B772" s="7"/>
      <c r="E772" s="18"/>
      <c r="G772" s="12"/>
    </row>
    <row r="773" ht="15.75" customHeight="1">
      <c r="B773" s="7"/>
      <c r="E773" s="18"/>
      <c r="G773" s="12"/>
    </row>
    <row r="774" ht="15.75" customHeight="1">
      <c r="B774" s="7"/>
      <c r="E774" s="18"/>
      <c r="G774" s="12"/>
    </row>
    <row r="775" ht="15.75" customHeight="1">
      <c r="B775" s="7"/>
      <c r="E775" s="18"/>
      <c r="G775" s="12"/>
    </row>
    <row r="776" ht="15.75" customHeight="1">
      <c r="B776" s="7"/>
      <c r="E776" s="18"/>
      <c r="G776" s="12"/>
    </row>
    <row r="777" ht="15.75" customHeight="1">
      <c r="B777" s="7"/>
      <c r="E777" s="18"/>
      <c r="G777" s="12"/>
    </row>
    <row r="778" ht="15.75" customHeight="1">
      <c r="B778" s="7"/>
      <c r="E778" s="18"/>
      <c r="G778" s="12"/>
    </row>
    <row r="779" ht="15.75" customHeight="1">
      <c r="B779" s="7"/>
      <c r="E779" s="18"/>
      <c r="G779" s="12"/>
    </row>
    <row r="780" ht="15.75" customHeight="1">
      <c r="B780" s="7"/>
      <c r="E780" s="18"/>
      <c r="G780" s="12"/>
    </row>
    <row r="781" ht="15.75" customHeight="1">
      <c r="B781" s="7"/>
      <c r="E781" s="18"/>
      <c r="G781" s="12"/>
    </row>
    <row r="782" ht="15.75" customHeight="1">
      <c r="B782" s="7"/>
      <c r="E782" s="18"/>
      <c r="G782" s="12"/>
    </row>
    <row r="783" ht="15.75" customHeight="1">
      <c r="B783" s="7"/>
      <c r="E783" s="18"/>
      <c r="G783" s="12"/>
    </row>
    <row r="784" ht="15.75" customHeight="1">
      <c r="B784" s="7"/>
      <c r="E784" s="18"/>
      <c r="G784" s="12"/>
    </row>
    <row r="785" ht="15.75" customHeight="1">
      <c r="B785" s="7"/>
      <c r="E785" s="18"/>
      <c r="G785" s="12"/>
    </row>
    <row r="786" ht="15.75" customHeight="1">
      <c r="B786" s="7"/>
      <c r="E786" s="18"/>
      <c r="G786" s="12"/>
    </row>
    <row r="787" ht="15.75" customHeight="1">
      <c r="B787" s="7"/>
      <c r="E787" s="18"/>
      <c r="G787" s="12"/>
    </row>
    <row r="788" ht="15.75" customHeight="1">
      <c r="B788" s="7"/>
      <c r="E788" s="18"/>
      <c r="G788" s="12"/>
    </row>
    <row r="789" ht="15.75" customHeight="1">
      <c r="B789" s="7"/>
      <c r="E789" s="18"/>
      <c r="G789" s="12"/>
    </row>
    <row r="790" ht="15.75" customHeight="1">
      <c r="B790" s="7"/>
      <c r="E790" s="18"/>
      <c r="G790" s="12"/>
    </row>
    <row r="791" ht="15.75" customHeight="1">
      <c r="B791" s="7"/>
      <c r="E791" s="18"/>
      <c r="G791" s="12"/>
    </row>
    <row r="792" ht="15.75" customHeight="1">
      <c r="B792" s="7"/>
      <c r="E792" s="18"/>
      <c r="G792" s="12"/>
    </row>
    <row r="793" ht="15.75" customHeight="1">
      <c r="B793" s="7"/>
      <c r="E793" s="18"/>
      <c r="G793" s="12"/>
    </row>
    <row r="794" ht="15.75" customHeight="1">
      <c r="B794" s="7"/>
      <c r="E794" s="18"/>
      <c r="G794" s="12"/>
    </row>
    <row r="795" ht="15.75" customHeight="1">
      <c r="B795" s="7"/>
      <c r="E795" s="18"/>
      <c r="G795" s="12"/>
    </row>
    <row r="796" ht="15.75" customHeight="1">
      <c r="B796" s="7"/>
      <c r="E796" s="18"/>
      <c r="G796" s="12"/>
    </row>
    <row r="797" ht="15.75" customHeight="1">
      <c r="B797" s="7"/>
      <c r="E797" s="18"/>
      <c r="G797" s="12"/>
    </row>
    <row r="798" ht="15.75" customHeight="1">
      <c r="B798" s="7"/>
      <c r="E798" s="18"/>
      <c r="G798" s="12"/>
    </row>
    <row r="799" ht="15.75" customHeight="1">
      <c r="B799" s="7"/>
      <c r="E799" s="18"/>
      <c r="G799" s="12"/>
    </row>
    <row r="800" ht="15.75" customHeight="1">
      <c r="B800" s="7"/>
      <c r="E800" s="18"/>
      <c r="G800" s="12"/>
    </row>
    <row r="801" ht="15.75" customHeight="1">
      <c r="B801" s="7"/>
      <c r="E801" s="18"/>
      <c r="G801" s="12"/>
    </row>
    <row r="802" ht="15.75" customHeight="1">
      <c r="B802" s="7"/>
      <c r="E802" s="18"/>
      <c r="G802" s="12"/>
    </row>
    <row r="803" ht="15.75" customHeight="1">
      <c r="B803" s="7"/>
      <c r="E803" s="18"/>
      <c r="G803" s="12"/>
    </row>
    <row r="804" ht="15.75" customHeight="1">
      <c r="B804" s="7"/>
      <c r="E804" s="18"/>
      <c r="G804" s="12"/>
    </row>
    <row r="805" ht="15.75" customHeight="1">
      <c r="B805" s="7"/>
      <c r="E805" s="18"/>
      <c r="G805" s="12"/>
    </row>
    <row r="806" ht="15.75" customHeight="1">
      <c r="B806" s="7"/>
      <c r="E806" s="18"/>
      <c r="G806" s="12"/>
    </row>
    <row r="807" ht="15.75" customHeight="1">
      <c r="B807" s="7"/>
      <c r="E807" s="18"/>
      <c r="G807" s="12"/>
    </row>
    <row r="808" ht="15.75" customHeight="1">
      <c r="B808" s="7"/>
      <c r="E808" s="18"/>
      <c r="G808" s="12"/>
    </row>
    <row r="809" ht="15.75" customHeight="1">
      <c r="B809" s="7"/>
      <c r="E809" s="18"/>
      <c r="G809" s="12"/>
    </row>
    <row r="810" ht="15.75" customHeight="1">
      <c r="B810" s="7"/>
      <c r="E810" s="18"/>
      <c r="G810" s="12"/>
    </row>
    <row r="811" ht="15.75" customHeight="1">
      <c r="B811" s="7"/>
      <c r="E811" s="18"/>
      <c r="G811" s="12"/>
    </row>
    <row r="812" ht="15.75" customHeight="1">
      <c r="B812" s="7"/>
      <c r="E812" s="18"/>
      <c r="G812" s="12"/>
    </row>
    <row r="813" ht="15.75" customHeight="1">
      <c r="B813" s="7"/>
      <c r="E813" s="18"/>
      <c r="G813" s="12"/>
    </row>
    <row r="814" ht="15.75" customHeight="1">
      <c r="B814" s="7"/>
      <c r="E814" s="18"/>
      <c r="G814" s="12"/>
    </row>
    <row r="815" ht="15.75" customHeight="1">
      <c r="B815" s="7"/>
      <c r="E815" s="18"/>
      <c r="G815" s="12"/>
    </row>
    <row r="816" ht="15.75" customHeight="1">
      <c r="B816" s="7"/>
      <c r="E816" s="18"/>
      <c r="G816" s="12"/>
    </row>
    <row r="817" ht="15.75" customHeight="1">
      <c r="B817" s="7"/>
      <c r="E817" s="18"/>
      <c r="G817" s="12"/>
    </row>
    <row r="818" ht="15.75" customHeight="1">
      <c r="B818" s="7"/>
      <c r="E818" s="18"/>
      <c r="G818" s="12"/>
    </row>
    <row r="819" ht="15.75" customHeight="1">
      <c r="B819" s="7"/>
      <c r="E819" s="18"/>
      <c r="G819" s="12"/>
    </row>
    <row r="820" ht="15.75" customHeight="1">
      <c r="B820" s="7"/>
      <c r="E820" s="18"/>
      <c r="G820" s="12"/>
    </row>
    <row r="821" ht="15.75" customHeight="1">
      <c r="B821" s="7"/>
      <c r="E821" s="18"/>
      <c r="G821" s="12"/>
    </row>
    <row r="822" ht="15.75" customHeight="1">
      <c r="B822" s="7"/>
      <c r="E822" s="18"/>
      <c r="G822" s="12"/>
    </row>
    <row r="823" ht="15.75" customHeight="1">
      <c r="B823" s="7"/>
      <c r="E823" s="18"/>
      <c r="G823" s="12"/>
    </row>
    <row r="824" ht="15.75" customHeight="1">
      <c r="B824" s="7"/>
      <c r="E824" s="18"/>
      <c r="G824" s="12"/>
    </row>
    <row r="825" ht="15.75" customHeight="1">
      <c r="B825" s="7"/>
      <c r="E825" s="18"/>
      <c r="G825" s="12"/>
    </row>
    <row r="826" ht="15.75" customHeight="1">
      <c r="B826" s="7"/>
      <c r="E826" s="18"/>
      <c r="G826" s="12"/>
    </row>
    <row r="827" ht="15.75" customHeight="1">
      <c r="B827" s="7"/>
      <c r="E827" s="18"/>
      <c r="G827" s="12"/>
    </row>
    <row r="828" ht="15.75" customHeight="1">
      <c r="B828" s="7"/>
      <c r="E828" s="18"/>
      <c r="G828" s="12"/>
    </row>
    <row r="829" ht="15.75" customHeight="1">
      <c r="B829" s="7"/>
      <c r="E829" s="18"/>
      <c r="G829" s="12"/>
    </row>
    <row r="830" ht="15.75" customHeight="1">
      <c r="B830" s="7"/>
      <c r="E830" s="18"/>
      <c r="G830" s="12"/>
    </row>
    <row r="831" ht="15.75" customHeight="1">
      <c r="B831" s="7"/>
      <c r="E831" s="18"/>
      <c r="G831" s="12"/>
    </row>
    <row r="832" ht="15.75" customHeight="1">
      <c r="B832" s="7"/>
      <c r="E832" s="18"/>
      <c r="G832" s="12"/>
    </row>
    <row r="833" ht="15.75" customHeight="1">
      <c r="B833" s="7"/>
      <c r="E833" s="18"/>
      <c r="G833" s="12"/>
    </row>
    <row r="834" ht="15.75" customHeight="1">
      <c r="B834" s="7"/>
      <c r="E834" s="18"/>
      <c r="G834" s="12"/>
    </row>
    <row r="835" ht="15.75" customHeight="1">
      <c r="B835" s="7"/>
      <c r="E835" s="18"/>
      <c r="G835" s="12"/>
    </row>
    <row r="836" ht="15.75" customHeight="1">
      <c r="B836" s="7"/>
      <c r="E836" s="18"/>
      <c r="G836" s="12"/>
    </row>
    <row r="837" ht="15.75" customHeight="1">
      <c r="B837" s="7"/>
      <c r="E837" s="18"/>
      <c r="G837" s="12"/>
    </row>
    <row r="838" ht="15.75" customHeight="1">
      <c r="B838" s="7"/>
      <c r="E838" s="18"/>
      <c r="G838" s="12"/>
    </row>
    <row r="839" ht="15.75" customHeight="1">
      <c r="B839" s="7"/>
      <c r="E839" s="18"/>
      <c r="G839" s="12"/>
    </row>
    <row r="840" ht="15.75" customHeight="1">
      <c r="B840" s="7"/>
      <c r="E840" s="18"/>
      <c r="G840" s="12"/>
    </row>
    <row r="841" ht="15.75" customHeight="1">
      <c r="B841" s="7"/>
      <c r="E841" s="18"/>
      <c r="G841" s="12"/>
    </row>
    <row r="842" ht="15.75" customHeight="1">
      <c r="B842" s="7"/>
      <c r="E842" s="18"/>
      <c r="G842" s="12"/>
    </row>
    <row r="843" ht="15.75" customHeight="1">
      <c r="B843" s="7"/>
      <c r="E843" s="18"/>
      <c r="G843" s="12"/>
    </row>
    <row r="844" ht="15.75" customHeight="1">
      <c r="B844" s="7"/>
      <c r="E844" s="18"/>
      <c r="G844" s="12"/>
    </row>
    <row r="845" ht="15.75" customHeight="1">
      <c r="B845" s="7"/>
      <c r="E845" s="18"/>
      <c r="G845" s="12"/>
    </row>
    <row r="846" ht="15.75" customHeight="1">
      <c r="B846" s="7"/>
      <c r="E846" s="18"/>
      <c r="G846" s="12"/>
    </row>
    <row r="847" ht="15.75" customHeight="1">
      <c r="B847" s="7"/>
      <c r="E847" s="18"/>
      <c r="G847" s="12"/>
    </row>
    <row r="848" ht="15.75" customHeight="1">
      <c r="B848" s="7"/>
      <c r="E848" s="18"/>
      <c r="G848" s="12"/>
    </row>
    <row r="849" ht="15.75" customHeight="1">
      <c r="B849" s="7"/>
      <c r="E849" s="18"/>
      <c r="G849" s="12"/>
    </row>
    <row r="850" ht="15.75" customHeight="1">
      <c r="B850" s="7"/>
      <c r="E850" s="18"/>
      <c r="G850" s="12"/>
    </row>
    <row r="851" ht="15.75" customHeight="1">
      <c r="B851" s="7"/>
      <c r="E851" s="18"/>
      <c r="G851" s="12"/>
    </row>
    <row r="852" ht="15.75" customHeight="1">
      <c r="B852" s="7"/>
      <c r="E852" s="18"/>
      <c r="G852" s="12"/>
    </row>
    <row r="853" ht="15.75" customHeight="1">
      <c r="B853" s="7"/>
      <c r="E853" s="18"/>
      <c r="G853" s="12"/>
    </row>
    <row r="854" ht="15.75" customHeight="1">
      <c r="B854" s="7"/>
      <c r="E854" s="18"/>
      <c r="G854" s="12"/>
    </row>
    <row r="855" ht="15.75" customHeight="1">
      <c r="B855" s="7"/>
      <c r="E855" s="18"/>
      <c r="G855" s="12"/>
    </row>
    <row r="856" ht="15.75" customHeight="1">
      <c r="B856" s="7"/>
      <c r="E856" s="18"/>
      <c r="G856" s="12"/>
    </row>
    <row r="857" ht="15.75" customHeight="1">
      <c r="B857" s="7"/>
      <c r="E857" s="18"/>
      <c r="G857" s="12"/>
    </row>
    <row r="858" ht="15.75" customHeight="1">
      <c r="B858" s="7"/>
      <c r="E858" s="18"/>
      <c r="G858" s="12"/>
    </row>
    <row r="859" ht="15.75" customHeight="1">
      <c r="B859" s="7"/>
      <c r="E859" s="18"/>
      <c r="G859" s="12"/>
    </row>
    <row r="860" ht="15.75" customHeight="1">
      <c r="B860" s="7"/>
      <c r="E860" s="18"/>
      <c r="G860" s="12"/>
    </row>
    <row r="861" ht="15.75" customHeight="1">
      <c r="B861" s="7"/>
      <c r="E861" s="18"/>
      <c r="G861" s="12"/>
    </row>
    <row r="862" ht="15.75" customHeight="1">
      <c r="B862" s="7"/>
      <c r="E862" s="18"/>
      <c r="G862" s="12"/>
    </row>
    <row r="863" ht="15.75" customHeight="1">
      <c r="B863" s="7"/>
      <c r="E863" s="18"/>
      <c r="G863" s="12"/>
    </row>
    <row r="864" ht="15.75" customHeight="1">
      <c r="B864" s="7"/>
      <c r="E864" s="18"/>
      <c r="G864" s="12"/>
    </row>
    <row r="865" ht="15.75" customHeight="1">
      <c r="B865" s="7"/>
      <c r="E865" s="18"/>
      <c r="G865" s="12"/>
    </row>
    <row r="866" ht="15.75" customHeight="1">
      <c r="B866" s="7"/>
      <c r="E866" s="18"/>
      <c r="G866" s="12"/>
    </row>
    <row r="867" ht="15.75" customHeight="1">
      <c r="B867" s="7"/>
      <c r="E867" s="18"/>
      <c r="G867" s="12"/>
    </row>
    <row r="868" ht="15.75" customHeight="1">
      <c r="B868" s="7"/>
      <c r="E868" s="18"/>
      <c r="G868" s="12"/>
    </row>
    <row r="869" ht="15.75" customHeight="1">
      <c r="B869" s="7"/>
      <c r="E869" s="18"/>
      <c r="G869" s="12"/>
    </row>
    <row r="870" ht="15.75" customHeight="1">
      <c r="B870" s="7"/>
      <c r="E870" s="18"/>
      <c r="G870" s="12"/>
    </row>
    <row r="871" ht="15.75" customHeight="1">
      <c r="B871" s="7"/>
      <c r="E871" s="18"/>
      <c r="G871" s="12"/>
    </row>
    <row r="872" ht="15.75" customHeight="1">
      <c r="B872" s="7"/>
      <c r="E872" s="18"/>
      <c r="G872" s="12"/>
    </row>
    <row r="873" ht="15.75" customHeight="1">
      <c r="B873" s="7"/>
      <c r="E873" s="18"/>
      <c r="G873" s="12"/>
    </row>
    <row r="874" ht="15.75" customHeight="1">
      <c r="B874" s="7"/>
      <c r="E874" s="18"/>
      <c r="G874" s="12"/>
    </row>
    <row r="875" ht="15.75" customHeight="1">
      <c r="B875" s="7"/>
      <c r="E875" s="18"/>
      <c r="G875" s="12"/>
    </row>
    <row r="876" ht="15.75" customHeight="1">
      <c r="B876" s="7"/>
      <c r="E876" s="18"/>
      <c r="G876" s="12"/>
    </row>
    <row r="877" ht="15.75" customHeight="1">
      <c r="B877" s="7"/>
      <c r="E877" s="18"/>
      <c r="G877" s="12"/>
    </row>
    <row r="878" ht="15.75" customHeight="1">
      <c r="B878" s="7"/>
      <c r="E878" s="18"/>
      <c r="G878" s="12"/>
    </row>
    <row r="879" ht="15.75" customHeight="1">
      <c r="B879" s="7"/>
      <c r="E879" s="18"/>
      <c r="G879" s="12"/>
    </row>
    <row r="880" ht="15.75" customHeight="1">
      <c r="B880" s="7"/>
      <c r="E880" s="18"/>
      <c r="G880" s="12"/>
    </row>
    <row r="881" ht="15.75" customHeight="1">
      <c r="B881" s="7"/>
      <c r="E881" s="18"/>
      <c r="G881" s="12"/>
    </row>
    <row r="882" ht="15.75" customHeight="1">
      <c r="B882" s="7"/>
      <c r="E882" s="18"/>
      <c r="G882" s="12"/>
    </row>
    <row r="883" ht="15.75" customHeight="1">
      <c r="B883" s="7"/>
      <c r="E883" s="18"/>
      <c r="G883" s="12"/>
    </row>
    <row r="884" ht="15.75" customHeight="1">
      <c r="B884" s="7"/>
      <c r="E884" s="18"/>
      <c r="G884" s="12"/>
    </row>
    <row r="885" ht="15.75" customHeight="1">
      <c r="B885" s="7"/>
      <c r="E885" s="18"/>
      <c r="G885" s="12"/>
    </row>
    <row r="886" ht="15.75" customHeight="1">
      <c r="B886" s="7"/>
      <c r="E886" s="18"/>
      <c r="G886" s="12"/>
    </row>
    <row r="887" ht="15.75" customHeight="1">
      <c r="B887" s="7"/>
      <c r="E887" s="18"/>
      <c r="G887" s="12"/>
    </row>
    <row r="888" ht="15.75" customHeight="1">
      <c r="B888" s="7"/>
      <c r="E888" s="18"/>
      <c r="G888" s="12"/>
    </row>
    <row r="889" ht="15.75" customHeight="1">
      <c r="B889" s="7"/>
      <c r="E889" s="18"/>
      <c r="G889" s="12"/>
    </row>
    <row r="890" ht="15.75" customHeight="1">
      <c r="B890" s="7"/>
      <c r="E890" s="18"/>
      <c r="G890" s="12"/>
    </row>
    <row r="891" ht="15.75" customHeight="1">
      <c r="B891" s="7"/>
      <c r="E891" s="18"/>
      <c r="G891" s="12"/>
    </row>
    <row r="892" ht="15.75" customHeight="1">
      <c r="B892" s="7"/>
      <c r="E892" s="18"/>
      <c r="G892" s="12"/>
    </row>
    <row r="893" ht="15.75" customHeight="1">
      <c r="B893" s="7"/>
      <c r="E893" s="18"/>
      <c r="G893" s="12"/>
    </row>
    <row r="894" ht="15.75" customHeight="1">
      <c r="B894" s="7"/>
      <c r="E894" s="18"/>
      <c r="G894" s="12"/>
    </row>
    <row r="895" ht="15.75" customHeight="1">
      <c r="B895" s="7"/>
      <c r="E895" s="18"/>
      <c r="G895" s="12"/>
    </row>
    <row r="896" ht="15.75" customHeight="1">
      <c r="B896" s="7"/>
      <c r="E896" s="18"/>
      <c r="G896" s="12"/>
    </row>
    <row r="897" ht="15.75" customHeight="1">
      <c r="B897" s="7"/>
      <c r="E897" s="18"/>
      <c r="G897" s="12"/>
    </row>
    <row r="898" ht="15.75" customHeight="1">
      <c r="B898" s="7"/>
      <c r="E898" s="18"/>
      <c r="G898" s="12"/>
    </row>
    <row r="899" ht="15.75" customHeight="1">
      <c r="B899" s="7"/>
      <c r="E899" s="18"/>
      <c r="G899" s="12"/>
    </row>
    <row r="900" ht="15.75" customHeight="1">
      <c r="B900" s="7"/>
      <c r="E900" s="18"/>
      <c r="G900" s="12"/>
    </row>
    <row r="901" ht="15.75" customHeight="1">
      <c r="B901" s="7"/>
      <c r="E901" s="18"/>
      <c r="G901" s="12"/>
    </row>
    <row r="902" ht="15.75" customHeight="1">
      <c r="B902" s="7"/>
      <c r="E902" s="18"/>
      <c r="G902" s="12"/>
    </row>
    <row r="903" ht="15.75" customHeight="1">
      <c r="B903" s="7"/>
      <c r="E903" s="18"/>
      <c r="G903" s="12"/>
    </row>
    <row r="904" ht="15.75" customHeight="1">
      <c r="B904" s="7"/>
      <c r="E904" s="18"/>
      <c r="G904" s="12"/>
    </row>
    <row r="905" ht="15.75" customHeight="1">
      <c r="B905" s="7"/>
      <c r="E905" s="18"/>
      <c r="G905" s="12"/>
    </row>
    <row r="906" ht="15.75" customHeight="1">
      <c r="B906" s="7"/>
      <c r="E906" s="18"/>
      <c r="G906" s="12"/>
    </row>
    <row r="907" ht="15.75" customHeight="1">
      <c r="B907" s="7"/>
      <c r="E907" s="18"/>
      <c r="G907" s="12"/>
    </row>
    <row r="908" ht="15.75" customHeight="1">
      <c r="B908" s="7"/>
      <c r="E908" s="18"/>
      <c r="G908" s="12"/>
    </row>
    <row r="909" ht="15.75" customHeight="1">
      <c r="B909" s="7"/>
      <c r="E909" s="18"/>
      <c r="G909" s="12"/>
    </row>
    <row r="910" ht="15.75" customHeight="1">
      <c r="B910" s="7"/>
      <c r="E910" s="18"/>
      <c r="G910" s="12"/>
    </row>
    <row r="911" ht="15.75" customHeight="1">
      <c r="B911" s="7"/>
      <c r="E911" s="18"/>
      <c r="G911" s="12"/>
    </row>
    <row r="912" ht="15.75" customHeight="1">
      <c r="B912" s="7"/>
      <c r="E912" s="18"/>
      <c r="G912" s="12"/>
    </row>
    <row r="913" ht="15.75" customHeight="1">
      <c r="B913" s="7"/>
      <c r="E913" s="18"/>
      <c r="G913" s="12"/>
    </row>
    <row r="914" ht="15.75" customHeight="1">
      <c r="B914" s="7"/>
      <c r="E914" s="18"/>
      <c r="G914" s="12"/>
    </row>
    <row r="915" ht="15.75" customHeight="1">
      <c r="B915" s="7"/>
      <c r="E915" s="18"/>
      <c r="G915" s="12"/>
    </row>
    <row r="916" ht="15.75" customHeight="1">
      <c r="B916" s="7"/>
      <c r="E916" s="18"/>
      <c r="G916" s="12"/>
    </row>
    <row r="917" ht="15.75" customHeight="1">
      <c r="B917" s="7"/>
      <c r="E917" s="18"/>
      <c r="G917" s="12"/>
    </row>
    <row r="918" ht="15.75" customHeight="1">
      <c r="B918" s="7"/>
      <c r="E918" s="18"/>
      <c r="G918" s="12"/>
    </row>
    <row r="919" ht="15.75" customHeight="1">
      <c r="B919" s="7"/>
      <c r="E919" s="18"/>
      <c r="G919" s="12"/>
    </row>
    <row r="920" ht="15.75" customHeight="1">
      <c r="B920" s="7"/>
      <c r="E920" s="18"/>
      <c r="G920" s="12"/>
    </row>
    <row r="921" ht="15.75" customHeight="1">
      <c r="B921" s="7"/>
      <c r="E921" s="18"/>
      <c r="G921" s="12"/>
    </row>
    <row r="922" ht="15.75" customHeight="1">
      <c r="B922" s="7"/>
      <c r="E922" s="18"/>
      <c r="G922" s="12"/>
    </row>
    <row r="923" ht="15.75" customHeight="1">
      <c r="B923" s="7"/>
      <c r="E923" s="18"/>
      <c r="G923" s="12"/>
    </row>
    <row r="924" ht="15.75" customHeight="1">
      <c r="B924" s="7"/>
      <c r="E924" s="18"/>
      <c r="G924" s="12"/>
    </row>
    <row r="925" ht="15.75" customHeight="1">
      <c r="B925" s="7"/>
      <c r="E925" s="18"/>
      <c r="G925" s="12"/>
    </row>
    <row r="926" ht="15.75" customHeight="1">
      <c r="B926" s="7"/>
      <c r="E926" s="18"/>
      <c r="G926" s="12"/>
    </row>
    <row r="927" ht="15.75" customHeight="1">
      <c r="B927" s="7"/>
      <c r="E927" s="18"/>
      <c r="G927" s="12"/>
    </row>
    <row r="928" ht="15.75" customHeight="1">
      <c r="B928" s="7"/>
      <c r="E928" s="18"/>
      <c r="G928" s="12"/>
    </row>
    <row r="929" ht="15.75" customHeight="1">
      <c r="B929" s="7"/>
      <c r="E929" s="18"/>
      <c r="G929" s="12"/>
    </row>
    <row r="930" ht="15.75" customHeight="1">
      <c r="B930" s="7"/>
      <c r="E930" s="18"/>
      <c r="G930" s="12"/>
    </row>
    <row r="931" ht="15.75" customHeight="1">
      <c r="B931" s="7"/>
      <c r="E931" s="18"/>
      <c r="G931" s="12"/>
    </row>
    <row r="932" ht="15.75" customHeight="1">
      <c r="B932" s="7"/>
      <c r="E932" s="18"/>
      <c r="G932" s="12"/>
    </row>
    <row r="933" ht="15.75" customHeight="1">
      <c r="B933" s="7"/>
      <c r="E933" s="18"/>
      <c r="G933" s="12"/>
    </row>
    <row r="934" ht="15.75" customHeight="1">
      <c r="B934" s="7"/>
      <c r="E934" s="18"/>
      <c r="G934" s="12"/>
    </row>
    <row r="935" ht="15.75" customHeight="1">
      <c r="B935" s="7"/>
      <c r="E935" s="18"/>
      <c r="G935" s="12"/>
    </row>
    <row r="936" ht="15.75" customHeight="1">
      <c r="B936" s="7"/>
      <c r="E936" s="18"/>
      <c r="G936" s="12"/>
    </row>
    <row r="937" ht="15.75" customHeight="1">
      <c r="B937" s="7"/>
      <c r="E937" s="18"/>
      <c r="G937" s="12"/>
    </row>
    <row r="938" ht="15.75" customHeight="1">
      <c r="B938" s="7"/>
      <c r="E938" s="18"/>
      <c r="G938" s="12"/>
    </row>
    <row r="939" ht="15.75" customHeight="1">
      <c r="B939" s="7"/>
      <c r="E939" s="18"/>
      <c r="G939" s="12"/>
    </row>
    <row r="940" ht="15.75" customHeight="1">
      <c r="B940" s="7"/>
      <c r="E940" s="18"/>
      <c r="G940" s="12"/>
    </row>
    <row r="941" ht="15.75" customHeight="1">
      <c r="B941" s="7"/>
      <c r="E941" s="18"/>
      <c r="G941" s="12"/>
    </row>
    <row r="942" ht="15.75" customHeight="1">
      <c r="B942" s="7"/>
      <c r="E942" s="18"/>
      <c r="G942" s="12"/>
    </row>
    <row r="943" ht="15.75" customHeight="1">
      <c r="B943" s="7"/>
      <c r="E943" s="18"/>
      <c r="G943" s="12"/>
    </row>
    <row r="944" ht="15.75" customHeight="1">
      <c r="B944" s="7"/>
      <c r="E944" s="18"/>
      <c r="G944" s="12"/>
    </row>
    <row r="945" ht="15.75" customHeight="1">
      <c r="B945" s="7"/>
      <c r="E945" s="18"/>
      <c r="G945" s="12"/>
    </row>
    <row r="946" ht="15.75" customHeight="1">
      <c r="B946" s="7"/>
      <c r="E946" s="18"/>
      <c r="G946" s="12"/>
    </row>
    <row r="947" ht="15.75" customHeight="1">
      <c r="B947" s="7"/>
      <c r="E947" s="18"/>
      <c r="G947" s="12"/>
    </row>
    <row r="948" ht="15.75" customHeight="1">
      <c r="B948" s="7"/>
      <c r="E948" s="18"/>
      <c r="G948" s="12"/>
    </row>
    <row r="949" ht="15.75" customHeight="1">
      <c r="B949" s="7"/>
      <c r="E949" s="18"/>
      <c r="G949" s="12"/>
    </row>
    <row r="950" ht="15.75" customHeight="1">
      <c r="B950" s="7"/>
      <c r="E950" s="18"/>
      <c r="G950" s="12"/>
    </row>
    <row r="951" ht="15.75" customHeight="1">
      <c r="B951" s="7"/>
      <c r="E951" s="18"/>
      <c r="G951" s="12"/>
    </row>
    <row r="952" ht="15.75" customHeight="1">
      <c r="B952" s="7"/>
      <c r="E952" s="18"/>
      <c r="G952" s="12"/>
    </row>
    <row r="953" ht="15.75" customHeight="1">
      <c r="B953" s="7"/>
      <c r="E953" s="18"/>
      <c r="G953" s="12"/>
    </row>
    <row r="954" ht="15.75" customHeight="1">
      <c r="B954" s="7"/>
      <c r="E954" s="18"/>
      <c r="G954" s="12"/>
    </row>
    <row r="955" ht="15.75" customHeight="1">
      <c r="B955" s="7"/>
      <c r="E955" s="18"/>
      <c r="G955" s="12"/>
    </row>
    <row r="956" ht="15.75" customHeight="1">
      <c r="B956" s="7"/>
      <c r="E956" s="18"/>
      <c r="G956" s="12"/>
    </row>
    <row r="957" ht="15.75" customHeight="1">
      <c r="B957" s="7"/>
      <c r="E957" s="18"/>
      <c r="G957" s="12"/>
    </row>
    <row r="958" ht="15.75" customHeight="1">
      <c r="B958" s="7"/>
      <c r="E958" s="18"/>
      <c r="G958" s="12"/>
    </row>
    <row r="959" ht="15.75" customHeight="1">
      <c r="B959" s="7"/>
      <c r="E959" s="18"/>
      <c r="G959" s="12"/>
    </row>
    <row r="960" ht="15.75" customHeight="1">
      <c r="B960" s="7"/>
      <c r="E960" s="18"/>
      <c r="G960" s="12"/>
    </row>
    <row r="961" ht="15.75" customHeight="1">
      <c r="B961" s="7"/>
      <c r="E961" s="18"/>
      <c r="G961" s="12"/>
    </row>
    <row r="962" ht="15.75" customHeight="1">
      <c r="B962" s="7"/>
      <c r="E962" s="18"/>
      <c r="G962" s="12"/>
    </row>
    <row r="963" ht="15.75" customHeight="1">
      <c r="B963" s="7"/>
      <c r="E963" s="18"/>
      <c r="G963" s="12"/>
    </row>
    <row r="964" ht="15.75" customHeight="1">
      <c r="B964" s="7"/>
      <c r="E964" s="18"/>
      <c r="G964" s="12"/>
    </row>
    <row r="965" ht="15.75" customHeight="1">
      <c r="B965" s="7"/>
      <c r="E965" s="18"/>
      <c r="G965" s="12"/>
    </row>
    <row r="966" ht="15.75" customHeight="1">
      <c r="B966" s="7"/>
      <c r="E966" s="18"/>
      <c r="G966" s="12"/>
    </row>
    <row r="967" ht="15.75" customHeight="1">
      <c r="B967" s="7"/>
      <c r="E967" s="18"/>
      <c r="G967" s="12"/>
    </row>
    <row r="968" ht="15.75" customHeight="1">
      <c r="B968" s="7"/>
      <c r="E968" s="18"/>
      <c r="G968" s="12"/>
    </row>
    <row r="969" ht="15.75" customHeight="1">
      <c r="B969" s="7"/>
      <c r="E969" s="18"/>
      <c r="G969" s="12"/>
    </row>
    <row r="970" ht="15.75" customHeight="1">
      <c r="B970" s="7"/>
      <c r="E970" s="18"/>
      <c r="G970" s="12"/>
    </row>
    <row r="971" ht="15.75" customHeight="1">
      <c r="B971" s="7"/>
      <c r="E971" s="18"/>
      <c r="G971" s="12"/>
    </row>
    <row r="972" ht="15.75" customHeight="1">
      <c r="B972" s="7"/>
      <c r="E972" s="18"/>
      <c r="G972" s="12"/>
    </row>
    <row r="973" ht="15.75" customHeight="1">
      <c r="B973" s="7"/>
      <c r="E973" s="18"/>
      <c r="G973" s="12"/>
    </row>
    <row r="974" ht="15.75" customHeight="1">
      <c r="B974" s="7"/>
      <c r="E974" s="18"/>
      <c r="G974" s="12"/>
    </row>
    <row r="975" ht="15.75" customHeight="1">
      <c r="B975" s="7"/>
      <c r="E975" s="18"/>
      <c r="G975" s="12"/>
    </row>
  </sheetData>
  <customSheetViews>
    <customSheetView guid="{363B5505-9424-49BB-9091-AEB6D93CC44C}" filter="1" showAutoFilter="1">
      <autoFilter ref="$A$7:$Y$325">
        <filterColumn colId="6">
          <filters>
            <filter val="ssd M.2 512GB nvme SATA"/>
            <filter val="Gabinete Gamer"/>
            <filter val="AHD-P40"/>
          </filters>
        </filterColumn>
      </autoFilter>
    </customSheetView>
    <customSheetView guid="{011D09D9-BA89-4D0B-9506-D9DA30850F67}" filter="1" showAutoFilter="1">
      <autoFilter ref="$A$7:$Y$331"/>
    </customSheetView>
  </customSheetViews>
  <mergeCells count="3">
    <mergeCell ref="B1:F1"/>
    <mergeCell ref="C2:F2"/>
    <mergeCell ref="C3:F3"/>
  </mergeCells>
  <conditionalFormatting sqref="B8:B23 B26:B52 B54:B94 B98:B114 B116:B130 B132:B138 B140:B148 B172:B173">
    <cfRule type="notContainsBlanks" dxfId="0" priority="1">
      <formula>LEN(TRIM(B8))&gt;0</formula>
    </cfRule>
  </conditionalFormatting>
  <hyperlinks>
    <hyperlink r:id="rId1" ref="C3"/>
  </hyperlinks>
  <printOptions/>
  <pageMargins bottom="0.787401575" footer="0.0" header="0.0" left="0.511811024" right="0.511811024" top="0.7874015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.86"/>
    <col customWidth="1" min="2" max="2" width="18.86"/>
    <col customWidth="1" min="3" max="3" width="15.29"/>
    <col customWidth="1" min="4" max="4" width="8.86"/>
    <col customWidth="1" min="5" max="5" width="18.43"/>
    <col customWidth="1" min="6" max="6" width="15.43"/>
    <col customWidth="1" min="7" max="7" width="47.29"/>
    <col customWidth="1" min="8" max="8" width="16.0"/>
    <col customWidth="1" min="9" max="9" width="16.86"/>
    <col customWidth="1" min="10" max="10" width="23.86"/>
    <col customWidth="1" min="11" max="11" width="12.71"/>
    <col customWidth="1" min="12" max="12" width="25.86"/>
    <col customWidth="1" min="13" max="13" width="12.14"/>
    <col customWidth="1" min="14" max="14" width="15.14"/>
    <col customWidth="1" min="15" max="18" width="22.29"/>
    <col customWidth="1" min="19" max="19" width="12.43"/>
    <col customWidth="1" min="20" max="25" width="8.71"/>
  </cols>
  <sheetData>
    <row r="1" ht="63.75" customHeight="1">
      <c r="B1" s="2" t="s">
        <v>1</v>
      </c>
      <c r="C1" s="3"/>
      <c r="D1" s="3"/>
      <c r="E1" s="3"/>
      <c r="F1" s="3"/>
      <c r="G1" s="4"/>
      <c r="P1" s="7"/>
    </row>
    <row r="2" ht="39.0" customHeight="1">
      <c r="B2" s="8" t="s">
        <v>2</v>
      </c>
      <c r="C2" s="9" t="s">
        <v>3</v>
      </c>
      <c r="D2" s="10"/>
      <c r="E2" s="10"/>
      <c r="F2" s="11"/>
      <c r="P2" s="7"/>
    </row>
    <row r="3" ht="32.25" customHeight="1">
      <c r="B3" s="13" t="s">
        <v>4</v>
      </c>
      <c r="C3" s="15" t="s">
        <v>5</v>
      </c>
      <c r="D3" s="16"/>
      <c r="E3" s="16"/>
      <c r="F3" s="17"/>
      <c r="P3" s="7"/>
    </row>
    <row r="4">
      <c r="B4" s="7"/>
      <c r="E4" s="18"/>
      <c r="F4" s="12"/>
      <c r="P4" s="7"/>
    </row>
    <row r="5">
      <c r="B5" s="19">
        <f>TODAY()</f>
        <v>46294</v>
      </c>
      <c r="E5" s="18"/>
      <c r="F5" s="12"/>
      <c r="P5" s="7"/>
    </row>
    <row r="6" ht="12.0" customHeight="1">
      <c r="B6" s="7"/>
      <c r="E6" s="18"/>
      <c r="F6" s="12"/>
      <c r="P6" s="7"/>
    </row>
    <row r="7" ht="13.5" customHeight="1">
      <c r="B7" s="20" t="s">
        <v>8</v>
      </c>
      <c r="C7" s="20" t="s">
        <v>12</v>
      </c>
      <c r="D7" s="24" t="s">
        <v>14</v>
      </c>
      <c r="E7" s="22" t="s">
        <v>11</v>
      </c>
      <c r="F7" s="23" t="s">
        <v>13</v>
      </c>
      <c r="G7" s="26" t="s">
        <v>15</v>
      </c>
      <c r="H7" s="25" t="s">
        <v>20</v>
      </c>
      <c r="I7" s="28" t="s">
        <v>17</v>
      </c>
      <c r="J7" s="28" t="s">
        <v>18</v>
      </c>
      <c r="K7" s="29" t="s">
        <v>19</v>
      </c>
      <c r="L7" s="25" t="s">
        <v>21</v>
      </c>
      <c r="M7" s="28" t="s">
        <v>22</v>
      </c>
      <c r="N7" s="30" t="s">
        <v>23</v>
      </c>
      <c r="O7" s="24" t="s">
        <v>24</v>
      </c>
      <c r="P7" s="27" t="s">
        <v>26</v>
      </c>
      <c r="Q7" s="24" t="s">
        <v>27</v>
      </c>
      <c r="R7" s="24" t="s">
        <v>27</v>
      </c>
      <c r="S7" s="32"/>
    </row>
    <row r="8" ht="15.75" hidden="1" customHeight="1">
      <c r="B8" s="34">
        <v>46083.0</v>
      </c>
      <c r="C8" s="36">
        <v>909033.0</v>
      </c>
      <c r="D8" s="36">
        <v>500.0</v>
      </c>
      <c r="E8" s="38">
        <v>155.0</v>
      </c>
      <c r="F8" s="38">
        <f t="shared" ref="F8:F18" si="1">E8*D8</f>
        <v>77500</v>
      </c>
      <c r="G8" s="36" t="s">
        <v>38</v>
      </c>
      <c r="H8" s="36">
        <v>57966.0</v>
      </c>
      <c r="I8" s="36" t="s">
        <v>41</v>
      </c>
      <c r="J8" s="36" t="s">
        <v>34</v>
      </c>
      <c r="K8" s="36" t="s">
        <v>35</v>
      </c>
      <c r="L8" s="36" t="s">
        <v>43</v>
      </c>
      <c r="M8" s="36">
        <v>1.0</v>
      </c>
      <c r="N8" s="36"/>
      <c r="O8" s="36"/>
      <c r="P8" s="34"/>
      <c r="Q8" s="34">
        <v>46113.0</v>
      </c>
      <c r="R8" s="34">
        <v>46143.0</v>
      </c>
      <c r="S8" s="35"/>
    </row>
    <row r="9" ht="15.75" hidden="1" customHeight="1">
      <c r="B9" s="34">
        <v>46083.0</v>
      </c>
      <c r="C9" s="36">
        <v>2544.0</v>
      </c>
      <c r="D9" s="36">
        <v>40.0</v>
      </c>
      <c r="E9" s="38">
        <v>64.8</v>
      </c>
      <c r="F9" s="38">
        <f t="shared" si="1"/>
        <v>2592</v>
      </c>
      <c r="G9" s="36" t="s">
        <v>44</v>
      </c>
      <c r="H9" s="36" t="s">
        <v>45</v>
      </c>
      <c r="I9" s="36" t="s">
        <v>41</v>
      </c>
      <c r="J9" s="36" t="s">
        <v>34</v>
      </c>
      <c r="K9" s="36" t="s">
        <v>35</v>
      </c>
      <c r="L9" s="36" t="s">
        <v>46</v>
      </c>
      <c r="M9" s="36">
        <v>1.0</v>
      </c>
      <c r="N9" s="36"/>
      <c r="O9" s="36"/>
      <c r="P9" s="34"/>
      <c r="Q9" s="34"/>
      <c r="R9" s="34"/>
      <c r="S9" s="34"/>
    </row>
    <row r="10" ht="15.75" hidden="1" customHeight="1">
      <c r="B10" s="34">
        <v>46083.0</v>
      </c>
      <c r="C10" s="36">
        <v>2544.0</v>
      </c>
      <c r="D10" s="36">
        <v>20.0</v>
      </c>
      <c r="E10" s="38">
        <v>34.2</v>
      </c>
      <c r="F10" s="38">
        <f t="shared" si="1"/>
        <v>684</v>
      </c>
      <c r="G10" s="36" t="s">
        <v>50</v>
      </c>
      <c r="H10" s="36" t="s">
        <v>52</v>
      </c>
      <c r="I10" s="36" t="s">
        <v>41</v>
      </c>
      <c r="J10" s="36" t="s">
        <v>34</v>
      </c>
      <c r="K10" s="36" t="s">
        <v>35</v>
      </c>
      <c r="L10" s="36" t="s">
        <v>46</v>
      </c>
      <c r="M10" s="36">
        <v>1.0</v>
      </c>
      <c r="N10" s="36"/>
      <c r="O10" s="36"/>
      <c r="P10" s="34"/>
      <c r="Q10" s="34"/>
      <c r="R10" s="34"/>
      <c r="S10" s="34"/>
    </row>
    <row r="11" ht="15.75" hidden="1" customHeight="1">
      <c r="B11" s="34">
        <v>46083.0</v>
      </c>
      <c r="C11" s="36">
        <v>2561.0</v>
      </c>
      <c r="D11" s="36">
        <v>20.0</v>
      </c>
      <c r="E11" s="38">
        <v>180.0</v>
      </c>
      <c r="F11" s="38">
        <f t="shared" si="1"/>
        <v>3600</v>
      </c>
      <c r="G11" s="36" t="s">
        <v>55</v>
      </c>
      <c r="H11" s="36" t="s">
        <v>57</v>
      </c>
      <c r="I11" s="36" t="s">
        <v>59</v>
      </c>
      <c r="J11" s="36" t="s">
        <v>34</v>
      </c>
      <c r="K11" s="36" t="s">
        <v>35</v>
      </c>
      <c r="L11" s="36" t="s">
        <v>62</v>
      </c>
      <c r="M11" s="36">
        <v>31.0</v>
      </c>
      <c r="N11" s="36"/>
      <c r="O11" s="45">
        <v>46083.0</v>
      </c>
      <c r="P11" s="34"/>
      <c r="Q11" s="34"/>
      <c r="R11" s="34"/>
      <c r="S11" s="34"/>
    </row>
    <row r="12" ht="15.75" hidden="1" customHeight="1">
      <c r="B12" s="34">
        <v>46083.0</v>
      </c>
      <c r="C12" s="36">
        <v>77522.0</v>
      </c>
      <c r="D12" s="36">
        <v>20.0</v>
      </c>
      <c r="E12" s="38">
        <v>325.0</v>
      </c>
      <c r="F12" s="38">
        <f t="shared" si="1"/>
        <v>6500</v>
      </c>
      <c r="G12" s="36" t="s">
        <v>69</v>
      </c>
      <c r="H12" s="36" t="s">
        <v>70</v>
      </c>
      <c r="I12" s="36" t="s">
        <v>59</v>
      </c>
      <c r="J12" s="36" t="s">
        <v>34</v>
      </c>
      <c r="K12" s="36" t="s">
        <v>35</v>
      </c>
      <c r="L12" s="36" t="s">
        <v>73</v>
      </c>
      <c r="M12" s="36">
        <v>31.0</v>
      </c>
      <c r="N12" s="36"/>
      <c r="O12" s="45">
        <v>46083.0</v>
      </c>
      <c r="P12" s="34"/>
      <c r="Q12" s="34"/>
      <c r="R12" s="34"/>
      <c r="S12" s="34"/>
    </row>
    <row r="13" ht="15.75" hidden="1" customHeight="1">
      <c r="B13" s="34">
        <v>46083.0</v>
      </c>
      <c r="C13" s="36">
        <v>8119.0</v>
      </c>
      <c r="D13" s="36">
        <v>18.0</v>
      </c>
      <c r="E13" s="38">
        <v>435.0</v>
      </c>
      <c r="F13" s="38">
        <f t="shared" si="1"/>
        <v>7830</v>
      </c>
      <c r="G13" s="36" t="s">
        <v>80</v>
      </c>
      <c r="H13" s="36" t="s">
        <v>80</v>
      </c>
      <c r="I13" s="36" t="s">
        <v>32</v>
      </c>
      <c r="J13" s="36" t="s">
        <v>34</v>
      </c>
      <c r="K13" s="36" t="s">
        <v>35</v>
      </c>
      <c r="L13" s="36" t="s">
        <v>81</v>
      </c>
      <c r="M13" s="36">
        <v>31.0</v>
      </c>
      <c r="N13" s="36"/>
      <c r="O13" s="45">
        <v>46086.0</v>
      </c>
      <c r="P13" s="34"/>
      <c r="Q13" s="34"/>
      <c r="R13" s="34"/>
      <c r="S13" s="34"/>
    </row>
    <row r="14" ht="15.75" hidden="1" customHeight="1">
      <c r="B14" s="34">
        <v>46083.0</v>
      </c>
      <c r="C14" s="36">
        <v>2565.0</v>
      </c>
      <c r="D14" s="36">
        <v>414.0</v>
      </c>
      <c r="E14" s="38">
        <v>108.0</v>
      </c>
      <c r="F14" s="38">
        <f t="shared" si="1"/>
        <v>44712</v>
      </c>
      <c r="G14" s="36" t="s">
        <v>83</v>
      </c>
      <c r="H14" s="36" t="s">
        <v>35</v>
      </c>
      <c r="I14" s="36" t="s">
        <v>32</v>
      </c>
      <c r="J14" s="36" t="s">
        <v>34</v>
      </c>
      <c r="K14" s="36" t="s">
        <v>35</v>
      </c>
      <c r="L14" s="36" t="s">
        <v>46</v>
      </c>
      <c r="M14" s="36">
        <v>1.0</v>
      </c>
      <c r="N14" s="36"/>
      <c r="O14" s="36"/>
      <c r="P14" s="34"/>
      <c r="Q14" s="34"/>
      <c r="R14" s="34"/>
      <c r="S14" s="34"/>
    </row>
    <row r="15" ht="15.75" hidden="1" customHeight="1">
      <c r="B15" s="34">
        <v>46083.0</v>
      </c>
      <c r="C15" s="36">
        <v>2566.0</v>
      </c>
      <c r="D15" s="36">
        <v>400.0</v>
      </c>
      <c r="E15" s="38">
        <v>324.0</v>
      </c>
      <c r="F15" s="38">
        <f t="shared" si="1"/>
        <v>129600</v>
      </c>
      <c r="G15" s="36" t="s">
        <v>90</v>
      </c>
      <c r="H15" s="36" t="s">
        <v>92</v>
      </c>
      <c r="I15" s="36" t="s">
        <v>32</v>
      </c>
      <c r="J15" s="36" t="s">
        <v>34</v>
      </c>
      <c r="K15" s="36" t="s">
        <v>35</v>
      </c>
      <c r="L15" s="36" t="s">
        <v>46</v>
      </c>
      <c r="M15" s="36">
        <v>1.0</v>
      </c>
      <c r="N15" s="36"/>
      <c r="O15" s="45">
        <v>46086.0</v>
      </c>
      <c r="P15" s="34"/>
      <c r="Q15" s="34"/>
      <c r="R15" s="34"/>
      <c r="S15" s="34"/>
    </row>
    <row r="16" ht="15.75" hidden="1" customHeight="1">
      <c r="B16" s="34">
        <v>46083.0</v>
      </c>
      <c r="C16" s="36" t="s">
        <v>35</v>
      </c>
      <c r="D16" s="36">
        <v>7000.0</v>
      </c>
      <c r="E16" s="38">
        <v>2.3</v>
      </c>
      <c r="F16" s="38">
        <f t="shared" si="1"/>
        <v>16100</v>
      </c>
      <c r="G16" s="36" t="s">
        <v>112</v>
      </c>
      <c r="H16" s="36" t="s">
        <v>113</v>
      </c>
      <c r="I16" s="36" t="s">
        <v>39</v>
      </c>
      <c r="J16" s="36" t="s">
        <v>40</v>
      </c>
      <c r="K16" s="36" t="s">
        <v>35</v>
      </c>
      <c r="L16" s="36" t="s">
        <v>114</v>
      </c>
      <c r="M16" s="36">
        <v>31.0</v>
      </c>
      <c r="N16" s="36"/>
      <c r="O16" s="45">
        <v>46098.0</v>
      </c>
      <c r="P16" s="34"/>
      <c r="Q16" s="34"/>
      <c r="R16" s="34"/>
      <c r="S16" s="34"/>
    </row>
    <row r="17" ht="15.75" hidden="1" customHeight="1">
      <c r="B17" s="34">
        <v>46084.0</v>
      </c>
      <c r="C17" s="36">
        <v>2582.0</v>
      </c>
      <c r="D17" s="36">
        <v>400.0</v>
      </c>
      <c r="E17" s="38">
        <v>88.0</v>
      </c>
      <c r="F17" s="38">
        <f t="shared" si="1"/>
        <v>35200</v>
      </c>
      <c r="G17" s="36" t="s">
        <v>121</v>
      </c>
      <c r="H17" s="36" t="s">
        <v>123</v>
      </c>
      <c r="I17" s="36" t="s">
        <v>59</v>
      </c>
      <c r="J17" s="36" t="s">
        <v>34</v>
      </c>
      <c r="K17" s="36" t="s">
        <v>35</v>
      </c>
      <c r="L17" s="36" t="s">
        <v>62</v>
      </c>
      <c r="M17" s="36">
        <v>31.0</v>
      </c>
      <c r="N17" s="36"/>
      <c r="O17" s="45">
        <v>46084.0</v>
      </c>
      <c r="P17" s="34"/>
      <c r="Q17" s="34"/>
      <c r="R17" s="34"/>
      <c r="S17" s="34"/>
    </row>
    <row r="18" ht="15.75" hidden="1" customHeight="1">
      <c r="B18" s="34">
        <v>46084.0</v>
      </c>
      <c r="C18" s="36">
        <v>2582.0</v>
      </c>
      <c r="D18" s="36">
        <v>800.0</v>
      </c>
      <c r="E18" s="38">
        <v>168.0</v>
      </c>
      <c r="F18" s="38">
        <f t="shared" si="1"/>
        <v>134400</v>
      </c>
      <c r="G18" s="36" t="s">
        <v>121</v>
      </c>
      <c r="H18" s="36" t="s">
        <v>133</v>
      </c>
      <c r="I18" s="35" t="s">
        <v>134</v>
      </c>
      <c r="J18" s="36" t="s">
        <v>34</v>
      </c>
      <c r="K18" s="36" t="s">
        <v>35</v>
      </c>
      <c r="L18" s="36" t="s">
        <v>62</v>
      </c>
      <c r="M18" s="36">
        <v>31.0</v>
      </c>
      <c r="N18" s="36"/>
      <c r="O18" s="45">
        <v>46084.0</v>
      </c>
      <c r="P18" s="34"/>
      <c r="Q18" s="34"/>
      <c r="R18" s="34"/>
      <c r="S18" s="34"/>
    </row>
    <row r="19" ht="15.75" hidden="1" customHeight="1">
      <c r="B19" s="34">
        <v>46084.0</v>
      </c>
      <c r="C19" s="36">
        <v>10024.0</v>
      </c>
      <c r="D19" s="36">
        <v>100.0</v>
      </c>
      <c r="E19" s="38">
        <f>F19/D19</f>
        <v>24.8</v>
      </c>
      <c r="F19" s="38">
        <v>2480.0</v>
      </c>
      <c r="G19" s="36" t="s">
        <v>158</v>
      </c>
      <c r="H19" s="36" t="s">
        <v>159</v>
      </c>
      <c r="I19" s="36" t="s">
        <v>59</v>
      </c>
      <c r="J19" s="36" t="s">
        <v>34</v>
      </c>
      <c r="K19" s="36" t="s">
        <v>35</v>
      </c>
      <c r="L19" s="36" t="s">
        <v>160</v>
      </c>
      <c r="M19" s="36">
        <v>31.0</v>
      </c>
      <c r="N19" s="36"/>
      <c r="O19" s="45">
        <v>46084.0</v>
      </c>
      <c r="P19" s="34"/>
      <c r="Q19" s="34"/>
      <c r="R19" s="34"/>
      <c r="S19" s="34"/>
    </row>
    <row r="20" ht="15.75" hidden="1" customHeight="1">
      <c r="B20" s="34">
        <v>46084.0</v>
      </c>
      <c r="C20" s="36">
        <v>909333.0</v>
      </c>
      <c r="D20" s="36">
        <v>1000.0</v>
      </c>
      <c r="E20" s="38">
        <v>2.95</v>
      </c>
      <c r="F20" s="38">
        <f t="shared" ref="F20:F772" si="2">E20*D20</f>
        <v>2950</v>
      </c>
      <c r="G20" s="36" t="s">
        <v>168</v>
      </c>
      <c r="H20" s="36">
        <v>44561.0</v>
      </c>
      <c r="I20" s="36" t="s">
        <v>41</v>
      </c>
      <c r="J20" s="36" t="s">
        <v>40</v>
      </c>
      <c r="K20" s="36" t="s">
        <v>35</v>
      </c>
      <c r="L20" s="36" t="s">
        <v>43</v>
      </c>
      <c r="M20" s="36">
        <v>1.0</v>
      </c>
      <c r="N20" s="36"/>
      <c r="O20" s="45">
        <v>46093.0</v>
      </c>
      <c r="P20" s="34"/>
      <c r="Q20" s="34">
        <v>46114.0</v>
      </c>
      <c r="R20" s="34">
        <v>46144.0</v>
      </c>
      <c r="S20" s="35"/>
    </row>
    <row r="21" ht="15.75" hidden="1" customHeight="1">
      <c r="B21" s="34">
        <v>46084.0</v>
      </c>
      <c r="C21" s="36">
        <v>219129.0</v>
      </c>
      <c r="D21" s="36">
        <v>200.0</v>
      </c>
      <c r="E21" s="38">
        <v>89.81</v>
      </c>
      <c r="F21" s="38">
        <f t="shared" si="2"/>
        <v>17962</v>
      </c>
      <c r="G21" s="36" t="s">
        <v>176</v>
      </c>
      <c r="H21" s="36" t="s">
        <v>178</v>
      </c>
      <c r="I21" s="36" t="s">
        <v>41</v>
      </c>
      <c r="J21" s="36" t="s">
        <v>34</v>
      </c>
      <c r="K21" s="36" t="s">
        <v>35</v>
      </c>
      <c r="L21" s="36" t="s">
        <v>193</v>
      </c>
      <c r="M21" s="36">
        <v>31.0</v>
      </c>
      <c r="N21" s="36"/>
      <c r="O21" s="45">
        <v>46093.0</v>
      </c>
      <c r="P21" s="34"/>
      <c r="Q21" s="34">
        <v>46085.0</v>
      </c>
      <c r="R21" s="34"/>
      <c r="S21" s="34"/>
    </row>
    <row r="22" ht="15.75" hidden="1" customHeight="1">
      <c r="B22" s="34">
        <v>46084.0</v>
      </c>
      <c r="C22" s="36">
        <v>6979.0</v>
      </c>
      <c r="D22" s="36">
        <v>200.0</v>
      </c>
      <c r="E22" s="38">
        <v>8.835</v>
      </c>
      <c r="F22" s="38">
        <f t="shared" si="2"/>
        <v>1767</v>
      </c>
      <c r="G22" s="36" t="s">
        <v>204</v>
      </c>
      <c r="H22" s="36" t="s">
        <v>205</v>
      </c>
      <c r="I22" s="36" t="s">
        <v>32</v>
      </c>
      <c r="J22" s="36" t="s">
        <v>34</v>
      </c>
      <c r="K22" s="36" t="s">
        <v>35</v>
      </c>
      <c r="L22" s="36" t="s">
        <v>210</v>
      </c>
      <c r="M22" s="36">
        <v>31.0</v>
      </c>
      <c r="N22" s="36"/>
      <c r="O22" s="45">
        <v>46084.0</v>
      </c>
      <c r="P22" s="34"/>
      <c r="Q22" s="34"/>
      <c r="R22" s="34"/>
      <c r="S22" s="34"/>
    </row>
    <row r="23" ht="15.75" hidden="1" customHeight="1">
      <c r="B23" s="34">
        <v>46084.0</v>
      </c>
      <c r="C23" s="36">
        <v>6979.0</v>
      </c>
      <c r="D23" s="36">
        <v>200.0</v>
      </c>
      <c r="E23" s="38">
        <v>6.975</v>
      </c>
      <c r="F23" s="38">
        <f t="shared" si="2"/>
        <v>1395</v>
      </c>
      <c r="G23" s="36" t="s">
        <v>212</v>
      </c>
      <c r="H23" s="36" t="s">
        <v>213</v>
      </c>
      <c r="I23" s="36" t="s">
        <v>32</v>
      </c>
      <c r="J23" s="36" t="s">
        <v>34</v>
      </c>
      <c r="K23" s="36" t="s">
        <v>35</v>
      </c>
      <c r="L23" s="36" t="s">
        <v>210</v>
      </c>
      <c r="M23" s="36">
        <v>31.0</v>
      </c>
      <c r="N23" s="36"/>
      <c r="O23" s="45">
        <v>46084.0</v>
      </c>
      <c r="P23" s="34"/>
      <c r="Q23" s="34"/>
      <c r="R23" s="34"/>
      <c r="S23" s="34"/>
    </row>
    <row r="24" ht="15.75" hidden="1" customHeight="1">
      <c r="B24" s="34">
        <v>46084.0</v>
      </c>
      <c r="C24" s="36" t="s">
        <v>35</v>
      </c>
      <c r="D24" s="36">
        <v>1.0</v>
      </c>
      <c r="E24" s="38">
        <v>8000.0</v>
      </c>
      <c r="F24" s="38">
        <f t="shared" si="2"/>
        <v>8000</v>
      </c>
      <c r="G24" s="36" t="s">
        <v>218</v>
      </c>
      <c r="H24" s="36" t="s">
        <v>35</v>
      </c>
      <c r="I24" s="36" t="s">
        <v>221</v>
      </c>
      <c r="J24" s="36" t="s">
        <v>34</v>
      </c>
      <c r="K24" s="36" t="s">
        <v>35</v>
      </c>
      <c r="L24" s="36" t="s">
        <v>35</v>
      </c>
      <c r="M24" s="36">
        <v>31.0</v>
      </c>
      <c r="N24" s="36"/>
      <c r="O24" s="36"/>
      <c r="P24" s="34"/>
      <c r="Q24" s="34"/>
      <c r="R24" s="34"/>
      <c r="S24" s="34"/>
    </row>
    <row r="25" ht="15.75" hidden="1" customHeight="1">
      <c r="B25" s="34">
        <v>46084.0</v>
      </c>
      <c r="C25" s="36" t="s">
        <v>35</v>
      </c>
      <c r="D25" s="36">
        <v>1.0</v>
      </c>
      <c r="E25" s="38">
        <v>3500.0</v>
      </c>
      <c r="F25" s="38">
        <f t="shared" si="2"/>
        <v>3500</v>
      </c>
      <c r="G25" s="36" t="s">
        <v>225</v>
      </c>
      <c r="H25" s="36" t="s">
        <v>35</v>
      </c>
      <c r="I25" s="36" t="s">
        <v>221</v>
      </c>
      <c r="J25" s="36" t="s">
        <v>34</v>
      </c>
      <c r="K25" s="36" t="s">
        <v>35</v>
      </c>
      <c r="L25" s="36" t="s">
        <v>35</v>
      </c>
      <c r="M25" s="36">
        <v>31.0</v>
      </c>
      <c r="N25" s="36"/>
      <c r="O25" s="36"/>
      <c r="P25" s="34"/>
      <c r="Q25" s="34"/>
      <c r="R25" s="34"/>
      <c r="S25" s="34"/>
    </row>
    <row r="26" ht="15.75" hidden="1" customHeight="1">
      <c r="B26" s="34">
        <v>46084.0</v>
      </c>
      <c r="C26" s="36">
        <v>6.20262669665E11</v>
      </c>
      <c r="D26" s="36">
        <v>1500.0</v>
      </c>
      <c r="E26" s="38">
        <v>118.9</v>
      </c>
      <c r="F26" s="38">
        <f t="shared" si="2"/>
        <v>178350</v>
      </c>
      <c r="G26" s="36" t="s">
        <v>231</v>
      </c>
      <c r="H26" s="36" t="s">
        <v>35</v>
      </c>
      <c r="I26" s="36" t="s">
        <v>41</v>
      </c>
      <c r="J26" s="36" t="s">
        <v>34</v>
      </c>
      <c r="K26" s="36" t="s">
        <v>35</v>
      </c>
      <c r="L26" s="36" t="s">
        <v>232</v>
      </c>
      <c r="M26" s="36">
        <v>31.0</v>
      </c>
      <c r="N26" s="36"/>
      <c r="O26" s="36"/>
      <c r="P26" s="34">
        <f>B26+28</f>
        <v>46112</v>
      </c>
      <c r="Q26" s="34"/>
      <c r="R26" s="34"/>
      <c r="S26" s="34"/>
    </row>
    <row r="27" ht="15.75" hidden="1" customHeight="1">
      <c r="B27" s="34">
        <v>46084.0</v>
      </c>
      <c r="C27" s="36">
        <v>2580.0</v>
      </c>
      <c r="D27" s="36">
        <v>10.0</v>
      </c>
      <c r="E27" s="38">
        <v>243.0</v>
      </c>
      <c r="F27" s="38">
        <f t="shared" si="2"/>
        <v>2430</v>
      </c>
      <c r="G27" s="36" t="s">
        <v>246</v>
      </c>
      <c r="H27" s="36" t="s">
        <v>247</v>
      </c>
      <c r="I27" s="36" t="s">
        <v>59</v>
      </c>
      <c r="J27" s="36" t="s">
        <v>34</v>
      </c>
      <c r="K27" s="36" t="s">
        <v>35</v>
      </c>
      <c r="L27" s="36" t="s">
        <v>62</v>
      </c>
      <c r="M27" s="36">
        <v>31.0</v>
      </c>
      <c r="N27" s="36"/>
      <c r="O27" s="45">
        <v>46084.0</v>
      </c>
      <c r="P27" s="34"/>
      <c r="Q27" s="34"/>
      <c r="R27" s="34"/>
      <c r="S27" s="34"/>
    </row>
    <row r="28" ht="15.75" hidden="1" customHeight="1">
      <c r="B28" s="34">
        <v>46084.0</v>
      </c>
      <c r="C28" s="36">
        <v>2581.0</v>
      </c>
      <c r="D28" s="36">
        <v>12.0</v>
      </c>
      <c r="E28" s="38">
        <v>198.0</v>
      </c>
      <c r="F28" s="38">
        <f t="shared" si="2"/>
        <v>2376</v>
      </c>
      <c r="G28" s="36" t="s">
        <v>255</v>
      </c>
      <c r="H28" s="36" t="s">
        <v>256</v>
      </c>
      <c r="I28" s="36" t="s">
        <v>59</v>
      </c>
      <c r="J28" s="36" t="s">
        <v>34</v>
      </c>
      <c r="K28" s="36" t="s">
        <v>35</v>
      </c>
      <c r="L28" s="36" t="s">
        <v>62</v>
      </c>
      <c r="M28" s="36">
        <v>31.0</v>
      </c>
      <c r="N28" s="36"/>
      <c r="O28" s="45">
        <v>46084.0</v>
      </c>
      <c r="P28" s="34"/>
      <c r="Q28" s="34"/>
      <c r="R28" s="34"/>
      <c r="S28" s="34"/>
    </row>
    <row r="29" ht="15.75" hidden="1" customHeight="1">
      <c r="B29" s="34">
        <v>46084.0</v>
      </c>
      <c r="C29" s="36" t="s">
        <v>35</v>
      </c>
      <c r="D29" s="36">
        <v>124.0</v>
      </c>
      <c r="E29" s="38">
        <v>510.4032</v>
      </c>
      <c r="F29" s="38">
        <f t="shared" si="2"/>
        <v>63289.9968</v>
      </c>
      <c r="G29" s="36" t="s">
        <v>80</v>
      </c>
      <c r="H29" s="36" t="s">
        <v>80</v>
      </c>
      <c r="I29" s="36" t="s">
        <v>32</v>
      </c>
      <c r="J29" s="36" t="s">
        <v>34</v>
      </c>
      <c r="K29" s="36" t="s">
        <v>35</v>
      </c>
      <c r="L29" s="36" t="s">
        <v>261</v>
      </c>
      <c r="M29" s="36">
        <v>31.0</v>
      </c>
      <c r="N29" s="36"/>
      <c r="O29" s="45">
        <v>46086.0</v>
      </c>
      <c r="P29" s="34"/>
      <c r="Q29" s="34"/>
      <c r="R29" s="34"/>
      <c r="S29" s="34"/>
    </row>
    <row r="30" ht="15.75" hidden="1" customHeight="1">
      <c r="B30" s="34">
        <v>46084.0</v>
      </c>
      <c r="C30" s="36">
        <v>8166.0</v>
      </c>
      <c r="D30" s="36">
        <v>72.0</v>
      </c>
      <c r="E30" s="38">
        <v>10.99</v>
      </c>
      <c r="F30" s="38">
        <f t="shared" si="2"/>
        <v>791.28</v>
      </c>
      <c r="G30" s="36" t="s">
        <v>264</v>
      </c>
      <c r="H30" s="36" t="s">
        <v>265</v>
      </c>
      <c r="I30" s="36" t="s">
        <v>32</v>
      </c>
      <c r="J30" s="36" t="s">
        <v>34</v>
      </c>
      <c r="K30" s="36" t="s">
        <v>35</v>
      </c>
      <c r="L30" s="36" t="s">
        <v>96</v>
      </c>
      <c r="M30" s="36">
        <v>31.0</v>
      </c>
      <c r="N30" s="36"/>
      <c r="O30" s="45">
        <v>46084.0</v>
      </c>
      <c r="P30" s="34"/>
      <c r="Q30" s="34"/>
      <c r="R30" s="34"/>
      <c r="S30" s="34"/>
    </row>
    <row r="31" ht="15.75" hidden="1" customHeight="1">
      <c r="B31" s="34">
        <v>46084.0</v>
      </c>
      <c r="C31" s="36">
        <v>8190.0</v>
      </c>
      <c r="D31" s="36">
        <v>120.0</v>
      </c>
      <c r="E31" s="38">
        <v>16.99</v>
      </c>
      <c r="F31" s="38">
        <f t="shared" si="2"/>
        <v>2038.8</v>
      </c>
      <c r="G31" s="36" t="s">
        <v>266</v>
      </c>
      <c r="H31" s="36" t="s">
        <v>268</v>
      </c>
      <c r="I31" s="36" t="s">
        <v>32</v>
      </c>
      <c r="J31" s="36" t="s">
        <v>34</v>
      </c>
      <c r="K31" s="36" t="s">
        <v>35</v>
      </c>
      <c r="L31" s="36" t="s">
        <v>96</v>
      </c>
      <c r="M31" s="36">
        <v>1.0</v>
      </c>
      <c r="N31" s="36"/>
      <c r="O31" s="36"/>
      <c r="P31" s="34"/>
      <c r="Q31" s="34"/>
      <c r="R31" s="34"/>
      <c r="S31" s="34"/>
    </row>
    <row r="32" ht="15.75" hidden="1" customHeight="1">
      <c r="B32" s="34">
        <v>46085.0</v>
      </c>
      <c r="C32" s="36">
        <v>5594.0</v>
      </c>
      <c r="D32" s="36">
        <v>1.0</v>
      </c>
      <c r="E32" s="38">
        <v>43.2</v>
      </c>
      <c r="F32" s="38">
        <f t="shared" si="2"/>
        <v>43.2</v>
      </c>
      <c r="G32" s="36" t="s">
        <v>275</v>
      </c>
      <c r="H32" s="36" t="s">
        <v>276</v>
      </c>
      <c r="I32" s="36" t="s">
        <v>221</v>
      </c>
      <c r="J32" s="36" t="s">
        <v>34</v>
      </c>
      <c r="K32" s="36" t="s">
        <v>35</v>
      </c>
      <c r="L32" s="36" t="s">
        <v>279</v>
      </c>
      <c r="M32" s="36">
        <v>1.0</v>
      </c>
      <c r="N32" s="36"/>
      <c r="O32" s="45">
        <v>46093.0</v>
      </c>
      <c r="P32" s="34"/>
      <c r="Q32" s="34"/>
      <c r="R32" s="34"/>
      <c r="S32" s="34"/>
    </row>
    <row r="33" ht="15.75" hidden="1" customHeight="1">
      <c r="B33" s="34">
        <v>46085.0</v>
      </c>
      <c r="C33" s="36">
        <v>5594.0</v>
      </c>
      <c r="D33" s="36">
        <v>29.0</v>
      </c>
      <c r="E33" s="38">
        <v>43.2</v>
      </c>
      <c r="F33" s="38">
        <f t="shared" si="2"/>
        <v>1252.8</v>
      </c>
      <c r="G33" s="36" t="s">
        <v>275</v>
      </c>
      <c r="H33" s="36" t="s">
        <v>276</v>
      </c>
      <c r="I33" s="36" t="s">
        <v>221</v>
      </c>
      <c r="J33" s="36" t="s">
        <v>40</v>
      </c>
      <c r="K33" s="36" t="s">
        <v>35</v>
      </c>
      <c r="L33" s="36" t="s">
        <v>279</v>
      </c>
      <c r="M33" s="36">
        <v>1.0</v>
      </c>
      <c r="N33" s="36"/>
      <c r="O33" s="45">
        <v>46093.0</v>
      </c>
      <c r="P33" s="34"/>
      <c r="Q33" s="34"/>
      <c r="R33" s="34"/>
      <c r="S33" s="34"/>
    </row>
    <row r="34" ht="15.75" hidden="1" customHeight="1">
      <c r="B34" s="34">
        <v>46085.0</v>
      </c>
      <c r="C34" s="36">
        <v>5594.0</v>
      </c>
      <c r="D34" s="36">
        <v>1.0</v>
      </c>
      <c r="E34" s="38">
        <v>63.0</v>
      </c>
      <c r="F34" s="38">
        <f t="shared" si="2"/>
        <v>63</v>
      </c>
      <c r="G34" s="36" t="s">
        <v>288</v>
      </c>
      <c r="H34" s="36" t="s">
        <v>289</v>
      </c>
      <c r="I34" s="36" t="s">
        <v>221</v>
      </c>
      <c r="J34" s="36" t="s">
        <v>34</v>
      </c>
      <c r="K34" s="36" t="s">
        <v>35</v>
      </c>
      <c r="L34" s="36" t="s">
        <v>279</v>
      </c>
      <c r="M34" s="36">
        <v>1.0</v>
      </c>
      <c r="N34" s="36"/>
      <c r="O34" s="45">
        <v>46093.0</v>
      </c>
      <c r="P34" s="34"/>
      <c r="Q34" s="34"/>
      <c r="R34" s="34"/>
      <c r="S34" s="34"/>
    </row>
    <row r="35" ht="15.75" hidden="1" customHeight="1">
      <c r="B35" s="34">
        <v>46085.0</v>
      </c>
      <c r="C35" s="36">
        <v>5594.0</v>
      </c>
      <c r="D35" s="36">
        <v>19.0</v>
      </c>
      <c r="E35" s="38">
        <v>63.0</v>
      </c>
      <c r="F35" s="38">
        <f t="shared" si="2"/>
        <v>1197</v>
      </c>
      <c r="G35" s="36" t="s">
        <v>288</v>
      </c>
      <c r="H35" s="36" t="s">
        <v>289</v>
      </c>
      <c r="I35" s="36" t="s">
        <v>221</v>
      </c>
      <c r="J35" s="36" t="s">
        <v>40</v>
      </c>
      <c r="K35" s="36" t="s">
        <v>35</v>
      </c>
      <c r="L35" s="36" t="s">
        <v>279</v>
      </c>
      <c r="M35" s="36">
        <v>1.0</v>
      </c>
      <c r="N35" s="36"/>
      <c r="O35" s="45">
        <v>46093.0</v>
      </c>
      <c r="P35" s="34"/>
      <c r="Q35" s="34"/>
      <c r="R35" s="34"/>
      <c r="S35" s="34"/>
    </row>
    <row r="36" ht="15.75" hidden="1" customHeight="1">
      <c r="B36" s="34">
        <v>46085.0</v>
      </c>
      <c r="C36" s="36">
        <v>5594.0</v>
      </c>
      <c r="D36" s="36">
        <v>20.0</v>
      </c>
      <c r="E36" s="38">
        <v>6.3</v>
      </c>
      <c r="F36" s="38">
        <f t="shared" si="2"/>
        <v>126</v>
      </c>
      <c r="G36" s="36" t="s">
        <v>297</v>
      </c>
      <c r="H36" s="36" t="s">
        <v>298</v>
      </c>
      <c r="I36" s="36" t="s">
        <v>221</v>
      </c>
      <c r="J36" s="36" t="s">
        <v>34</v>
      </c>
      <c r="K36" s="36" t="s">
        <v>35</v>
      </c>
      <c r="L36" s="36" t="s">
        <v>279</v>
      </c>
      <c r="M36" s="36">
        <v>1.0</v>
      </c>
      <c r="N36" s="36"/>
      <c r="O36" s="45">
        <v>46093.0</v>
      </c>
      <c r="P36" s="34"/>
      <c r="Q36" s="34"/>
      <c r="R36" s="34"/>
      <c r="S36" s="34"/>
    </row>
    <row r="37" ht="15.75" hidden="1" customHeight="1">
      <c r="B37" s="34">
        <v>46085.0</v>
      </c>
      <c r="C37" s="36">
        <v>5594.0</v>
      </c>
      <c r="D37" s="36">
        <v>180.0</v>
      </c>
      <c r="E37" s="38">
        <v>6.3</v>
      </c>
      <c r="F37" s="38">
        <f t="shared" si="2"/>
        <v>1134</v>
      </c>
      <c r="G37" s="36" t="s">
        <v>297</v>
      </c>
      <c r="H37" s="36" t="s">
        <v>298</v>
      </c>
      <c r="I37" s="36" t="s">
        <v>221</v>
      </c>
      <c r="J37" s="36" t="s">
        <v>40</v>
      </c>
      <c r="K37" s="36" t="s">
        <v>35</v>
      </c>
      <c r="L37" s="36" t="s">
        <v>279</v>
      </c>
      <c r="M37" s="36">
        <v>1.0</v>
      </c>
      <c r="N37" s="36"/>
      <c r="O37" s="45">
        <v>46093.0</v>
      </c>
      <c r="P37" s="34"/>
      <c r="Q37" s="34"/>
      <c r="R37" s="34"/>
      <c r="S37" s="34"/>
    </row>
    <row r="38" ht="15.75" hidden="1" customHeight="1">
      <c r="B38" s="34">
        <v>46085.0</v>
      </c>
      <c r="C38" s="36">
        <v>5594.0</v>
      </c>
      <c r="D38" s="36">
        <v>2.0</v>
      </c>
      <c r="E38" s="38">
        <v>8.01</v>
      </c>
      <c r="F38" s="38">
        <f t="shared" si="2"/>
        <v>16.02</v>
      </c>
      <c r="G38" s="36" t="s">
        <v>309</v>
      </c>
      <c r="H38" s="36" t="s">
        <v>310</v>
      </c>
      <c r="I38" s="36" t="s">
        <v>221</v>
      </c>
      <c r="J38" s="36" t="s">
        <v>34</v>
      </c>
      <c r="K38" s="36" t="s">
        <v>35</v>
      </c>
      <c r="L38" s="36" t="s">
        <v>279</v>
      </c>
      <c r="M38" s="36">
        <v>1.0</v>
      </c>
      <c r="N38" s="36"/>
      <c r="O38" s="45">
        <v>46093.0</v>
      </c>
      <c r="P38" s="34"/>
      <c r="Q38" s="34"/>
      <c r="R38" s="34"/>
      <c r="S38" s="34"/>
    </row>
    <row r="39" ht="15.75" hidden="1" customHeight="1">
      <c r="B39" s="34">
        <v>46085.0</v>
      </c>
      <c r="C39" s="36">
        <v>5594.0</v>
      </c>
      <c r="D39" s="36">
        <v>298.0</v>
      </c>
      <c r="E39" s="38">
        <v>8.01</v>
      </c>
      <c r="F39" s="38">
        <f t="shared" si="2"/>
        <v>2386.98</v>
      </c>
      <c r="G39" s="36" t="s">
        <v>309</v>
      </c>
      <c r="H39" s="36" t="s">
        <v>310</v>
      </c>
      <c r="I39" s="36" t="s">
        <v>221</v>
      </c>
      <c r="J39" s="36" t="s">
        <v>40</v>
      </c>
      <c r="K39" s="36" t="s">
        <v>35</v>
      </c>
      <c r="L39" s="36" t="s">
        <v>279</v>
      </c>
      <c r="M39" s="36">
        <v>1.0</v>
      </c>
      <c r="N39" s="36"/>
      <c r="O39" s="45">
        <v>46093.0</v>
      </c>
      <c r="P39" s="34"/>
      <c r="Q39" s="34"/>
      <c r="R39" s="34"/>
      <c r="S39" s="34"/>
    </row>
    <row r="40" ht="15.75" hidden="1" customHeight="1">
      <c r="B40" s="34">
        <v>46085.0</v>
      </c>
      <c r="C40" s="36">
        <v>5594.0</v>
      </c>
      <c r="D40" s="36">
        <v>1.0</v>
      </c>
      <c r="E40" s="38">
        <v>43.11</v>
      </c>
      <c r="F40" s="38">
        <f t="shared" si="2"/>
        <v>43.11</v>
      </c>
      <c r="G40" s="36" t="s">
        <v>322</v>
      </c>
      <c r="H40" s="36" t="s">
        <v>323</v>
      </c>
      <c r="I40" s="36" t="s">
        <v>221</v>
      </c>
      <c r="J40" s="36" t="s">
        <v>34</v>
      </c>
      <c r="K40" s="36" t="s">
        <v>35</v>
      </c>
      <c r="L40" s="36" t="s">
        <v>279</v>
      </c>
      <c r="M40" s="36">
        <v>1.0</v>
      </c>
      <c r="N40" s="36"/>
      <c r="O40" s="45">
        <v>46092.0</v>
      </c>
      <c r="P40" s="34"/>
      <c r="Q40" s="34"/>
      <c r="R40" s="34"/>
      <c r="S40" s="34"/>
    </row>
    <row r="41" ht="15.75" hidden="1" customHeight="1">
      <c r="B41" s="34">
        <v>46085.0</v>
      </c>
      <c r="C41" s="36">
        <v>5594.0</v>
      </c>
      <c r="D41" s="36">
        <v>39.0</v>
      </c>
      <c r="E41" s="38">
        <v>43.11</v>
      </c>
      <c r="F41" s="38">
        <f t="shared" si="2"/>
        <v>1681.29</v>
      </c>
      <c r="G41" s="36" t="s">
        <v>322</v>
      </c>
      <c r="H41" s="36" t="s">
        <v>323</v>
      </c>
      <c r="I41" s="36" t="s">
        <v>221</v>
      </c>
      <c r="J41" s="36" t="s">
        <v>40</v>
      </c>
      <c r="K41" s="36" t="s">
        <v>35</v>
      </c>
      <c r="L41" s="36" t="s">
        <v>279</v>
      </c>
      <c r="M41" s="36">
        <v>1.0</v>
      </c>
      <c r="N41" s="36"/>
      <c r="O41" s="45">
        <v>46092.0</v>
      </c>
      <c r="P41" s="34"/>
      <c r="Q41" s="34"/>
      <c r="R41" s="34"/>
      <c r="S41" s="34"/>
    </row>
    <row r="42" ht="15.75" hidden="1" customHeight="1">
      <c r="B42" s="34">
        <v>46085.0</v>
      </c>
      <c r="C42" s="36">
        <v>5594.0</v>
      </c>
      <c r="D42" s="36">
        <v>1.0</v>
      </c>
      <c r="E42" s="38">
        <v>47.7</v>
      </c>
      <c r="F42" s="38">
        <f t="shared" si="2"/>
        <v>47.7</v>
      </c>
      <c r="G42" s="36" t="s">
        <v>348</v>
      </c>
      <c r="H42" s="36" t="s">
        <v>349</v>
      </c>
      <c r="I42" s="36" t="s">
        <v>221</v>
      </c>
      <c r="J42" s="36" t="s">
        <v>34</v>
      </c>
      <c r="K42" s="36" t="s">
        <v>35</v>
      </c>
      <c r="L42" s="36" t="s">
        <v>279</v>
      </c>
      <c r="M42" s="36">
        <v>1.0</v>
      </c>
      <c r="N42" s="36"/>
      <c r="O42" s="45">
        <v>46092.0</v>
      </c>
      <c r="P42" s="34"/>
      <c r="Q42" s="34"/>
      <c r="R42" s="34"/>
      <c r="S42" s="34"/>
    </row>
    <row r="43" ht="15.75" hidden="1" customHeight="1">
      <c r="B43" s="34">
        <v>46085.0</v>
      </c>
      <c r="C43" s="36">
        <v>5594.0</v>
      </c>
      <c r="D43" s="36">
        <v>59.0</v>
      </c>
      <c r="E43" s="38">
        <v>47.7</v>
      </c>
      <c r="F43" s="38">
        <f t="shared" si="2"/>
        <v>2814.3</v>
      </c>
      <c r="G43" s="36" t="s">
        <v>348</v>
      </c>
      <c r="H43" s="36" t="s">
        <v>349</v>
      </c>
      <c r="I43" s="36" t="s">
        <v>221</v>
      </c>
      <c r="J43" s="36" t="s">
        <v>40</v>
      </c>
      <c r="K43" s="36" t="s">
        <v>35</v>
      </c>
      <c r="L43" s="36" t="s">
        <v>279</v>
      </c>
      <c r="M43" s="36">
        <v>1.0</v>
      </c>
      <c r="N43" s="36"/>
      <c r="O43" s="45">
        <v>46092.0</v>
      </c>
      <c r="P43" s="34"/>
      <c r="Q43" s="34"/>
      <c r="R43" s="34"/>
      <c r="S43" s="34"/>
    </row>
    <row r="44" ht="15.75" hidden="1" customHeight="1">
      <c r="B44" s="34">
        <v>46085.0</v>
      </c>
      <c r="C44" s="36">
        <v>5594.0</v>
      </c>
      <c r="D44" s="36">
        <v>1.0</v>
      </c>
      <c r="E44" s="38">
        <v>26.1</v>
      </c>
      <c r="F44" s="38">
        <f t="shared" si="2"/>
        <v>26.1</v>
      </c>
      <c r="G44" s="36" t="s">
        <v>354</v>
      </c>
      <c r="H44" s="36" t="s">
        <v>356</v>
      </c>
      <c r="I44" s="36" t="s">
        <v>221</v>
      </c>
      <c r="J44" s="36" t="s">
        <v>34</v>
      </c>
      <c r="K44" s="36" t="s">
        <v>35</v>
      </c>
      <c r="L44" s="36" t="s">
        <v>279</v>
      </c>
      <c r="M44" s="36">
        <v>1.0</v>
      </c>
      <c r="N44" s="36"/>
      <c r="O44" s="45">
        <v>46093.0</v>
      </c>
      <c r="P44" s="34"/>
      <c r="Q44" s="34"/>
      <c r="R44" s="34"/>
      <c r="S44" s="34"/>
    </row>
    <row r="45" ht="15.75" hidden="1" customHeight="1">
      <c r="B45" s="34">
        <v>46085.0</v>
      </c>
      <c r="C45" s="36">
        <v>5594.0</v>
      </c>
      <c r="D45" s="36">
        <v>59.0</v>
      </c>
      <c r="E45" s="38">
        <v>26.1</v>
      </c>
      <c r="F45" s="38">
        <f t="shared" si="2"/>
        <v>1539.9</v>
      </c>
      <c r="G45" s="36" t="s">
        <v>354</v>
      </c>
      <c r="H45" s="36" t="s">
        <v>356</v>
      </c>
      <c r="I45" s="36" t="s">
        <v>221</v>
      </c>
      <c r="J45" s="36" t="s">
        <v>40</v>
      </c>
      <c r="K45" s="36" t="s">
        <v>35</v>
      </c>
      <c r="L45" s="36" t="s">
        <v>279</v>
      </c>
      <c r="M45" s="36">
        <v>1.0</v>
      </c>
      <c r="N45" s="36"/>
      <c r="O45" s="45">
        <v>46093.0</v>
      </c>
      <c r="P45" s="34"/>
      <c r="Q45" s="34"/>
      <c r="R45" s="34"/>
      <c r="S45" s="34"/>
    </row>
    <row r="46" ht="15.75" hidden="1" customHeight="1">
      <c r="B46" s="34">
        <v>46085.0</v>
      </c>
      <c r="C46" s="36">
        <v>5594.0</v>
      </c>
      <c r="D46" s="36">
        <v>1.0</v>
      </c>
      <c r="E46" s="38">
        <v>18.45</v>
      </c>
      <c r="F46" s="38">
        <f t="shared" si="2"/>
        <v>18.45</v>
      </c>
      <c r="G46" s="36" t="s">
        <v>362</v>
      </c>
      <c r="H46" s="36" t="s">
        <v>364</v>
      </c>
      <c r="I46" s="36" t="s">
        <v>221</v>
      </c>
      <c r="J46" s="36" t="s">
        <v>34</v>
      </c>
      <c r="K46" s="36" t="s">
        <v>35</v>
      </c>
      <c r="L46" s="36" t="s">
        <v>279</v>
      </c>
      <c r="M46" s="36">
        <v>1.0</v>
      </c>
      <c r="N46" s="36"/>
      <c r="O46" s="45">
        <v>46092.0</v>
      </c>
      <c r="P46" s="34"/>
      <c r="Q46" s="34"/>
      <c r="R46" s="34"/>
      <c r="S46" s="34"/>
    </row>
    <row r="47" ht="15.75" hidden="1" customHeight="1">
      <c r="B47" s="34">
        <v>46085.0</v>
      </c>
      <c r="C47" s="36">
        <v>5594.0</v>
      </c>
      <c r="D47" s="36">
        <v>79.0</v>
      </c>
      <c r="E47" s="38">
        <v>18.45</v>
      </c>
      <c r="F47" s="38">
        <f t="shared" si="2"/>
        <v>1457.55</v>
      </c>
      <c r="G47" s="36" t="s">
        <v>362</v>
      </c>
      <c r="H47" s="36" t="s">
        <v>364</v>
      </c>
      <c r="I47" s="36" t="s">
        <v>221</v>
      </c>
      <c r="J47" s="36" t="s">
        <v>40</v>
      </c>
      <c r="K47" s="36" t="s">
        <v>35</v>
      </c>
      <c r="L47" s="36" t="s">
        <v>279</v>
      </c>
      <c r="M47" s="36">
        <v>1.0</v>
      </c>
      <c r="N47" s="36"/>
      <c r="O47" s="45">
        <v>46092.0</v>
      </c>
      <c r="P47" s="34"/>
      <c r="Q47" s="34"/>
      <c r="R47" s="34"/>
      <c r="S47" s="34"/>
    </row>
    <row r="48" ht="15.75" hidden="1" customHeight="1">
      <c r="B48" s="34">
        <v>46085.0</v>
      </c>
      <c r="C48" s="36">
        <v>2680.0</v>
      </c>
      <c r="D48" s="36">
        <v>1.0</v>
      </c>
      <c r="E48" s="38">
        <v>25.2</v>
      </c>
      <c r="F48" s="38">
        <f t="shared" si="2"/>
        <v>25.2</v>
      </c>
      <c r="G48" s="36" t="s">
        <v>370</v>
      </c>
      <c r="H48" s="36" t="s">
        <v>372</v>
      </c>
      <c r="I48" s="36" t="s">
        <v>221</v>
      </c>
      <c r="J48" s="36" t="s">
        <v>34</v>
      </c>
      <c r="K48" s="36" t="s">
        <v>35</v>
      </c>
      <c r="L48" s="36" t="s">
        <v>46</v>
      </c>
      <c r="M48" s="36">
        <v>1.0</v>
      </c>
      <c r="N48" s="36"/>
      <c r="O48" s="45">
        <v>46092.0</v>
      </c>
      <c r="P48" s="34"/>
      <c r="Q48" s="34"/>
      <c r="R48" s="34"/>
      <c r="S48" s="34"/>
    </row>
    <row r="49" ht="15.75" hidden="1" customHeight="1">
      <c r="B49" s="34">
        <v>46085.0</v>
      </c>
      <c r="C49" s="36">
        <v>2680.0</v>
      </c>
      <c r="D49" s="36">
        <v>53.0</v>
      </c>
      <c r="E49" s="38">
        <v>25.2</v>
      </c>
      <c r="F49" s="38">
        <f t="shared" si="2"/>
        <v>1335.6</v>
      </c>
      <c r="G49" s="36" t="s">
        <v>370</v>
      </c>
      <c r="H49" s="36" t="s">
        <v>372</v>
      </c>
      <c r="I49" s="36" t="s">
        <v>221</v>
      </c>
      <c r="J49" s="36" t="s">
        <v>40</v>
      </c>
      <c r="K49" s="36" t="s">
        <v>35</v>
      </c>
      <c r="L49" s="36" t="s">
        <v>46</v>
      </c>
      <c r="M49" s="36">
        <v>1.0</v>
      </c>
      <c r="N49" s="36"/>
      <c r="O49" s="45">
        <v>46092.0</v>
      </c>
      <c r="P49" s="34"/>
      <c r="Q49" s="34"/>
      <c r="R49" s="34"/>
      <c r="S49" s="34"/>
    </row>
    <row r="50" ht="15.75" hidden="1" customHeight="1">
      <c r="B50" s="34">
        <v>46085.0</v>
      </c>
      <c r="C50" s="36">
        <v>2680.0</v>
      </c>
      <c r="D50" s="36">
        <v>1.0</v>
      </c>
      <c r="E50" s="38">
        <v>58.5</v>
      </c>
      <c r="F50" s="38">
        <f t="shared" si="2"/>
        <v>58.5</v>
      </c>
      <c r="G50" s="36" t="s">
        <v>375</v>
      </c>
      <c r="H50" s="36" t="s">
        <v>376</v>
      </c>
      <c r="I50" s="36" t="s">
        <v>221</v>
      </c>
      <c r="J50" s="36" t="s">
        <v>34</v>
      </c>
      <c r="K50" s="36" t="s">
        <v>35</v>
      </c>
      <c r="L50" s="36" t="s">
        <v>46</v>
      </c>
      <c r="M50" s="36">
        <v>1.0</v>
      </c>
      <c r="N50" s="36"/>
      <c r="O50" s="45">
        <v>46092.0</v>
      </c>
      <c r="P50" s="34"/>
      <c r="Q50" s="34"/>
      <c r="R50" s="34"/>
      <c r="S50" s="34"/>
    </row>
    <row r="51" ht="15.75" hidden="1" customHeight="1">
      <c r="B51" s="34">
        <v>46085.0</v>
      </c>
      <c r="C51" s="36">
        <v>2680.0</v>
      </c>
      <c r="D51" s="36">
        <v>19.0</v>
      </c>
      <c r="E51" s="38">
        <v>58.5</v>
      </c>
      <c r="F51" s="38">
        <f t="shared" si="2"/>
        <v>1111.5</v>
      </c>
      <c r="G51" s="36" t="s">
        <v>375</v>
      </c>
      <c r="H51" s="36" t="s">
        <v>376</v>
      </c>
      <c r="I51" s="36" t="s">
        <v>221</v>
      </c>
      <c r="J51" s="36" t="s">
        <v>40</v>
      </c>
      <c r="K51" s="36" t="s">
        <v>35</v>
      </c>
      <c r="L51" s="36" t="s">
        <v>46</v>
      </c>
      <c r="M51" s="36">
        <v>1.0</v>
      </c>
      <c r="N51" s="36"/>
      <c r="O51" s="45">
        <v>46092.0</v>
      </c>
      <c r="P51" s="34"/>
      <c r="Q51" s="34"/>
      <c r="R51" s="34"/>
      <c r="S51" s="34"/>
    </row>
    <row r="52" ht="15.75" hidden="1" customHeight="1">
      <c r="B52" s="34">
        <v>46085.0</v>
      </c>
      <c r="C52" s="36">
        <v>2316.0</v>
      </c>
      <c r="D52" s="36">
        <v>25.0</v>
      </c>
      <c r="E52" s="38">
        <v>32.4</v>
      </c>
      <c r="F52" s="38">
        <f t="shared" si="2"/>
        <v>810</v>
      </c>
      <c r="G52" s="36" t="s">
        <v>387</v>
      </c>
      <c r="H52" s="36" t="s">
        <v>388</v>
      </c>
      <c r="I52" s="36" t="s">
        <v>221</v>
      </c>
      <c r="J52" s="36" t="s">
        <v>34</v>
      </c>
      <c r="K52" s="36" t="s">
        <v>35</v>
      </c>
      <c r="L52" s="36" t="s">
        <v>241</v>
      </c>
      <c r="M52" s="36">
        <v>1.0</v>
      </c>
      <c r="N52" s="36"/>
      <c r="O52" s="45">
        <v>46092.0</v>
      </c>
      <c r="P52" s="34"/>
      <c r="Q52" s="34"/>
      <c r="R52" s="34"/>
      <c r="S52" s="34"/>
    </row>
    <row r="53" ht="15.75" hidden="1" customHeight="1">
      <c r="B53" s="34">
        <v>46085.0</v>
      </c>
      <c r="C53" s="36">
        <v>8321.0</v>
      </c>
      <c r="D53" s="36">
        <v>5.0</v>
      </c>
      <c r="E53" s="38">
        <v>339.9</v>
      </c>
      <c r="F53" s="38">
        <f t="shared" si="2"/>
        <v>1699.5</v>
      </c>
      <c r="G53" s="36" t="s">
        <v>393</v>
      </c>
      <c r="H53" s="36" t="s">
        <v>396</v>
      </c>
      <c r="I53" s="36" t="s">
        <v>41</v>
      </c>
      <c r="J53" s="36" t="s">
        <v>34</v>
      </c>
      <c r="K53" s="36" t="s">
        <v>35</v>
      </c>
      <c r="L53" s="36" t="s">
        <v>96</v>
      </c>
      <c r="M53" s="36">
        <v>31.0</v>
      </c>
      <c r="N53" s="36"/>
      <c r="O53" s="45">
        <v>46085.0</v>
      </c>
      <c r="P53" s="34"/>
      <c r="Q53" s="34"/>
      <c r="R53" s="34"/>
      <c r="S53" s="34"/>
    </row>
    <row r="54" ht="15.75" hidden="1" customHeight="1">
      <c r="B54" s="34">
        <v>46085.0</v>
      </c>
      <c r="C54" s="36">
        <v>8321.0</v>
      </c>
      <c r="D54" s="36">
        <v>80.0</v>
      </c>
      <c r="E54" s="38">
        <v>13.99</v>
      </c>
      <c r="F54" s="38">
        <f t="shared" si="2"/>
        <v>1119.2</v>
      </c>
      <c r="G54" s="36" t="s">
        <v>401</v>
      </c>
      <c r="H54" s="36" t="s">
        <v>403</v>
      </c>
      <c r="I54" s="36" t="s">
        <v>41</v>
      </c>
      <c r="J54" s="36" t="s">
        <v>34</v>
      </c>
      <c r="K54" s="36" t="s">
        <v>35</v>
      </c>
      <c r="L54" s="36" t="s">
        <v>96</v>
      </c>
      <c r="M54" s="36">
        <v>31.0</v>
      </c>
      <c r="N54" s="36"/>
      <c r="O54" s="45">
        <v>46085.0</v>
      </c>
      <c r="P54" s="34"/>
      <c r="Q54" s="34"/>
      <c r="R54" s="34"/>
      <c r="S54" s="34"/>
    </row>
    <row r="55" ht="15.75" hidden="1" customHeight="1">
      <c r="B55" s="34">
        <v>46085.0</v>
      </c>
      <c r="C55" s="36">
        <v>8321.0</v>
      </c>
      <c r="D55" s="36">
        <v>4.0</v>
      </c>
      <c r="E55" s="38">
        <v>289.9</v>
      </c>
      <c r="F55" s="38">
        <f t="shared" si="2"/>
        <v>1159.6</v>
      </c>
      <c r="G55" s="36" t="s">
        <v>406</v>
      </c>
      <c r="H55" s="36" t="s">
        <v>408</v>
      </c>
      <c r="I55" s="36" t="s">
        <v>41</v>
      </c>
      <c r="J55" s="36" t="s">
        <v>34</v>
      </c>
      <c r="K55" s="36" t="s">
        <v>35</v>
      </c>
      <c r="L55" s="36" t="s">
        <v>96</v>
      </c>
      <c r="M55" s="36">
        <v>31.0</v>
      </c>
      <c r="N55" s="36"/>
      <c r="O55" s="45">
        <v>46085.0</v>
      </c>
      <c r="P55" s="34"/>
      <c r="Q55" s="34"/>
      <c r="R55" s="34"/>
      <c r="S55" s="34"/>
    </row>
    <row r="56" ht="15.75" hidden="1" customHeight="1">
      <c r="B56" s="34">
        <v>46085.0</v>
      </c>
      <c r="C56" s="36">
        <v>8321.0</v>
      </c>
      <c r="D56" s="36">
        <v>20.0</v>
      </c>
      <c r="E56" s="38">
        <v>119.9</v>
      </c>
      <c r="F56" s="38">
        <f t="shared" si="2"/>
        <v>2398</v>
      </c>
      <c r="G56" s="36" t="s">
        <v>416</v>
      </c>
      <c r="H56" s="36" t="s">
        <v>417</v>
      </c>
      <c r="I56" s="36" t="s">
        <v>41</v>
      </c>
      <c r="J56" s="36" t="s">
        <v>34</v>
      </c>
      <c r="K56" s="36" t="s">
        <v>35</v>
      </c>
      <c r="L56" s="36" t="s">
        <v>96</v>
      </c>
      <c r="M56" s="36">
        <v>31.0</v>
      </c>
      <c r="N56" s="36"/>
      <c r="O56" s="45">
        <v>46085.0</v>
      </c>
      <c r="P56" s="34"/>
      <c r="Q56" s="34"/>
      <c r="R56" s="34"/>
      <c r="S56" s="34"/>
    </row>
    <row r="57" ht="15.75" hidden="1" customHeight="1">
      <c r="B57" s="34">
        <v>46085.0</v>
      </c>
      <c r="C57" s="36">
        <v>8323.0</v>
      </c>
      <c r="D57" s="36">
        <v>2.0</v>
      </c>
      <c r="E57" s="38">
        <v>349.9</v>
      </c>
      <c r="F57" s="38">
        <f t="shared" si="2"/>
        <v>699.8</v>
      </c>
      <c r="G57" s="36" t="s">
        <v>420</v>
      </c>
      <c r="H57" s="36" t="s">
        <v>190</v>
      </c>
      <c r="I57" s="36" t="s">
        <v>41</v>
      </c>
      <c r="J57" s="36" t="s">
        <v>34</v>
      </c>
      <c r="K57" s="36" t="s">
        <v>35</v>
      </c>
      <c r="L57" s="36" t="s">
        <v>96</v>
      </c>
      <c r="M57" s="36">
        <v>31.0</v>
      </c>
      <c r="N57" s="36"/>
      <c r="O57" s="45">
        <v>46085.0</v>
      </c>
      <c r="P57" s="34"/>
      <c r="Q57" s="34"/>
      <c r="R57" s="34"/>
      <c r="S57" s="34"/>
    </row>
    <row r="58" ht="15.75" hidden="1" customHeight="1">
      <c r="B58" s="34">
        <v>46085.0</v>
      </c>
      <c r="C58" s="36">
        <v>8323.0</v>
      </c>
      <c r="D58" s="36">
        <v>9.0</v>
      </c>
      <c r="E58" s="38">
        <v>289.9</v>
      </c>
      <c r="F58" s="38">
        <f t="shared" si="2"/>
        <v>2609.1</v>
      </c>
      <c r="G58" s="36" t="s">
        <v>422</v>
      </c>
      <c r="H58" s="36" t="s">
        <v>200</v>
      </c>
      <c r="I58" s="36" t="s">
        <v>41</v>
      </c>
      <c r="J58" s="36" t="s">
        <v>34</v>
      </c>
      <c r="K58" s="36" t="s">
        <v>35</v>
      </c>
      <c r="L58" s="36" t="s">
        <v>96</v>
      </c>
      <c r="M58" s="36">
        <v>31.0</v>
      </c>
      <c r="N58" s="36"/>
      <c r="O58" s="45">
        <v>46085.0</v>
      </c>
      <c r="P58" s="34"/>
      <c r="Q58" s="34"/>
      <c r="R58" s="34"/>
      <c r="S58" s="34"/>
    </row>
    <row r="59" ht="15.75" hidden="1" customHeight="1">
      <c r="B59" s="34">
        <v>46085.0</v>
      </c>
      <c r="C59" s="36">
        <v>10026.0</v>
      </c>
      <c r="D59" s="36">
        <v>100.0</v>
      </c>
      <c r="E59" s="38">
        <v>20.0</v>
      </c>
      <c r="F59" s="38">
        <f t="shared" si="2"/>
        <v>2000</v>
      </c>
      <c r="G59" s="36" t="s">
        <v>158</v>
      </c>
      <c r="H59" s="36" t="s">
        <v>426</v>
      </c>
      <c r="I59" s="36" t="s">
        <v>59</v>
      </c>
      <c r="J59" s="36" t="s">
        <v>34</v>
      </c>
      <c r="K59" s="36" t="s">
        <v>35</v>
      </c>
      <c r="L59" s="36" t="s">
        <v>160</v>
      </c>
      <c r="M59" s="36">
        <v>31.0</v>
      </c>
      <c r="N59" s="36"/>
      <c r="O59" s="45">
        <v>46085.0</v>
      </c>
      <c r="P59" s="34"/>
      <c r="Q59" s="34"/>
      <c r="R59" s="34"/>
      <c r="S59" s="34"/>
    </row>
    <row r="60" ht="15.75" hidden="1" customHeight="1">
      <c r="B60" s="34">
        <v>46085.0</v>
      </c>
      <c r="C60" s="36">
        <v>909454.0</v>
      </c>
      <c r="D60" s="36">
        <v>500.0</v>
      </c>
      <c r="E60" s="38">
        <v>113.9</v>
      </c>
      <c r="F60" s="38">
        <f t="shared" si="2"/>
        <v>56950</v>
      </c>
      <c r="G60" s="36" t="s">
        <v>432</v>
      </c>
      <c r="H60" s="36">
        <v>69343.0</v>
      </c>
      <c r="I60" s="36" t="s">
        <v>41</v>
      </c>
      <c r="J60" s="36" t="s">
        <v>34</v>
      </c>
      <c r="K60" s="36" t="s">
        <v>35</v>
      </c>
      <c r="L60" s="36" t="s">
        <v>43</v>
      </c>
      <c r="M60" s="36">
        <v>1.0</v>
      </c>
      <c r="N60" s="36"/>
      <c r="O60" s="36"/>
      <c r="P60" s="34"/>
      <c r="Q60" s="34">
        <v>46115.0</v>
      </c>
      <c r="R60" s="34">
        <v>46145.0</v>
      </c>
      <c r="S60" s="35"/>
    </row>
    <row r="61" ht="15.75" hidden="1" customHeight="1">
      <c r="B61" s="34">
        <v>46085.0</v>
      </c>
      <c r="C61" s="36">
        <v>31608.0</v>
      </c>
      <c r="D61" s="36">
        <v>61.0</v>
      </c>
      <c r="E61" s="38">
        <v>66.49</v>
      </c>
      <c r="F61" s="38">
        <f t="shared" si="2"/>
        <v>4055.89</v>
      </c>
      <c r="G61" s="36" t="s">
        <v>438</v>
      </c>
      <c r="H61" s="36" t="s">
        <v>439</v>
      </c>
      <c r="I61" s="36" t="s">
        <v>77</v>
      </c>
      <c r="J61" s="36" t="s">
        <v>79</v>
      </c>
      <c r="K61" s="36" t="s">
        <v>35</v>
      </c>
      <c r="L61" s="36" t="s">
        <v>254</v>
      </c>
      <c r="M61" s="36">
        <v>1.0</v>
      </c>
      <c r="N61" s="36"/>
      <c r="O61" s="36"/>
      <c r="P61" s="34"/>
      <c r="Q61" s="34"/>
      <c r="R61" s="34"/>
      <c r="S61" s="34"/>
    </row>
    <row r="62" ht="15.75" hidden="1" customHeight="1">
      <c r="B62" s="34">
        <v>46085.0</v>
      </c>
      <c r="C62" s="36">
        <v>248434.0</v>
      </c>
      <c r="D62" s="36">
        <v>3.0</v>
      </c>
      <c r="E62" s="38">
        <v>90.0</v>
      </c>
      <c r="F62" s="38">
        <f t="shared" si="2"/>
        <v>270</v>
      </c>
      <c r="G62" s="36" t="s">
        <v>445</v>
      </c>
      <c r="H62" s="36">
        <v>1006072.0</v>
      </c>
      <c r="I62" s="36" t="s">
        <v>174</v>
      </c>
      <c r="J62" s="36" t="s">
        <v>175</v>
      </c>
      <c r="K62" s="36" t="s">
        <v>35</v>
      </c>
      <c r="L62" s="36" t="s">
        <v>446</v>
      </c>
      <c r="M62" s="36">
        <v>31.0</v>
      </c>
      <c r="N62" s="36"/>
      <c r="O62" s="36"/>
      <c r="P62" s="34"/>
      <c r="Q62" s="34"/>
      <c r="R62" s="34"/>
      <c r="S62" s="34"/>
    </row>
    <row r="63" ht="15.75" hidden="1" customHeight="1">
      <c r="B63" s="34">
        <v>46086.0</v>
      </c>
      <c r="C63" s="36">
        <v>2751.0</v>
      </c>
      <c r="D63" s="36">
        <v>100.0</v>
      </c>
      <c r="E63" s="38">
        <v>52.2</v>
      </c>
      <c r="F63" s="38">
        <f t="shared" si="2"/>
        <v>5220</v>
      </c>
      <c r="G63" s="36" t="s">
        <v>453</v>
      </c>
      <c r="H63" s="36" t="s">
        <v>454</v>
      </c>
      <c r="I63" s="36" t="s">
        <v>41</v>
      </c>
      <c r="J63" s="36" t="s">
        <v>34</v>
      </c>
      <c r="K63" s="36" t="s">
        <v>35</v>
      </c>
      <c r="L63" s="36" t="s">
        <v>62</v>
      </c>
      <c r="M63" s="36">
        <v>1.0</v>
      </c>
      <c r="N63" s="36"/>
      <c r="O63" s="45">
        <v>46093.0</v>
      </c>
      <c r="P63" s="34"/>
      <c r="Q63" s="34"/>
      <c r="R63" s="34"/>
      <c r="S63" s="34"/>
    </row>
    <row r="64" ht="15.75" hidden="1" customHeight="1">
      <c r="B64" s="34">
        <v>46086.0</v>
      </c>
      <c r="C64" s="36">
        <v>8633.0</v>
      </c>
      <c r="D64" s="36">
        <v>1.0</v>
      </c>
      <c r="E64" s="38">
        <v>309.9</v>
      </c>
      <c r="F64" s="38">
        <f t="shared" si="2"/>
        <v>309.9</v>
      </c>
      <c r="G64" s="36" t="s">
        <v>458</v>
      </c>
      <c r="H64" s="36" t="s">
        <v>459</v>
      </c>
      <c r="I64" s="36" t="s">
        <v>221</v>
      </c>
      <c r="J64" s="36" t="s">
        <v>34</v>
      </c>
      <c r="K64" s="36" t="s">
        <v>35</v>
      </c>
      <c r="L64" s="36" t="s">
        <v>96</v>
      </c>
      <c r="M64" s="36">
        <v>1.0</v>
      </c>
      <c r="N64" s="36"/>
      <c r="O64" s="36"/>
      <c r="P64" s="34"/>
      <c r="Q64" s="34"/>
      <c r="R64" s="34"/>
      <c r="S64" s="34"/>
    </row>
    <row r="65" ht="15.75" hidden="1" customHeight="1">
      <c r="B65" s="34">
        <v>46086.0</v>
      </c>
      <c r="C65" s="36">
        <v>8634.0</v>
      </c>
      <c r="D65" s="36">
        <v>1.0</v>
      </c>
      <c r="E65" s="38">
        <v>309.9</v>
      </c>
      <c r="F65" s="38">
        <f t="shared" si="2"/>
        <v>309.9</v>
      </c>
      <c r="G65" s="36" t="s">
        <v>458</v>
      </c>
      <c r="H65" s="36" t="s">
        <v>459</v>
      </c>
      <c r="I65" s="36" t="s">
        <v>221</v>
      </c>
      <c r="J65" s="36" t="s">
        <v>34</v>
      </c>
      <c r="K65" s="36" t="s">
        <v>35</v>
      </c>
      <c r="L65" s="36" t="s">
        <v>96</v>
      </c>
      <c r="M65" s="36">
        <v>1.0</v>
      </c>
      <c r="N65" s="36"/>
      <c r="O65" s="45">
        <v>46098.0</v>
      </c>
      <c r="P65" s="34"/>
      <c r="Q65" s="34"/>
      <c r="R65" s="34"/>
      <c r="S65" s="34"/>
    </row>
    <row r="66" ht="15.75" hidden="1" customHeight="1">
      <c r="B66" s="34">
        <v>46086.0</v>
      </c>
      <c r="C66" s="36">
        <v>8632.0</v>
      </c>
      <c r="D66" s="36">
        <v>380.0</v>
      </c>
      <c r="E66" s="38">
        <v>39.9</v>
      </c>
      <c r="F66" s="38">
        <f t="shared" si="2"/>
        <v>15162</v>
      </c>
      <c r="G66" s="36" t="s">
        <v>469</v>
      </c>
      <c r="H66" s="36" t="s">
        <v>95</v>
      </c>
      <c r="I66" s="36" t="s">
        <v>77</v>
      </c>
      <c r="J66" s="36" t="s">
        <v>79</v>
      </c>
      <c r="K66" s="36" t="s">
        <v>35</v>
      </c>
      <c r="L66" s="36" t="s">
        <v>96</v>
      </c>
      <c r="M66" s="36">
        <v>1.0</v>
      </c>
      <c r="N66" s="36"/>
      <c r="O66" s="45">
        <v>46098.0</v>
      </c>
      <c r="P66" s="34"/>
      <c r="Q66" s="34"/>
      <c r="R66" s="34"/>
      <c r="S66" s="34"/>
    </row>
    <row r="67" ht="15.75" hidden="1" customHeight="1">
      <c r="B67" s="34">
        <v>46086.0</v>
      </c>
      <c r="C67" s="36">
        <v>909575.0</v>
      </c>
      <c r="D67" s="36">
        <v>300.0</v>
      </c>
      <c r="E67" s="38">
        <v>325.0</v>
      </c>
      <c r="F67" s="38">
        <f t="shared" si="2"/>
        <v>97500</v>
      </c>
      <c r="G67" s="36" t="s">
        <v>473</v>
      </c>
      <c r="H67" s="36">
        <v>53003.0</v>
      </c>
      <c r="I67" s="36" t="s">
        <v>174</v>
      </c>
      <c r="J67" s="36" t="s">
        <v>175</v>
      </c>
      <c r="K67" s="36" t="s">
        <v>35</v>
      </c>
      <c r="L67" s="36" t="s">
        <v>43</v>
      </c>
      <c r="M67" s="36">
        <v>1.0</v>
      </c>
      <c r="N67" s="36"/>
      <c r="O67" s="36"/>
      <c r="P67" s="34"/>
      <c r="Q67" s="34">
        <v>46116.0</v>
      </c>
      <c r="R67" s="34">
        <v>46146.0</v>
      </c>
      <c r="S67" s="35"/>
    </row>
    <row r="68" ht="15.75" hidden="1" customHeight="1">
      <c r="B68" s="34">
        <v>46086.0</v>
      </c>
      <c r="C68" s="36">
        <v>909587.0</v>
      </c>
      <c r="D68" s="36">
        <v>500.0</v>
      </c>
      <c r="E68" s="38">
        <v>113.9</v>
      </c>
      <c r="F68" s="38">
        <f t="shared" si="2"/>
        <v>56950</v>
      </c>
      <c r="G68" s="36" t="s">
        <v>432</v>
      </c>
      <c r="H68" s="36">
        <v>69343.0</v>
      </c>
      <c r="I68" s="36" t="s">
        <v>77</v>
      </c>
      <c r="J68" s="36" t="s">
        <v>79</v>
      </c>
      <c r="K68" s="36" t="s">
        <v>35</v>
      </c>
      <c r="L68" s="36" t="s">
        <v>43</v>
      </c>
      <c r="M68" s="36">
        <v>1.0</v>
      </c>
      <c r="N68" s="36"/>
      <c r="O68" s="36"/>
      <c r="P68" s="34"/>
      <c r="Q68" s="34">
        <v>46116.0</v>
      </c>
      <c r="R68" s="34">
        <v>46146.0</v>
      </c>
      <c r="S68" s="35"/>
    </row>
    <row r="69" ht="15.75" hidden="1" customHeight="1">
      <c r="B69" s="34">
        <v>46086.0</v>
      </c>
      <c r="C69" s="36" t="s">
        <v>35</v>
      </c>
      <c r="D69" s="36">
        <v>15.0</v>
      </c>
      <c r="E69" s="38">
        <v>40.0</v>
      </c>
      <c r="F69" s="38">
        <f t="shared" si="2"/>
        <v>600</v>
      </c>
      <c r="G69" s="36" t="s">
        <v>482</v>
      </c>
      <c r="H69" s="36" t="s">
        <v>35</v>
      </c>
      <c r="I69" s="36" t="s">
        <v>41</v>
      </c>
      <c r="J69" s="36" t="s">
        <v>34</v>
      </c>
      <c r="K69" s="36" t="s">
        <v>35</v>
      </c>
      <c r="L69" s="36" t="s">
        <v>314</v>
      </c>
      <c r="M69" s="36">
        <v>31.0</v>
      </c>
      <c r="N69" s="36"/>
      <c r="O69" s="36"/>
      <c r="P69" s="34"/>
      <c r="Q69" s="34"/>
      <c r="R69" s="34"/>
      <c r="S69" s="34"/>
    </row>
    <row r="70" ht="15.75" hidden="1" customHeight="1">
      <c r="B70" s="34">
        <v>46086.0</v>
      </c>
      <c r="C70" s="36" t="s">
        <v>35</v>
      </c>
      <c r="D70" s="36">
        <v>15.0</v>
      </c>
      <c r="E70" s="38">
        <v>135.0</v>
      </c>
      <c r="F70" s="38">
        <f t="shared" si="2"/>
        <v>2025</v>
      </c>
      <c r="G70" s="36" t="s">
        <v>486</v>
      </c>
      <c r="H70" s="36" t="s">
        <v>35</v>
      </c>
      <c r="I70" s="36" t="s">
        <v>41</v>
      </c>
      <c r="J70" s="36" t="s">
        <v>34</v>
      </c>
      <c r="K70" s="36" t="s">
        <v>35</v>
      </c>
      <c r="L70" s="36" t="s">
        <v>314</v>
      </c>
      <c r="M70" s="36">
        <v>31.0</v>
      </c>
      <c r="N70" s="36"/>
      <c r="O70" s="36"/>
      <c r="P70" s="34"/>
      <c r="Q70" s="34"/>
      <c r="R70" s="34"/>
      <c r="S70" s="34"/>
    </row>
    <row r="71" ht="15.75" hidden="1" customHeight="1">
      <c r="B71" s="34">
        <v>46086.0</v>
      </c>
      <c r="C71" s="36" t="s">
        <v>35</v>
      </c>
      <c r="D71" s="36">
        <v>5.0</v>
      </c>
      <c r="E71" s="38">
        <v>660.0</v>
      </c>
      <c r="F71" s="38">
        <f t="shared" si="2"/>
        <v>3300</v>
      </c>
      <c r="G71" s="36" t="s">
        <v>489</v>
      </c>
      <c r="H71" s="36" t="s">
        <v>35</v>
      </c>
      <c r="I71" s="36" t="s">
        <v>41</v>
      </c>
      <c r="J71" s="36" t="s">
        <v>34</v>
      </c>
      <c r="K71" s="36" t="s">
        <v>35</v>
      </c>
      <c r="L71" s="36" t="s">
        <v>35</v>
      </c>
      <c r="M71" s="36">
        <v>1.0</v>
      </c>
      <c r="N71" s="36"/>
      <c r="O71" s="36"/>
      <c r="P71" s="34"/>
      <c r="Q71" s="34"/>
      <c r="R71" s="34"/>
      <c r="S71" s="34"/>
    </row>
    <row r="72" ht="15.75" hidden="1" customHeight="1">
      <c r="B72" s="34">
        <v>46086.0</v>
      </c>
      <c r="C72" s="36" t="s">
        <v>35</v>
      </c>
      <c r="D72" s="36">
        <v>30.0</v>
      </c>
      <c r="E72" s="38">
        <v>400.0</v>
      </c>
      <c r="F72" s="38">
        <f t="shared" si="2"/>
        <v>12000</v>
      </c>
      <c r="G72" s="36" t="s">
        <v>495</v>
      </c>
      <c r="H72" s="36" t="s">
        <v>35</v>
      </c>
      <c r="I72" s="36" t="s">
        <v>32</v>
      </c>
      <c r="J72" s="36" t="s">
        <v>34</v>
      </c>
      <c r="K72" s="36" t="s">
        <v>35</v>
      </c>
      <c r="L72" s="36" t="s">
        <v>35</v>
      </c>
      <c r="M72" s="36">
        <v>1.0</v>
      </c>
      <c r="N72" s="36"/>
      <c r="O72" s="45">
        <v>46091.0</v>
      </c>
      <c r="P72" s="34"/>
      <c r="Q72" s="34"/>
      <c r="R72" s="34"/>
      <c r="S72" s="34"/>
    </row>
    <row r="73" ht="15.75" hidden="1" customHeight="1">
      <c r="B73" s="34">
        <v>46087.0</v>
      </c>
      <c r="C73" s="36">
        <v>1110.0</v>
      </c>
      <c r="D73" s="36">
        <v>300.0</v>
      </c>
      <c r="E73" s="38">
        <v>27.0</v>
      </c>
      <c r="F73" s="38">
        <f t="shared" si="2"/>
        <v>8100</v>
      </c>
      <c r="G73" s="36" t="s">
        <v>500</v>
      </c>
      <c r="H73" s="36" t="s">
        <v>501</v>
      </c>
      <c r="I73" s="36" t="s">
        <v>32</v>
      </c>
      <c r="J73" s="36" t="s">
        <v>34</v>
      </c>
      <c r="K73" s="36" t="s">
        <v>35</v>
      </c>
      <c r="L73" s="36" t="s">
        <v>151</v>
      </c>
      <c r="M73" s="36">
        <v>1.0</v>
      </c>
      <c r="N73" s="36"/>
      <c r="O73" s="36"/>
      <c r="P73" s="34"/>
      <c r="Q73" s="34"/>
      <c r="R73" s="34"/>
      <c r="S73" s="34"/>
    </row>
    <row r="74" ht="15.75" hidden="1" customHeight="1">
      <c r="B74" s="34">
        <v>46087.0</v>
      </c>
      <c r="C74" s="36">
        <v>1123.0</v>
      </c>
      <c r="D74" s="36">
        <v>4.0</v>
      </c>
      <c r="E74" s="38">
        <v>1044.0</v>
      </c>
      <c r="F74" s="38">
        <f t="shared" si="2"/>
        <v>4176</v>
      </c>
      <c r="G74" s="36" t="s">
        <v>508</v>
      </c>
      <c r="H74" s="36" t="s">
        <v>510</v>
      </c>
      <c r="I74" s="36" t="s">
        <v>59</v>
      </c>
      <c r="J74" s="36" t="s">
        <v>34</v>
      </c>
      <c r="K74" s="36" t="s">
        <v>35</v>
      </c>
      <c r="L74" s="36" t="s">
        <v>151</v>
      </c>
      <c r="M74" s="36">
        <v>31.0</v>
      </c>
      <c r="N74" s="36"/>
      <c r="O74" s="45">
        <v>46087.0</v>
      </c>
      <c r="P74" s="34"/>
      <c r="Q74" s="34"/>
      <c r="R74" s="34"/>
      <c r="S74" s="34"/>
    </row>
    <row r="75" ht="15.75" hidden="1" customHeight="1">
      <c r="B75" s="34">
        <v>46087.0</v>
      </c>
      <c r="C75" s="36">
        <v>909789.0</v>
      </c>
      <c r="D75" s="36">
        <v>1000.0</v>
      </c>
      <c r="E75" s="38">
        <v>113.9</v>
      </c>
      <c r="F75" s="38">
        <f t="shared" si="2"/>
        <v>113900</v>
      </c>
      <c r="G75" s="36" t="s">
        <v>432</v>
      </c>
      <c r="H75" s="36">
        <v>69343.0</v>
      </c>
      <c r="I75" s="36" t="s">
        <v>41</v>
      </c>
      <c r="J75" s="36" t="s">
        <v>34</v>
      </c>
      <c r="K75" s="36" t="s">
        <v>35</v>
      </c>
      <c r="L75" s="36" t="s">
        <v>43</v>
      </c>
      <c r="M75" s="36">
        <v>1.0</v>
      </c>
      <c r="N75" s="36"/>
      <c r="O75" s="45">
        <v>46097.0</v>
      </c>
      <c r="P75" s="34"/>
      <c r="Q75" s="34">
        <v>46117.0</v>
      </c>
      <c r="R75" s="34">
        <v>46147.0</v>
      </c>
      <c r="S75" s="35"/>
    </row>
    <row r="76" ht="15.75" hidden="1" customHeight="1">
      <c r="B76" s="34">
        <v>46087.0</v>
      </c>
      <c r="C76" s="36">
        <v>236914.0</v>
      </c>
      <c r="D76" s="36">
        <v>120.0</v>
      </c>
      <c r="E76" s="38">
        <v>57.65</v>
      </c>
      <c r="F76" s="38">
        <f t="shared" si="2"/>
        <v>6918</v>
      </c>
      <c r="G76" s="36" t="s">
        <v>522</v>
      </c>
      <c r="H76" s="36">
        <v>4884.0</v>
      </c>
      <c r="I76" s="36" t="s">
        <v>32</v>
      </c>
      <c r="J76" s="36" t="s">
        <v>34</v>
      </c>
      <c r="K76" s="36" t="s">
        <v>35</v>
      </c>
      <c r="L76" s="36" t="s">
        <v>526</v>
      </c>
      <c r="M76" s="36">
        <v>1.0</v>
      </c>
      <c r="N76" s="36"/>
      <c r="O76" s="36"/>
      <c r="P76" s="34"/>
      <c r="Q76" s="34"/>
      <c r="R76" s="34"/>
      <c r="S76" s="34"/>
    </row>
    <row r="77" ht="15.75" hidden="1" customHeight="1">
      <c r="B77" s="34">
        <v>46087.0</v>
      </c>
      <c r="C77" s="36">
        <v>236914.0</v>
      </c>
      <c r="D77" s="36">
        <v>120.0</v>
      </c>
      <c r="E77" s="38">
        <v>57.65</v>
      </c>
      <c r="F77" s="38">
        <f t="shared" si="2"/>
        <v>6918</v>
      </c>
      <c r="G77" s="36" t="s">
        <v>522</v>
      </c>
      <c r="H77" s="36">
        <v>4884.0</v>
      </c>
      <c r="I77" s="36" t="s">
        <v>32</v>
      </c>
      <c r="J77" s="36" t="s">
        <v>40</v>
      </c>
      <c r="K77" s="36" t="s">
        <v>35</v>
      </c>
      <c r="L77" s="36" t="s">
        <v>526</v>
      </c>
      <c r="M77" s="36">
        <v>1.0</v>
      </c>
      <c r="N77" s="36"/>
      <c r="O77" s="36"/>
      <c r="P77" s="34"/>
      <c r="Q77" s="34"/>
      <c r="R77" s="34"/>
      <c r="S77" s="34"/>
    </row>
    <row r="78" ht="15.75" hidden="1" customHeight="1">
      <c r="B78" s="34">
        <v>46087.0</v>
      </c>
      <c r="C78" s="36" t="s">
        <v>35</v>
      </c>
      <c r="D78" s="36">
        <v>100.0</v>
      </c>
      <c r="E78" s="38">
        <v>660.0</v>
      </c>
      <c r="F78" s="38">
        <f t="shared" si="2"/>
        <v>66000</v>
      </c>
      <c r="G78" s="36" t="s">
        <v>534</v>
      </c>
      <c r="H78" s="36" t="s">
        <v>35</v>
      </c>
      <c r="I78" s="36" t="s">
        <v>32</v>
      </c>
      <c r="J78" s="36" t="s">
        <v>34</v>
      </c>
      <c r="K78" s="36" t="s">
        <v>35</v>
      </c>
      <c r="L78" s="36" t="s">
        <v>35</v>
      </c>
      <c r="M78" s="36">
        <v>1.0</v>
      </c>
      <c r="N78" s="36"/>
      <c r="O78" s="36"/>
      <c r="P78" s="34"/>
      <c r="Q78" s="34"/>
      <c r="R78" s="34"/>
      <c r="S78" s="34"/>
    </row>
    <row r="79" ht="15.75" hidden="1" customHeight="1">
      <c r="B79" s="34">
        <v>46087.0</v>
      </c>
      <c r="C79" s="36" t="s">
        <v>35</v>
      </c>
      <c r="D79" s="36">
        <v>200.0</v>
      </c>
      <c r="E79" s="38">
        <v>320.0</v>
      </c>
      <c r="F79" s="38">
        <f t="shared" si="2"/>
        <v>64000</v>
      </c>
      <c r="G79" s="36" t="s">
        <v>538</v>
      </c>
      <c r="H79" s="36" t="s">
        <v>35</v>
      </c>
      <c r="I79" s="36" t="s">
        <v>32</v>
      </c>
      <c r="J79" s="36" t="s">
        <v>34</v>
      </c>
      <c r="K79" s="36" t="s">
        <v>35</v>
      </c>
      <c r="L79" s="36" t="s">
        <v>35</v>
      </c>
      <c r="M79" s="36">
        <v>1.0</v>
      </c>
      <c r="N79" s="36"/>
      <c r="O79" s="36"/>
      <c r="P79" s="34"/>
      <c r="Q79" s="34"/>
      <c r="R79" s="34"/>
      <c r="S79" s="34"/>
    </row>
    <row r="80" ht="15.75" hidden="1" customHeight="1">
      <c r="B80" s="34">
        <v>46087.0</v>
      </c>
      <c r="C80" s="36" t="s">
        <v>35</v>
      </c>
      <c r="D80" s="36">
        <v>300.0</v>
      </c>
      <c r="E80" s="38">
        <v>152.0</v>
      </c>
      <c r="F80" s="38">
        <f t="shared" si="2"/>
        <v>45600</v>
      </c>
      <c r="G80" s="35" t="s">
        <v>135</v>
      </c>
      <c r="H80" s="35" t="s">
        <v>35</v>
      </c>
      <c r="I80" s="36" t="s">
        <v>41</v>
      </c>
      <c r="J80" s="36" t="s">
        <v>40</v>
      </c>
      <c r="K80" s="36" t="s">
        <v>35</v>
      </c>
      <c r="L80" s="36" t="s">
        <v>132</v>
      </c>
      <c r="M80" s="36">
        <v>1.0</v>
      </c>
      <c r="N80" s="36"/>
      <c r="O80" s="36"/>
      <c r="P80" s="34"/>
      <c r="Q80" s="34"/>
      <c r="R80" s="34"/>
      <c r="S80" s="34"/>
    </row>
    <row r="81" ht="15.75" hidden="1" customHeight="1">
      <c r="B81" s="34">
        <v>46087.0</v>
      </c>
      <c r="C81" s="36" t="s">
        <v>35</v>
      </c>
      <c r="D81" s="36">
        <v>1000.0</v>
      </c>
      <c r="E81" s="38">
        <v>85.0</v>
      </c>
      <c r="F81" s="38">
        <f t="shared" si="2"/>
        <v>85000</v>
      </c>
      <c r="G81" s="36" t="s">
        <v>547</v>
      </c>
      <c r="H81" s="36" t="s">
        <v>35</v>
      </c>
      <c r="I81" s="36" t="s">
        <v>41</v>
      </c>
      <c r="J81" s="36" t="s">
        <v>40</v>
      </c>
      <c r="K81" s="36" t="s">
        <v>35</v>
      </c>
      <c r="L81" s="36" t="s">
        <v>132</v>
      </c>
      <c r="M81" s="36">
        <v>1.0</v>
      </c>
      <c r="N81" s="36"/>
      <c r="O81" s="45">
        <v>46091.0</v>
      </c>
      <c r="P81" s="34"/>
      <c r="Q81" s="34"/>
      <c r="R81" s="34"/>
      <c r="S81" s="34"/>
    </row>
    <row r="82" ht="15.75" hidden="1" customHeight="1">
      <c r="B82" s="34">
        <v>46087.0</v>
      </c>
      <c r="C82" s="36">
        <v>2811.0</v>
      </c>
      <c r="D82" s="36">
        <v>500.0</v>
      </c>
      <c r="E82" s="38">
        <v>121.5</v>
      </c>
      <c r="F82" s="38">
        <f t="shared" si="2"/>
        <v>60750</v>
      </c>
      <c r="G82" s="36" t="s">
        <v>551</v>
      </c>
      <c r="H82" s="36" t="s">
        <v>553</v>
      </c>
      <c r="I82" s="36" t="s">
        <v>59</v>
      </c>
      <c r="J82" s="36" t="s">
        <v>34</v>
      </c>
      <c r="K82" s="36" t="s">
        <v>35</v>
      </c>
      <c r="L82" s="36" t="s">
        <v>46</v>
      </c>
      <c r="M82" s="36">
        <v>31.0</v>
      </c>
      <c r="N82" s="36"/>
      <c r="O82" s="45">
        <v>46093.0</v>
      </c>
      <c r="P82" s="34"/>
      <c r="Q82" s="34"/>
      <c r="R82" s="34"/>
      <c r="S82" s="34"/>
    </row>
    <row r="83" ht="15.75" hidden="1" customHeight="1">
      <c r="B83" s="34">
        <v>46087.0</v>
      </c>
      <c r="C83" s="36">
        <v>2811.0</v>
      </c>
      <c r="D83" s="36">
        <v>500.0</v>
      </c>
      <c r="E83" s="38">
        <v>121.5</v>
      </c>
      <c r="F83" s="38">
        <f t="shared" si="2"/>
        <v>60750</v>
      </c>
      <c r="G83" s="36" t="s">
        <v>551</v>
      </c>
      <c r="H83" s="36" t="s">
        <v>553</v>
      </c>
      <c r="I83" s="36" t="s">
        <v>59</v>
      </c>
      <c r="J83" s="36" t="s">
        <v>40</v>
      </c>
      <c r="K83" s="36" t="s">
        <v>35</v>
      </c>
      <c r="L83" s="36" t="s">
        <v>46</v>
      </c>
      <c r="M83" s="36">
        <v>31.0</v>
      </c>
      <c r="N83" s="36"/>
      <c r="O83" s="45"/>
      <c r="P83" s="34"/>
      <c r="Q83" s="34"/>
      <c r="R83" s="34"/>
      <c r="S83" s="34"/>
    </row>
    <row r="84" ht="15.75" hidden="1" customHeight="1">
      <c r="B84" s="34">
        <v>46087.0</v>
      </c>
      <c r="C84" s="36">
        <v>1138.0</v>
      </c>
      <c r="D84" s="36">
        <v>32.0</v>
      </c>
      <c r="E84" s="38">
        <v>260.0</v>
      </c>
      <c r="F84" s="38">
        <f t="shared" si="2"/>
        <v>8320</v>
      </c>
      <c r="G84" s="36" t="s">
        <v>566</v>
      </c>
      <c r="H84" s="36" t="s">
        <v>568</v>
      </c>
      <c r="I84" s="36" t="s">
        <v>59</v>
      </c>
      <c r="J84" s="36" t="s">
        <v>34</v>
      </c>
      <c r="K84" s="36" t="s">
        <v>35</v>
      </c>
      <c r="L84" s="36" t="s">
        <v>151</v>
      </c>
      <c r="M84" s="36">
        <v>31.0</v>
      </c>
      <c r="N84" s="36"/>
      <c r="O84" s="45">
        <v>46098.0</v>
      </c>
      <c r="P84" s="34"/>
      <c r="Q84" s="34"/>
      <c r="R84" s="34"/>
      <c r="S84" s="34"/>
    </row>
    <row r="85" ht="15.75" hidden="1" customHeight="1">
      <c r="B85" s="45">
        <v>46087.0</v>
      </c>
      <c r="C85" s="36">
        <v>1138.0</v>
      </c>
      <c r="D85" s="36">
        <v>368.0</v>
      </c>
      <c r="E85" s="38">
        <v>260.0</v>
      </c>
      <c r="F85" s="38">
        <f t="shared" si="2"/>
        <v>95680</v>
      </c>
      <c r="G85" s="36" t="s">
        <v>566</v>
      </c>
      <c r="H85" s="36" t="s">
        <v>568</v>
      </c>
      <c r="I85" s="36" t="s">
        <v>59</v>
      </c>
      <c r="J85" s="36" t="s">
        <v>40</v>
      </c>
      <c r="K85" s="36" t="s">
        <v>35</v>
      </c>
      <c r="L85" s="36" t="s">
        <v>151</v>
      </c>
      <c r="M85" s="36">
        <v>31.0</v>
      </c>
      <c r="N85" s="36"/>
      <c r="O85" s="36"/>
      <c r="P85" s="34"/>
      <c r="Q85" s="34"/>
      <c r="R85" s="34"/>
      <c r="S85" s="34"/>
    </row>
    <row r="86" ht="15.75" hidden="1" customHeight="1">
      <c r="B86" s="34">
        <v>46087.0</v>
      </c>
      <c r="C86" s="36">
        <v>509.0</v>
      </c>
      <c r="D86" s="36">
        <v>35.0</v>
      </c>
      <c r="E86" s="38">
        <v>79.8</v>
      </c>
      <c r="F86" s="38">
        <f t="shared" si="2"/>
        <v>2793</v>
      </c>
      <c r="G86" s="36" t="s">
        <v>579</v>
      </c>
      <c r="H86" s="36">
        <v>116.0</v>
      </c>
      <c r="I86" s="36" t="s">
        <v>32</v>
      </c>
      <c r="J86" s="36" t="s">
        <v>40</v>
      </c>
      <c r="K86" s="36" t="s">
        <v>35</v>
      </c>
      <c r="L86" s="36" t="s">
        <v>515</v>
      </c>
      <c r="M86" s="36">
        <v>1.0</v>
      </c>
      <c r="N86" s="36"/>
      <c r="O86" s="45">
        <v>46098.0</v>
      </c>
      <c r="P86" s="34"/>
      <c r="Q86" s="34"/>
      <c r="R86" s="34"/>
      <c r="S86" s="34"/>
    </row>
    <row r="87" ht="15.75" hidden="1" customHeight="1">
      <c r="B87" s="34">
        <v>46087.0</v>
      </c>
      <c r="C87" s="36">
        <v>87424.0</v>
      </c>
      <c r="D87" s="36">
        <v>10.0</v>
      </c>
      <c r="E87" s="38">
        <v>1207.71</v>
      </c>
      <c r="F87" s="38">
        <f t="shared" si="2"/>
        <v>12077.1</v>
      </c>
      <c r="G87" s="36" t="s">
        <v>588</v>
      </c>
      <c r="H87" s="36">
        <v>71079.0</v>
      </c>
      <c r="I87" s="36" t="s">
        <v>39</v>
      </c>
      <c r="J87" s="36" t="s">
        <v>35</v>
      </c>
      <c r="K87" s="36" t="s">
        <v>35</v>
      </c>
      <c r="L87" s="36" t="s">
        <v>589</v>
      </c>
      <c r="M87" s="36">
        <v>1.0</v>
      </c>
      <c r="N87" s="36"/>
      <c r="O87" s="45">
        <v>46107.0</v>
      </c>
      <c r="P87" s="34"/>
      <c r="Q87" s="34"/>
      <c r="R87" s="34"/>
      <c r="S87" s="34"/>
    </row>
    <row r="88" ht="15.75" hidden="1" customHeight="1">
      <c r="B88" s="34">
        <v>46090.0</v>
      </c>
      <c r="C88" s="36" t="s">
        <v>35</v>
      </c>
      <c r="D88" s="36">
        <v>1.0</v>
      </c>
      <c r="E88" s="38">
        <v>5350.0</v>
      </c>
      <c r="F88" s="38">
        <f t="shared" si="2"/>
        <v>5350</v>
      </c>
      <c r="G88" s="36" t="s">
        <v>591</v>
      </c>
      <c r="H88" s="36" t="s">
        <v>35</v>
      </c>
      <c r="I88" s="36" t="s">
        <v>221</v>
      </c>
      <c r="J88" s="36" t="s">
        <v>34</v>
      </c>
      <c r="K88" s="36" t="s">
        <v>35</v>
      </c>
      <c r="L88" s="36" t="s">
        <v>35</v>
      </c>
      <c r="M88" s="36">
        <v>31.0</v>
      </c>
      <c r="N88" s="36"/>
      <c r="O88" s="36"/>
      <c r="P88" s="34"/>
      <c r="Q88" s="34"/>
      <c r="R88" s="34"/>
      <c r="S88" s="34"/>
    </row>
    <row r="89" ht="15.75" hidden="1" customHeight="1">
      <c r="B89" s="34">
        <v>46090.0</v>
      </c>
      <c r="C89" s="36" t="s">
        <v>35</v>
      </c>
      <c r="D89" s="36">
        <v>2.0</v>
      </c>
      <c r="E89" s="38">
        <v>8100.0</v>
      </c>
      <c r="F89" s="38">
        <f t="shared" si="2"/>
        <v>16200</v>
      </c>
      <c r="G89" s="36" t="s">
        <v>598</v>
      </c>
      <c r="H89" s="36" t="s">
        <v>35</v>
      </c>
      <c r="I89" s="36" t="s">
        <v>221</v>
      </c>
      <c r="J89" s="36" t="s">
        <v>34</v>
      </c>
      <c r="K89" s="36" t="s">
        <v>35</v>
      </c>
      <c r="L89" s="36" t="s">
        <v>35</v>
      </c>
      <c r="M89" s="36">
        <v>31.0</v>
      </c>
      <c r="N89" s="36"/>
      <c r="O89" s="36"/>
      <c r="P89" s="34"/>
      <c r="Q89" s="34"/>
      <c r="R89" s="34"/>
      <c r="S89" s="34"/>
    </row>
    <row r="90" ht="15.75" hidden="1" customHeight="1">
      <c r="B90" s="34">
        <v>46090.0</v>
      </c>
      <c r="C90" s="36" t="s">
        <v>35</v>
      </c>
      <c r="D90" s="36">
        <v>50.0</v>
      </c>
      <c r="E90" s="38">
        <v>650.0</v>
      </c>
      <c r="F90" s="38">
        <f t="shared" si="2"/>
        <v>32500</v>
      </c>
      <c r="G90" s="36" t="s">
        <v>605</v>
      </c>
      <c r="H90" s="36" t="s">
        <v>35</v>
      </c>
      <c r="I90" s="36" t="s">
        <v>300</v>
      </c>
      <c r="J90" s="36" t="s">
        <v>34</v>
      </c>
      <c r="K90" s="36" t="s">
        <v>35</v>
      </c>
      <c r="L90" s="36" t="s">
        <v>35</v>
      </c>
      <c r="M90" s="36">
        <v>31.0</v>
      </c>
      <c r="N90" s="36"/>
      <c r="O90" s="36"/>
      <c r="P90" s="34"/>
      <c r="Q90" s="34"/>
      <c r="R90" s="34"/>
      <c r="S90" s="34"/>
    </row>
    <row r="91" ht="15.75" hidden="1" customHeight="1">
      <c r="B91" s="34">
        <v>46090.0</v>
      </c>
      <c r="C91" s="36">
        <v>3376325.0</v>
      </c>
      <c r="D91" s="36">
        <v>1680.0</v>
      </c>
      <c r="E91" s="38">
        <v>15.56</v>
      </c>
      <c r="F91" s="38">
        <f t="shared" si="2"/>
        <v>26140.8</v>
      </c>
      <c r="G91" s="36" t="s">
        <v>610</v>
      </c>
      <c r="H91" s="36" t="s">
        <v>613</v>
      </c>
      <c r="I91" s="36" t="s">
        <v>59</v>
      </c>
      <c r="J91" s="36" t="s">
        <v>34</v>
      </c>
      <c r="K91" s="36" t="s">
        <v>35</v>
      </c>
      <c r="L91" s="36" t="s">
        <v>346</v>
      </c>
      <c r="M91" s="36">
        <v>31.0</v>
      </c>
      <c r="N91" s="36"/>
      <c r="O91" s="36"/>
      <c r="P91" s="34"/>
      <c r="Q91" s="34"/>
      <c r="R91" s="34"/>
      <c r="S91" s="34"/>
    </row>
    <row r="92" ht="15.75" hidden="1" customHeight="1">
      <c r="B92" s="34">
        <v>46090.0</v>
      </c>
      <c r="C92" s="36">
        <v>3376325.0</v>
      </c>
      <c r="D92" s="36">
        <v>3600.0</v>
      </c>
      <c r="E92" s="38">
        <v>22.63</v>
      </c>
      <c r="F92" s="38">
        <f t="shared" si="2"/>
        <v>81468</v>
      </c>
      <c r="G92" s="36" t="s">
        <v>335</v>
      </c>
      <c r="H92" s="36" t="s">
        <v>336</v>
      </c>
      <c r="I92" s="36" t="s">
        <v>59</v>
      </c>
      <c r="J92" s="36" t="s">
        <v>34</v>
      </c>
      <c r="K92" s="36" t="s">
        <v>35</v>
      </c>
      <c r="L92" s="36" t="s">
        <v>346</v>
      </c>
      <c r="M92" s="36">
        <v>31.0</v>
      </c>
      <c r="N92" s="36"/>
      <c r="O92" s="36"/>
      <c r="P92" s="34"/>
      <c r="Q92" s="34"/>
      <c r="R92" s="34"/>
      <c r="S92" s="34"/>
    </row>
    <row r="93" ht="15.75" hidden="1" customHeight="1">
      <c r="B93" s="34">
        <v>46090.0</v>
      </c>
      <c r="C93" s="36">
        <v>8940.0</v>
      </c>
      <c r="D93" s="36">
        <v>48.0</v>
      </c>
      <c r="E93" s="38">
        <v>7.9</v>
      </c>
      <c r="F93" s="38">
        <f t="shared" si="2"/>
        <v>379.2</v>
      </c>
      <c r="G93" s="36" t="s">
        <v>619</v>
      </c>
      <c r="H93" s="36" t="s">
        <v>620</v>
      </c>
      <c r="I93" s="36" t="s">
        <v>41</v>
      </c>
      <c r="J93" s="36" t="s">
        <v>34</v>
      </c>
      <c r="K93" s="36" t="s">
        <v>35</v>
      </c>
      <c r="L93" s="36" t="s">
        <v>96</v>
      </c>
      <c r="M93" s="36">
        <v>31.0</v>
      </c>
      <c r="N93" s="36"/>
      <c r="O93" s="45">
        <v>46092.0</v>
      </c>
      <c r="P93" s="34"/>
      <c r="Q93" s="34"/>
      <c r="R93" s="34"/>
      <c r="S93" s="34"/>
    </row>
    <row r="94" ht="15.75" hidden="1" customHeight="1">
      <c r="B94" s="34">
        <v>46090.0</v>
      </c>
      <c r="C94" s="36">
        <v>8940.0</v>
      </c>
      <c r="D94" s="36">
        <v>40.0</v>
      </c>
      <c r="E94" s="38">
        <v>38.9</v>
      </c>
      <c r="F94" s="38">
        <f t="shared" si="2"/>
        <v>1556</v>
      </c>
      <c r="G94" s="36" t="s">
        <v>622</v>
      </c>
      <c r="H94" s="36" t="s">
        <v>623</v>
      </c>
      <c r="I94" s="36" t="s">
        <v>41</v>
      </c>
      <c r="J94" s="36" t="s">
        <v>34</v>
      </c>
      <c r="K94" s="36" t="s">
        <v>35</v>
      </c>
      <c r="L94" s="36" t="s">
        <v>96</v>
      </c>
      <c r="M94" s="36">
        <v>31.0</v>
      </c>
      <c r="N94" s="36"/>
      <c r="O94" s="45">
        <v>46092.0</v>
      </c>
      <c r="P94" s="34"/>
      <c r="Q94" s="34"/>
      <c r="R94" s="34"/>
      <c r="S94" s="34"/>
    </row>
    <row r="95" ht="15.75" hidden="1" customHeight="1">
      <c r="B95" s="34">
        <v>46090.0</v>
      </c>
      <c r="C95" s="36">
        <v>8940.0</v>
      </c>
      <c r="D95" s="36">
        <v>60.0</v>
      </c>
      <c r="E95" s="38">
        <v>15.99</v>
      </c>
      <c r="F95" s="38">
        <f t="shared" si="2"/>
        <v>959.4</v>
      </c>
      <c r="G95" s="36" t="s">
        <v>624</v>
      </c>
      <c r="H95" s="36" t="s">
        <v>626</v>
      </c>
      <c r="I95" s="36" t="s">
        <v>41</v>
      </c>
      <c r="J95" s="36" t="s">
        <v>34</v>
      </c>
      <c r="K95" s="36" t="s">
        <v>35</v>
      </c>
      <c r="L95" s="36" t="s">
        <v>96</v>
      </c>
      <c r="M95" s="36">
        <v>31.0</v>
      </c>
      <c r="N95" s="36"/>
      <c r="O95" s="45">
        <v>46092.0</v>
      </c>
      <c r="P95" s="34"/>
      <c r="Q95" s="34"/>
      <c r="R95" s="34"/>
      <c r="S95" s="34"/>
    </row>
    <row r="96" ht="15.75" hidden="1" customHeight="1">
      <c r="B96" s="34">
        <v>46090.0</v>
      </c>
      <c r="C96" s="36">
        <v>8940.0</v>
      </c>
      <c r="D96" s="36">
        <v>200.0</v>
      </c>
      <c r="E96" s="38">
        <v>3.9</v>
      </c>
      <c r="F96" s="38">
        <f t="shared" si="2"/>
        <v>780</v>
      </c>
      <c r="G96" s="36" t="s">
        <v>633</v>
      </c>
      <c r="H96" s="36" t="s">
        <v>634</v>
      </c>
      <c r="I96" s="36" t="s">
        <v>41</v>
      </c>
      <c r="J96" s="36" t="s">
        <v>34</v>
      </c>
      <c r="K96" s="36" t="s">
        <v>35</v>
      </c>
      <c r="L96" s="36" t="s">
        <v>96</v>
      </c>
      <c r="M96" s="36">
        <v>31.0</v>
      </c>
      <c r="N96" s="36"/>
      <c r="O96" s="45">
        <v>46092.0</v>
      </c>
      <c r="P96" s="34"/>
      <c r="Q96" s="34"/>
      <c r="R96" s="34"/>
      <c r="S96" s="34"/>
    </row>
    <row r="97" ht="15.75" hidden="1" customHeight="1">
      <c r="B97" s="34">
        <v>46090.0</v>
      </c>
      <c r="C97" s="36">
        <v>8940.0</v>
      </c>
      <c r="D97" s="36">
        <v>30.0</v>
      </c>
      <c r="E97" s="38">
        <v>26.9</v>
      </c>
      <c r="F97" s="38">
        <f t="shared" si="2"/>
        <v>807</v>
      </c>
      <c r="G97" s="36" t="s">
        <v>638</v>
      </c>
      <c r="H97" s="36" t="s">
        <v>639</v>
      </c>
      <c r="I97" s="36" t="s">
        <v>41</v>
      </c>
      <c r="J97" s="36" t="s">
        <v>34</v>
      </c>
      <c r="K97" s="36" t="s">
        <v>35</v>
      </c>
      <c r="L97" s="36" t="s">
        <v>96</v>
      </c>
      <c r="M97" s="36">
        <v>31.0</v>
      </c>
      <c r="N97" s="36"/>
      <c r="O97" s="45">
        <v>46092.0</v>
      </c>
      <c r="P97" s="34"/>
      <c r="Q97" s="34"/>
      <c r="R97" s="34"/>
      <c r="S97" s="34"/>
    </row>
    <row r="98" ht="15.75" hidden="1" customHeight="1">
      <c r="B98" s="34">
        <v>46090.0</v>
      </c>
      <c r="C98" s="36">
        <v>8940.0</v>
      </c>
      <c r="D98" s="36">
        <v>72.0</v>
      </c>
      <c r="E98" s="38">
        <v>10.9</v>
      </c>
      <c r="F98" s="38">
        <f t="shared" si="2"/>
        <v>784.8</v>
      </c>
      <c r="G98" s="36" t="s">
        <v>640</v>
      </c>
      <c r="H98" s="36" t="s">
        <v>641</v>
      </c>
      <c r="I98" s="36" t="s">
        <v>41</v>
      </c>
      <c r="J98" s="36" t="s">
        <v>34</v>
      </c>
      <c r="K98" s="36" t="s">
        <v>35</v>
      </c>
      <c r="L98" s="36" t="s">
        <v>96</v>
      </c>
      <c r="M98" s="36">
        <v>31.0</v>
      </c>
      <c r="N98" s="36"/>
      <c r="O98" s="45">
        <v>46092.0</v>
      </c>
      <c r="P98" s="34"/>
      <c r="Q98" s="34"/>
      <c r="R98" s="34"/>
      <c r="S98" s="34"/>
    </row>
    <row r="99" ht="15.75" hidden="1" customHeight="1">
      <c r="B99" s="34">
        <v>46090.0</v>
      </c>
      <c r="C99" s="36">
        <v>8940.0</v>
      </c>
      <c r="D99" s="36">
        <v>50.0</v>
      </c>
      <c r="E99" s="38">
        <v>20.99</v>
      </c>
      <c r="F99" s="38">
        <f t="shared" si="2"/>
        <v>1049.5</v>
      </c>
      <c r="G99" s="36" t="s">
        <v>649</v>
      </c>
      <c r="H99" s="36" t="s">
        <v>650</v>
      </c>
      <c r="I99" s="36" t="s">
        <v>41</v>
      </c>
      <c r="J99" s="36" t="s">
        <v>34</v>
      </c>
      <c r="K99" s="36" t="s">
        <v>35</v>
      </c>
      <c r="L99" s="36" t="s">
        <v>96</v>
      </c>
      <c r="M99" s="36">
        <v>31.0</v>
      </c>
      <c r="N99" s="36"/>
      <c r="O99" s="45">
        <v>46092.0</v>
      </c>
      <c r="P99" s="34"/>
      <c r="Q99" s="34"/>
      <c r="R99" s="34"/>
      <c r="S99" s="34"/>
    </row>
    <row r="100" ht="15.75" hidden="1" customHeight="1">
      <c r="B100" s="34">
        <v>46090.0</v>
      </c>
      <c r="C100" s="36">
        <v>8940.0</v>
      </c>
      <c r="D100" s="36">
        <v>60.0</v>
      </c>
      <c r="E100" s="38">
        <v>11.99</v>
      </c>
      <c r="F100" s="38">
        <f t="shared" si="2"/>
        <v>719.4</v>
      </c>
      <c r="G100" s="36" t="s">
        <v>654</v>
      </c>
      <c r="H100" s="36" t="s">
        <v>655</v>
      </c>
      <c r="I100" s="36" t="s">
        <v>41</v>
      </c>
      <c r="J100" s="36" t="s">
        <v>34</v>
      </c>
      <c r="K100" s="36" t="s">
        <v>35</v>
      </c>
      <c r="L100" s="36" t="s">
        <v>96</v>
      </c>
      <c r="M100" s="36">
        <v>31.0</v>
      </c>
      <c r="N100" s="36"/>
      <c r="O100" s="45">
        <v>46092.0</v>
      </c>
      <c r="P100" s="34"/>
      <c r="Q100" s="34"/>
      <c r="R100" s="34"/>
      <c r="S100" s="34"/>
    </row>
    <row r="101" ht="15.75" hidden="1" customHeight="1">
      <c r="B101" s="34">
        <v>46090.0</v>
      </c>
      <c r="C101" s="36">
        <v>8940.0</v>
      </c>
      <c r="D101" s="36">
        <v>100.0</v>
      </c>
      <c r="E101" s="38">
        <v>6.9</v>
      </c>
      <c r="F101" s="38">
        <f t="shared" si="2"/>
        <v>690</v>
      </c>
      <c r="G101" s="36" t="s">
        <v>656</v>
      </c>
      <c r="H101" s="36" t="s">
        <v>658</v>
      </c>
      <c r="I101" s="36" t="s">
        <v>41</v>
      </c>
      <c r="J101" s="36" t="s">
        <v>34</v>
      </c>
      <c r="K101" s="36" t="s">
        <v>35</v>
      </c>
      <c r="L101" s="36" t="s">
        <v>96</v>
      </c>
      <c r="M101" s="36">
        <v>31.0</v>
      </c>
      <c r="N101" s="36"/>
      <c r="O101" s="45">
        <v>46092.0</v>
      </c>
      <c r="P101" s="34"/>
      <c r="Q101" s="34"/>
      <c r="R101" s="34"/>
      <c r="S101" s="34"/>
    </row>
    <row r="102" ht="15.75" hidden="1" customHeight="1">
      <c r="B102" s="34">
        <v>46090.0</v>
      </c>
      <c r="C102" s="36">
        <v>8940.0</v>
      </c>
      <c r="D102" s="36">
        <v>60.0</v>
      </c>
      <c r="E102" s="38">
        <v>7.9</v>
      </c>
      <c r="F102" s="38">
        <f t="shared" si="2"/>
        <v>474</v>
      </c>
      <c r="G102" s="36" t="s">
        <v>662</v>
      </c>
      <c r="H102" s="36" t="s">
        <v>663</v>
      </c>
      <c r="I102" s="36" t="s">
        <v>41</v>
      </c>
      <c r="J102" s="36" t="s">
        <v>34</v>
      </c>
      <c r="K102" s="36" t="s">
        <v>35</v>
      </c>
      <c r="L102" s="36" t="s">
        <v>96</v>
      </c>
      <c r="M102" s="36">
        <v>31.0</v>
      </c>
      <c r="N102" s="36"/>
      <c r="O102" s="45">
        <v>46092.0</v>
      </c>
      <c r="P102" s="34"/>
      <c r="Q102" s="34"/>
      <c r="R102" s="34"/>
      <c r="S102" s="34"/>
    </row>
    <row r="103" ht="15.75" hidden="1" customHeight="1">
      <c r="B103" s="34">
        <v>46090.0</v>
      </c>
      <c r="C103" s="36">
        <v>8940.0</v>
      </c>
      <c r="D103" s="36">
        <v>120.0</v>
      </c>
      <c r="E103" s="38">
        <v>6.9</v>
      </c>
      <c r="F103" s="38">
        <f t="shared" si="2"/>
        <v>828</v>
      </c>
      <c r="G103" s="36" t="s">
        <v>667</v>
      </c>
      <c r="H103" s="36" t="s">
        <v>668</v>
      </c>
      <c r="I103" s="36" t="s">
        <v>41</v>
      </c>
      <c r="J103" s="36" t="s">
        <v>34</v>
      </c>
      <c r="K103" s="36" t="s">
        <v>35</v>
      </c>
      <c r="L103" s="36" t="s">
        <v>96</v>
      </c>
      <c r="M103" s="36">
        <v>31.0</v>
      </c>
      <c r="N103" s="36"/>
      <c r="O103" s="45">
        <v>46092.0</v>
      </c>
      <c r="P103" s="34"/>
      <c r="Q103" s="34"/>
      <c r="R103" s="34"/>
      <c r="S103" s="34"/>
    </row>
    <row r="104" ht="15.75" hidden="1" customHeight="1">
      <c r="B104" s="34">
        <v>46090.0</v>
      </c>
      <c r="C104" s="36">
        <v>8940.0</v>
      </c>
      <c r="D104" s="36">
        <v>100.0</v>
      </c>
      <c r="E104" s="38">
        <v>8.99</v>
      </c>
      <c r="F104" s="38">
        <f t="shared" si="2"/>
        <v>899</v>
      </c>
      <c r="G104" s="36" t="s">
        <v>670</v>
      </c>
      <c r="H104" s="36" t="s">
        <v>671</v>
      </c>
      <c r="I104" s="36" t="s">
        <v>41</v>
      </c>
      <c r="J104" s="36" t="s">
        <v>34</v>
      </c>
      <c r="K104" s="36" t="s">
        <v>35</v>
      </c>
      <c r="L104" s="36" t="s">
        <v>96</v>
      </c>
      <c r="M104" s="36">
        <v>31.0</v>
      </c>
      <c r="N104" s="36"/>
      <c r="O104" s="45">
        <v>46092.0</v>
      </c>
      <c r="P104" s="34"/>
      <c r="Q104" s="34"/>
      <c r="R104" s="34"/>
      <c r="S104" s="34"/>
    </row>
    <row r="105" ht="15.75" customHeight="1">
      <c r="B105" s="34">
        <v>46090.0</v>
      </c>
      <c r="C105" s="36">
        <v>78291.0</v>
      </c>
      <c r="D105" s="36">
        <v>20.0</v>
      </c>
      <c r="E105" s="38">
        <v>26.0</v>
      </c>
      <c r="F105" s="38">
        <f t="shared" si="2"/>
        <v>520</v>
      </c>
      <c r="G105" s="36" t="s">
        <v>676</v>
      </c>
      <c r="H105" s="36" t="s">
        <v>678</v>
      </c>
      <c r="I105" s="36" t="s">
        <v>59</v>
      </c>
      <c r="J105" s="36" t="s">
        <v>34</v>
      </c>
      <c r="K105" s="36" t="s">
        <v>35</v>
      </c>
      <c r="L105" s="36" t="s">
        <v>353</v>
      </c>
      <c r="M105" s="36">
        <v>31.0</v>
      </c>
      <c r="N105" s="36"/>
      <c r="O105" s="45">
        <v>46092.0</v>
      </c>
      <c r="P105" s="34"/>
      <c r="Q105" s="34"/>
      <c r="R105" s="34"/>
      <c r="S105" s="34"/>
    </row>
    <row r="106" ht="15.75" customHeight="1">
      <c r="B106" s="34">
        <v>46090.0</v>
      </c>
      <c r="C106" s="36">
        <v>78291.0</v>
      </c>
      <c r="D106" s="36">
        <v>5980.0</v>
      </c>
      <c r="E106" s="38">
        <v>26.0</v>
      </c>
      <c r="F106" s="38">
        <f t="shared" si="2"/>
        <v>155480</v>
      </c>
      <c r="G106" s="36" t="s">
        <v>676</v>
      </c>
      <c r="H106" s="36" t="s">
        <v>678</v>
      </c>
      <c r="I106" s="36" t="s">
        <v>59</v>
      </c>
      <c r="J106" s="36" t="s">
        <v>40</v>
      </c>
      <c r="K106" s="36" t="s">
        <v>35</v>
      </c>
      <c r="L106" s="36" t="s">
        <v>353</v>
      </c>
      <c r="M106" s="36">
        <v>31.0</v>
      </c>
      <c r="N106" s="36"/>
      <c r="O106" s="45">
        <v>46092.0</v>
      </c>
      <c r="P106" s="34"/>
      <c r="Q106" s="34"/>
      <c r="R106" s="34"/>
      <c r="S106" s="34"/>
    </row>
    <row r="107" ht="15.75" customHeight="1">
      <c r="B107" s="34">
        <v>46090.0</v>
      </c>
      <c r="C107" s="36">
        <v>78291.0</v>
      </c>
      <c r="D107" s="36">
        <v>2000.0</v>
      </c>
      <c r="E107" s="38">
        <v>6.0</v>
      </c>
      <c r="F107" s="38">
        <f t="shared" si="2"/>
        <v>12000</v>
      </c>
      <c r="G107" s="36" t="s">
        <v>685</v>
      </c>
      <c r="H107" s="36" t="s">
        <v>686</v>
      </c>
      <c r="I107" s="36" t="s">
        <v>59</v>
      </c>
      <c r="J107" s="36" t="s">
        <v>40</v>
      </c>
      <c r="K107" s="36" t="s">
        <v>35</v>
      </c>
      <c r="L107" s="36" t="s">
        <v>353</v>
      </c>
      <c r="M107" s="36">
        <v>31.0</v>
      </c>
      <c r="N107" s="36"/>
      <c r="O107" s="36"/>
      <c r="P107" s="34"/>
      <c r="Q107" s="34"/>
      <c r="R107" s="34"/>
      <c r="S107" s="34"/>
    </row>
    <row r="108" ht="15.75" hidden="1" customHeight="1">
      <c r="B108" s="34">
        <v>46090.0</v>
      </c>
      <c r="C108" s="59">
        <v>58257.0</v>
      </c>
      <c r="D108" s="36">
        <v>97.0</v>
      </c>
      <c r="E108" s="38">
        <v>5.1759</v>
      </c>
      <c r="F108" s="38">
        <f t="shared" si="2"/>
        <v>502.0623</v>
      </c>
      <c r="G108" s="36" t="s">
        <v>695</v>
      </c>
      <c r="H108" s="36" t="s">
        <v>696</v>
      </c>
      <c r="I108" s="36" t="s">
        <v>221</v>
      </c>
      <c r="J108" s="36" t="s">
        <v>40</v>
      </c>
      <c r="K108" s="36" t="s">
        <v>35</v>
      </c>
      <c r="L108" s="36" t="s">
        <v>698</v>
      </c>
      <c r="M108" s="36">
        <v>1.0</v>
      </c>
      <c r="N108" s="36"/>
      <c r="O108" s="45">
        <v>46097.0</v>
      </c>
      <c r="P108" s="34"/>
      <c r="Q108" s="34"/>
      <c r="R108" s="34"/>
      <c r="S108" s="34"/>
    </row>
    <row r="109" ht="15.75" hidden="1" customHeight="1">
      <c r="B109" s="34">
        <v>46090.0</v>
      </c>
      <c r="C109" s="59">
        <v>58257.0</v>
      </c>
      <c r="D109" s="36">
        <v>3.0</v>
      </c>
      <c r="E109" s="38">
        <v>5.1759</v>
      </c>
      <c r="F109" s="38">
        <f t="shared" si="2"/>
        <v>15.5277</v>
      </c>
      <c r="G109" s="36" t="s">
        <v>695</v>
      </c>
      <c r="H109" s="36" t="s">
        <v>696</v>
      </c>
      <c r="I109" s="36" t="s">
        <v>221</v>
      </c>
      <c r="J109" s="36" t="s">
        <v>34</v>
      </c>
      <c r="K109" s="36" t="s">
        <v>35</v>
      </c>
      <c r="L109" s="36" t="s">
        <v>698</v>
      </c>
      <c r="M109" s="36">
        <v>1.0</v>
      </c>
      <c r="N109" s="36"/>
      <c r="O109" s="45">
        <v>46097.0</v>
      </c>
      <c r="P109" s="34"/>
      <c r="Q109" s="34"/>
      <c r="R109" s="34"/>
      <c r="S109" s="34"/>
    </row>
    <row r="110" ht="15.75" hidden="1" customHeight="1">
      <c r="B110" s="34">
        <v>46090.0</v>
      </c>
      <c r="C110" s="59">
        <v>58257.0</v>
      </c>
      <c r="D110" s="36">
        <v>97.0</v>
      </c>
      <c r="E110" s="38">
        <v>8.4593</v>
      </c>
      <c r="F110" s="38">
        <f t="shared" si="2"/>
        <v>820.5521</v>
      </c>
      <c r="G110" s="36" t="s">
        <v>710</v>
      </c>
      <c r="H110" s="36" t="s">
        <v>712</v>
      </c>
      <c r="I110" s="36" t="s">
        <v>221</v>
      </c>
      <c r="J110" s="36" t="s">
        <v>40</v>
      </c>
      <c r="K110" s="36" t="s">
        <v>35</v>
      </c>
      <c r="L110" s="36" t="s">
        <v>698</v>
      </c>
      <c r="M110" s="36">
        <v>1.0</v>
      </c>
      <c r="N110" s="36"/>
      <c r="O110" s="45">
        <v>46097.0</v>
      </c>
      <c r="P110" s="34"/>
      <c r="Q110" s="34"/>
      <c r="R110" s="34"/>
      <c r="S110" s="34"/>
    </row>
    <row r="111" ht="15.75" hidden="1" customHeight="1">
      <c r="B111" s="34">
        <v>46090.0</v>
      </c>
      <c r="C111" s="59">
        <v>58257.0</v>
      </c>
      <c r="D111" s="36">
        <v>3.0</v>
      </c>
      <c r="E111" s="38">
        <v>8.4593</v>
      </c>
      <c r="F111" s="38">
        <f t="shared" si="2"/>
        <v>25.3779</v>
      </c>
      <c r="G111" s="36" t="s">
        <v>710</v>
      </c>
      <c r="H111" s="36" t="s">
        <v>712</v>
      </c>
      <c r="I111" s="36" t="s">
        <v>221</v>
      </c>
      <c r="J111" s="36" t="s">
        <v>34</v>
      </c>
      <c r="K111" s="36" t="s">
        <v>35</v>
      </c>
      <c r="L111" s="36" t="s">
        <v>698</v>
      </c>
      <c r="M111" s="36">
        <v>1.0</v>
      </c>
      <c r="N111" s="36"/>
      <c r="O111" s="45">
        <v>46097.0</v>
      </c>
      <c r="P111" s="34"/>
      <c r="Q111" s="34"/>
      <c r="R111" s="34"/>
      <c r="S111" s="34"/>
    </row>
    <row r="112" ht="15.75" hidden="1" customHeight="1">
      <c r="B112" s="34">
        <v>46090.0</v>
      </c>
      <c r="C112" s="59">
        <v>58257.0</v>
      </c>
      <c r="D112" s="36">
        <v>97.0</v>
      </c>
      <c r="E112" s="38">
        <v>5.5484</v>
      </c>
      <c r="F112" s="38">
        <f t="shared" si="2"/>
        <v>538.1948</v>
      </c>
      <c r="G112" s="36" t="s">
        <v>722</v>
      </c>
      <c r="H112" s="36" t="s">
        <v>724</v>
      </c>
      <c r="I112" s="36" t="s">
        <v>221</v>
      </c>
      <c r="J112" s="36" t="s">
        <v>40</v>
      </c>
      <c r="K112" s="36" t="s">
        <v>35</v>
      </c>
      <c r="L112" s="36" t="s">
        <v>698</v>
      </c>
      <c r="M112" s="36">
        <v>1.0</v>
      </c>
      <c r="N112" s="36"/>
      <c r="O112" s="45">
        <v>46097.0</v>
      </c>
      <c r="P112" s="34"/>
      <c r="Q112" s="34"/>
      <c r="R112" s="34"/>
      <c r="S112" s="34"/>
    </row>
    <row r="113" ht="15.75" hidden="1" customHeight="1">
      <c r="B113" s="34">
        <v>46090.0</v>
      </c>
      <c r="C113" s="59">
        <v>58257.0</v>
      </c>
      <c r="D113" s="36">
        <v>3.0</v>
      </c>
      <c r="E113" s="38">
        <v>5.5484</v>
      </c>
      <c r="F113" s="38">
        <f t="shared" si="2"/>
        <v>16.6452</v>
      </c>
      <c r="G113" s="36" t="s">
        <v>722</v>
      </c>
      <c r="H113" s="36" t="s">
        <v>724</v>
      </c>
      <c r="I113" s="36" t="s">
        <v>221</v>
      </c>
      <c r="J113" s="36" t="s">
        <v>34</v>
      </c>
      <c r="K113" s="36" t="s">
        <v>35</v>
      </c>
      <c r="L113" s="36" t="s">
        <v>698</v>
      </c>
      <c r="M113" s="36">
        <v>1.0</v>
      </c>
      <c r="N113" s="36"/>
      <c r="O113" s="45">
        <v>46097.0</v>
      </c>
      <c r="P113" s="34"/>
      <c r="Q113" s="34"/>
      <c r="R113" s="34"/>
      <c r="S113" s="34"/>
    </row>
    <row r="114" ht="15.75" hidden="1" customHeight="1">
      <c r="B114" s="34">
        <v>46090.0</v>
      </c>
      <c r="C114" s="59">
        <v>58257.0</v>
      </c>
      <c r="D114" s="36">
        <v>98.0</v>
      </c>
      <c r="E114" s="38">
        <v>2.1671</v>
      </c>
      <c r="F114" s="38">
        <f t="shared" si="2"/>
        <v>212.3758</v>
      </c>
      <c r="G114" s="36" t="s">
        <v>734</v>
      </c>
      <c r="H114" s="36" t="s">
        <v>735</v>
      </c>
      <c r="I114" s="36" t="s">
        <v>221</v>
      </c>
      <c r="J114" s="36" t="s">
        <v>40</v>
      </c>
      <c r="K114" s="36" t="s">
        <v>35</v>
      </c>
      <c r="L114" s="36" t="s">
        <v>698</v>
      </c>
      <c r="M114" s="36">
        <v>1.0</v>
      </c>
      <c r="N114" s="36"/>
      <c r="O114" s="45">
        <v>46097.0</v>
      </c>
      <c r="P114" s="34"/>
      <c r="Q114" s="34"/>
      <c r="R114" s="34"/>
      <c r="S114" s="34"/>
    </row>
    <row r="115" ht="15.75" hidden="1" customHeight="1">
      <c r="B115" s="34">
        <v>46090.0</v>
      </c>
      <c r="C115" s="59">
        <v>58257.0</v>
      </c>
      <c r="D115" s="36">
        <v>2.0</v>
      </c>
      <c r="E115" s="38">
        <v>2.1671</v>
      </c>
      <c r="F115" s="38">
        <f t="shared" si="2"/>
        <v>4.3342</v>
      </c>
      <c r="G115" s="36" t="s">
        <v>734</v>
      </c>
      <c r="H115" s="36" t="s">
        <v>735</v>
      </c>
      <c r="I115" s="36" t="s">
        <v>221</v>
      </c>
      <c r="J115" s="36" t="s">
        <v>34</v>
      </c>
      <c r="K115" s="36" t="s">
        <v>35</v>
      </c>
      <c r="L115" s="36" t="s">
        <v>698</v>
      </c>
      <c r="M115" s="36">
        <v>1.0</v>
      </c>
      <c r="N115" s="36"/>
      <c r="O115" s="45">
        <v>46097.0</v>
      </c>
      <c r="P115" s="34"/>
      <c r="Q115" s="34"/>
      <c r="R115" s="34"/>
      <c r="S115" s="34"/>
    </row>
    <row r="116" ht="15.75" hidden="1" customHeight="1">
      <c r="B116" s="34">
        <v>46091.0</v>
      </c>
      <c r="C116" s="36">
        <v>2968.0</v>
      </c>
      <c r="D116" s="36">
        <v>64.0</v>
      </c>
      <c r="E116" s="38">
        <v>135.0</v>
      </c>
      <c r="F116" s="38">
        <f t="shared" si="2"/>
        <v>8640</v>
      </c>
      <c r="G116" s="36" t="s">
        <v>741</v>
      </c>
      <c r="H116" s="36" t="s">
        <v>744</v>
      </c>
      <c r="I116" s="36" t="s">
        <v>32</v>
      </c>
      <c r="J116" s="36" t="s">
        <v>40</v>
      </c>
      <c r="K116" s="36" t="s">
        <v>35</v>
      </c>
      <c r="L116" s="36" t="s">
        <v>62</v>
      </c>
      <c r="M116" s="36">
        <v>1.0</v>
      </c>
      <c r="N116" s="36"/>
      <c r="O116" s="36"/>
      <c r="P116" s="34"/>
      <c r="Q116" s="34"/>
      <c r="R116" s="34"/>
      <c r="S116" s="34"/>
    </row>
    <row r="117" ht="15.75" hidden="1" customHeight="1">
      <c r="B117" s="34">
        <v>46091.0</v>
      </c>
      <c r="C117" s="36">
        <v>2968.0</v>
      </c>
      <c r="D117" s="36">
        <v>32.0</v>
      </c>
      <c r="E117" s="38">
        <v>405.0</v>
      </c>
      <c r="F117" s="38">
        <f t="shared" si="2"/>
        <v>12960</v>
      </c>
      <c r="G117" s="36" t="s">
        <v>748</v>
      </c>
      <c r="H117" s="36" t="s">
        <v>750</v>
      </c>
      <c r="I117" s="36" t="s">
        <v>32</v>
      </c>
      <c r="J117" s="36" t="s">
        <v>34</v>
      </c>
      <c r="K117" s="36" t="s">
        <v>35</v>
      </c>
      <c r="L117" s="36" t="s">
        <v>62</v>
      </c>
      <c r="M117" s="36">
        <v>1.0</v>
      </c>
      <c r="N117" s="36"/>
      <c r="O117" s="36"/>
      <c r="P117" s="34"/>
      <c r="Q117" s="34"/>
      <c r="R117" s="34"/>
      <c r="S117" s="34"/>
    </row>
    <row r="118" ht="15.75" hidden="1" customHeight="1">
      <c r="B118" s="34">
        <v>46091.0</v>
      </c>
      <c r="C118" s="36">
        <v>2967.0</v>
      </c>
      <c r="D118" s="36">
        <v>100.0</v>
      </c>
      <c r="E118" s="38">
        <v>45.0</v>
      </c>
      <c r="F118" s="38">
        <f t="shared" si="2"/>
        <v>4500</v>
      </c>
      <c r="G118" s="36" t="s">
        <v>754</v>
      </c>
      <c r="H118" s="36" t="s">
        <v>755</v>
      </c>
      <c r="I118" s="36" t="s">
        <v>174</v>
      </c>
      <c r="J118" s="36" t="s">
        <v>175</v>
      </c>
      <c r="K118" s="36" t="s">
        <v>35</v>
      </c>
      <c r="L118" s="36" t="s">
        <v>62</v>
      </c>
      <c r="M118" s="36">
        <v>1.0</v>
      </c>
      <c r="N118" s="36"/>
      <c r="O118" s="36"/>
      <c r="P118" s="34"/>
      <c r="Q118" s="34"/>
      <c r="R118" s="34"/>
      <c r="S118" s="34"/>
    </row>
    <row r="119" ht="15.75" hidden="1" customHeight="1">
      <c r="B119" s="34">
        <v>46091.0</v>
      </c>
      <c r="C119" s="36" t="s">
        <v>35</v>
      </c>
      <c r="D119" s="36">
        <v>4.0</v>
      </c>
      <c r="E119" s="38">
        <v>650.0</v>
      </c>
      <c r="F119" s="38">
        <f t="shared" si="2"/>
        <v>2600</v>
      </c>
      <c r="G119" s="36" t="s">
        <v>758</v>
      </c>
      <c r="H119" s="36" t="s">
        <v>35</v>
      </c>
      <c r="I119" s="36" t="s">
        <v>300</v>
      </c>
      <c r="J119" s="36" t="s">
        <v>34</v>
      </c>
      <c r="K119" s="36" t="s">
        <v>35</v>
      </c>
      <c r="L119" s="36" t="s">
        <v>314</v>
      </c>
      <c r="M119" s="36">
        <v>1.0</v>
      </c>
      <c r="N119" s="36"/>
      <c r="O119" s="36"/>
      <c r="P119" s="34"/>
      <c r="Q119" s="34"/>
      <c r="R119" s="34"/>
      <c r="S119" s="34"/>
    </row>
    <row r="120" ht="15.75" hidden="1" customHeight="1">
      <c r="B120" s="34">
        <v>46091.0</v>
      </c>
      <c r="C120" s="36">
        <v>910098.0</v>
      </c>
      <c r="D120" s="36">
        <v>100.0</v>
      </c>
      <c r="E120" s="38">
        <v>127.95</v>
      </c>
      <c r="F120" s="38">
        <f t="shared" si="2"/>
        <v>12795</v>
      </c>
      <c r="G120" s="36" t="s">
        <v>763</v>
      </c>
      <c r="H120" s="36">
        <v>67811.0</v>
      </c>
      <c r="I120" s="36" t="s">
        <v>77</v>
      </c>
      <c r="J120" s="50" t="s">
        <v>79</v>
      </c>
      <c r="K120" s="36" t="s">
        <v>35</v>
      </c>
      <c r="L120" s="36" t="s">
        <v>43</v>
      </c>
      <c r="M120" s="36">
        <v>1.0</v>
      </c>
      <c r="N120" s="36"/>
      <c r="O120" s="36"/>
      <c r="P120" s="34"/>
      <c r="Q120" s="34">
        <v>46121.0</v>
      </c>
      <c r="R120" s="34">
        <v>46151.0</v>
      </c>
      <c r="S120" s="35"/>
    </row>
    <row r="121" ht="15.75" hidden="1" customHeight="1">
      <c r="B121" s="34">
        <v>46091.0</v>
      </c>
      <c r="C121" s="36">
        <v>2980.0</v>
      </c>
      <c r="D121" s="36">
        <v>6.0</v>
      </c>
      <c r="E121" s="38">
        <v>774.0</v>
      </c>
      <c r="F121" s="38">
        <f t="shared" si="2"/>
        <v>4644</v>
      </c>
      <c r="G121" s="36" t="s">
        <v>768</v>
      </c>
      <c r="H121" s="36" t="s">
        <v>769</v>
      </c>
      <c r="I121" s="36" t="s">
        <v>59</v>
      </c>
      <c r="J121" s="36" t="s">
        <v>34</v>
      </c>
      <c r="K121" s="36" t="s">
        <v>35</v>
      </c>
      <c r="L121" s="36" t="s">
        <v>62</v>
      </c>
      <c r="M121" s="36">
        <v>31.0</v>
      </c>
      <c r="N121" s="36"/>
      <c r="O121" s="45">
        <v>46091.0</v>
      </c>
      <c r="P121" s="34"/>
      <c r="Q121" s="34"/>
      <c r="R121" s="34"/>
      <c r="S121" s="34"/>
    </row>
    <row r="122" ht="15.75" hidden="1" customHeight="1">
      <c r="B122" s="34">
        <v>46091.0</v>
      </c>
      <c r="C122" s="36">
        <v>2980.0</v>
      </c>
      <c r="D122" s="36">
        <v>10.0</v>
      </c>
      <c r="E122" s="38">
        <v>738.0</v>
      </c>
      <c r="F122" s="38">
        <f t="shared" si="2"/>
        <v>7380</v>
      </c>
      <c r="G122" s="36" t="s">
        <v>768</v>
      </c>
      <c r="H122" s="36" t="s">
        <v>771</v>
      </c>
      <c r="I122" s="36" t="s">
        <v>59</v>
      </c>
      <c r="J122" s="36" t="s">
        <v>34</v>
      </c>
      <c r="K122" s="36" t="s">
        <v>35</v>
      </c>
      <c r="L122" s="36" t="s">
        <v>62</v>
      </c>
      <c r="M122" s="36">
        <v>31.0</v>
      </c>
      <c r="N122" s="36"/>
      <c r="O122" s="45">
        <v>46091.0</v>
      </c>
      <c r="P122" s="34"/>
      <c r="Q122" s="34"/>
      <c r="R122" s="34"/>
      <c r="S122" s="34"/>
    </row>
    <row r="123" ht="15.75" hidden="1" customHeight="1">
      <c r="B123" s="34">
        <v>46091.0</v>
      </c>
      <c r="C123" s="36">
        <v>2984.0</v>
      </c>
      <c r="D123" s="36">
        <v>20.0</v>
      </c>
      <c r="E123" s="38">
        <v>342.0</v>
      </c>
      <c r="F123" s="38">
        <f t="shared" si="2"/>
        <v>6840</v>
      </c>
      <c r="G123" s="36" t="s">
        <v>774</v>
      </c>
      <c r="H123" s="36" t="s">
        <v>775</v>
      </c>
      <c r="I123" s="36" t="s">
        <v>59</v>
      </c>
      <c r="J123" s="36" t="s">
        <v>34</v>
      </c>
      <c r="K123" s="36" t="s">
        <v>35</v>
      </c>
      <c r="L123" s="36" t="s">
        <v>62</v>
      </c>
      <c r="M123" s="36">
        <v>31.0</v>
      </c>
      <c r="N123" s="36"/>
      <c r="O123" s="45">
        <v>46091.0</v>
      </c>
      <c r="P123" s="34"/>
      <c r="Q123" s="34"/>
      <c r="R123" s="34"/>
      <c r="S123" s="34"/>
    </row>
    <row r="124" ht="15.75" hidden="1" customHeight="1">
      <c r="B124" s="34">
        <v>46091.0</v>
      </c>
      <c r="C124" s="36">
        <v>2985.0</v>
      </c>
      <c r="D124" s="36">
        <v>20.0</v>
      </c>
      <c r="E124" s="38">
        <v>738.0</v>
      </c>
      <c r="F124" s="38">
        <f t="shared" si="2"/>
        <v>14760</v>
      </c>
      <c r="G124" s="36" t="s">
        <v>777</v>
      </c>
      <c r="H124" s="36" t="s">
        <v>771</v>
      </c>
      <c r="I124" s="36" t="s">
        <v>41</v>
      </c>
      <c r="J124" s="36" t="s">
        <v>34</v>
      </c>
      <c r="K124" s="36" t="s">
        <v>35</v>
      </c>
      <c r="L124" s="36" t="s">
        <v>62</v>
      </c>
      <c r="M124" s="36">
        <v>1.0</v>
      </c>
      <c r="N124" s="36"/>
      <c r="O124" s="36"/>
      <c r="P124" s="34"/>
      <c r="Q124" s="34"/>
      <c r="R124" s="34"/>
      <c r="S124" s="34"/>
    </row>
    <row r="125" ht="15.75" hidden="1" customHeight="1">
      <c r="B125" s="34">
        <v>46091.0</v>
      </c>
      <c r="C125" s="36">
        <v>2970.0</v>
      </c>
      <c r="D125" s="36">
        <v>20.0</v>
      </c>
      <c r="E125" s="38">
        <v>61.2</v>
      </c>
      <c r="F125" s="38">
        <f t="shared" si="2"/>
        <v>1224</v>
      </c>
      <c r="G125" s="36" t="s">
        <v>780</v>
      </c>
      <c r="H125" s="36" t="s">
        <v>781</v>
      </c>
      <c r="I125" s="36" t="s">
        <v>41</v>
      </c>
      <c r="J125" s="36" t="s">
        <v>34</v>
      </c>
      <c r="K125" s="36" t="s">
        <v>35</v>
      </c>
      <c r="L125" s="36" t="s">
        <v>62</v>
      </c>
      <c r="M125" s="36">
        <v>1.0</v>
      </c>
      <c r="N125" s="36"/>
      <c r="O125" s="36"/>
      <c r="P125" s="34"/>
      <c r="Q125" s="34"/>
      <c r="R125" s="34"/>
      <c r="S125" s="34"/>
    </row>
    <row r="126" ht="15.75" hidden="1" customHeight="1">
      <c r="B126" s="34">
        <v>46091.0</v>
      </c>
      <c r="C126" s="36">
        <v>1202.0</v>
      </c>
      <c r="D126" s="36">
        <v>5.0</v>
      </c>
      <c r="E126" s="38">
        <v>360.0</v>
      </c>
      <c r="F126" s="38">
        <f t="shared" si="2"/>
        <v>1800</v>
      </c>
      <c r="G126" s="36" t="s">
        <v>786</v>
      </c>
      <c r="H126" s="36" t="s">
        <v>450</v>
      </c>
      <c r="I126" s="36" t="s">
        <v>59</v>
      </c>
      <c r="J126" s="36" t="s">
        <v>34</v>
      </c>
      <c r="K126" s="36" t="s">
        <v>35</v>
      </c>
      <c r="L126" s="36" t="s">
        <v>151</v>
      </c>
      <c r="M126" s="36">
        <v>31.0</v>
      </c>
      <c r="N126" s="36"/>
      <c r="O126" s="45">
        <v>46091.0</v>
      </c>
      <c r="P126" s="34"/>
      <c r="Q126" s="34"/>
      <c r="R126" s="34"/>
      <c r="S126" s="34"/>
    </row>
    <row r="127" ht="15.75" hidden="1" customHeight="1">
      <c r="B127" s="34">
        <v>46091.0</v>
      </c>
      <c r="C127" s="36">
        <v>1202.0</v>
      </c>
      <c r="D127" s="36">
        <v>5.0</v>
      </c>
      <c r="E127" s="38">
        <v>285.0</v>
      </c>
      <c r="F127" s="38">
        <f t="shared" si="2"/>
        <v>1425</v>
      </c>
      <c r="G127" s="36" t="s">
        <v>786</v>
      </c>
      <c r="H127" s="36" t="s">
        <v>790</v>
      </c>
      <c r="I127" s="36" t="s">
        <v>59</v>
      </c>
      <c r="J127" s="36" t="s">
        <v>34</v>
      </c>
      <c r="K127" s="36" t="s">
        <v>35</v>
      </c>
      <c r="L127" s="36" t="s">
        <v>151</v>
      </c>
      <c r="M127" s="36">
        <v>31.0</v>
      </c>
      <c r="N127" s="36"/>
      <c r="O127" s="45">
        <v>46091.0</v>
      </c>
      <c r="P127" s="34"/>
      <c r="Q127" s="34"/>
      <c r="R127" s="34"/>
      <c r="S127" s="34"/>
    </row>
    <row r="128" ht="15.75" hidden="1" customHeight="1">
      <c r="B128" s="34">
        <v>46091.0</v>
      </c>
      <c r="C128" s="36">
        <v>1202.0</v>
      </c>
      <c r="D128" s="36">
        <v>5.0</v>
      </c>
      <c r="E128" s="38">
        <v>290.0</v>
      </c>
      <c r="F128" s="38">
        <f t="shared" si="2"/>
        <v>1450</v>
      </c>
      <c r="G128" s="36" t="s">
        <v>786</v>
      </c>
      <c r="H128" s="36" t="s">
        <v>729</v>
      </c>
      <c r="I128" s="36" t="s">
        <v>59</v>
      </c>
      <c r="J128" s="36" t="s">
        <v>34</v>
      </c>
      <c r="K128" s="36" t="s">
        <v>35</v>
      </c>
      <c r="L128" s="36" t="s">
        <v>151</v>
      </c>
      <c r="M128" s="36">
        <v>31.0</v>
      </c>
      <c r="N128" s="36"/>
      <c r="O128" s="36"/>
      <c r="P128" s="34"/>
      <c r="Q128" s="34"/>
      <c r="R128" s="34"/>
      <c r="S128" s="34"/>
    </row>
    <row r="129" ht="15.75" hidden="1" customHeight="1">
      <c r="B129" s="34">
        <v>46091.0</v>
      </c>
      <c r="C129" s="36" t="s">
        <v>35</v>
      </c>
      <c r="D129" s="36">
        <v>100.0</v>
      </c>
      <c r="E129" s="38">
        <v>345.0</v>
      </c>
      <c r="F129" s="38">
        <f t="shared" si="2"/>
        <v>34500</v>
      </c>
      <c r="G129" s="36" t="s">
        <v>797</v>
      </c>
      <c r="H129" s="36" t="s">
        <v>35</v>
      </c>
      <c r="I129" s="36" t="s">
        <v>59</v>
      </c>
      <c r="J129" s="36" t="s">
        <v>34</v>
      </c>
      <c r="K129" s="36" t="s">
        <v>35</v>
      </c>
      <c r="L129" s="36" t="s">
        <v>799</v>
      </c>
      <c r="M129" s="36">
        <v>31.0</v>
      </c>
      <c r="N129" s="36"/>
      <c r="O129" s="45">
        <v>46093.0</v>
      </c>
      <c r="P129" s="34"/>
      <c r="Q129" s="34"/>
      <c r="R129" s="34"/>
      <c r="S129" s="34"/>
    </row>
    <row r="130" ht="15.75" hidden="1" customHeight="1">
      <c r="B130" s="34">
        <v>46091.0</v>
      </c>
      <c r="C130" s="36">
        <v>6050.0</v>
      </c>
      <c r="D130" s="36">
        <v>100.0</v>
      </c>
      <c r="E130" s="38">
        <v>25.95</v>
      </c>
      <c r="F130" s="38">
        <f t="shared" si="2"/>
        <v>2595</v>
      </c>
      <c r="G130" s="36" t="s">
        <v>802</v>
      </c>
      <c r="H130" s="36" t="s">
        <v>804</v>
      </c>
      <c r="I130" s="36" t="s">
        <v>77</v>
      </c>
      <c r="J130" s="36" t="s">
        <v>79</v>
      </c>
      <c r="K130" s="36" t="s">
        <v>35</v>
      </c>
      <c r="L130" s="36" t="s">
        <v>279</v>
      </c>
      <c r="M130" s="36">
        <v>1.0</v>
      </c>
      <c r="N130" s="36"/>
      <c r="O130" s="36"/>
      <c r="P130" s="34"/>
      <c r="Q130" s="34"/>
      <c r="R130" s="34"/>
      <c r="S130" s="34"/>
    </row>
    <row r="131" ht="15.75" hidden="1" customHeight="1">
      <c r="B131" s="34">
        <v>46091.0</v>
      </c>
      <c r="C131" s="36" t="s">
        <v>35</v>
      </c>
      <c r="D131" s="36">
        <v>233.0</v>
      </c>
      <c r="E131" s="38">
        <v>110.0</v>
      </c>
      <c r="F131" s="38">
        <f t="shared" si="2"/>
        <v>25630</v>
      </c>
      <c r="G131" s="36" t="s">
        <v>809</v>
      </c>
      <c r="H131" s="36" t="s">
        <v>35</v>
      </c>
      <c r="I131" s="36" t="s">
        <v>41</v>
      </c>
      <c r="J131" s="36" t="s">
        <v>40</v>
      </c>
      <c r="K131" s="36" t="s">
        <v>35</v>
      </c>
      <c r="L131" s="36" t="s">
        <v>810</v>
      </c>
      <c r="M131" s="36">
        <v>31.0</v>
      </c>
      <c r="N131" s="36"/>
      <c r="O131" s="36"/>
      <c r="P131" s="34"/>
      <c r="Q131" s="34"/>
      <c r="R131" s="34"/>
      <c r="S131" s="34"/>
    </row>
    <row r="132" ht="15.75" hidden="1" customHeight="1">
      <c r="B132" s="34">
        <v>46091.0</v>
      </c>
      <c r="C132" s="36" t="s">
        <v>35</v>
      </c>
      <c r="D132" s="36">
        <v>1000.0</v>
      </c>
      <c r="E132" s="38">
        <v>17.0</v>
      </c>
      <c r="F132" s="38">
        <f t="shared" si="2"/>
        <v>17000</v>
      </c>
      <c r="G132" s="36" t="s">
        <v>812</v>
      </c>
      <c r="H132" s="36" t="s">
        <v>813</v>
      </c>
      <c r="I132" s="36" t="s">
        <v>32</v>
      </c>
      <c r="J132" s="36" t="s">
        <v>40</v>
      </c>
      <c r="K132" s="36" t="s">
        <v>35</v>
      </c>
      <c r="L132" s="36" t="s">
        <v>308</v>
      </c>
      <c r="M132" s="36">
        <v>1.0</v>
      </c>
      <c r="N132" s="36"/>
      <c r="O132" s="45">
        <v>46097.0</v>
      </c>
      <c r="P132" s="34"/>
      <c r="Q132" s="34"/>
      <c r="R132" s="34"/>
      <c r="S132" s="34"/>
    </row>
    <row r="133" ht="15.75" hidden="1" customHeight="1">
      <c r="B133" s="34">
        <v>46091.0</v>
      </c>
      <c r="C133" s="36" t="s">
        <v>35</v>
      </c>
      <c r="D133" s="36">
        <v>296.0</v>
      </c>
      <c r="E133" s="38">
        <v>17.0</v>
      </c>
      <c r="F133" s="38">
        <f t="shared" si="2"/>
        <v>5032</v>
      </c>
      <c r="G133" s="36" t="s">
        <v>812</v>
      </c>
      <c r="H133" s="36" t="s">
        <v>813</v>
      </c>
      <c r="I133" s="36" t="s">
        <v>32</v>
      </c>
      <c r="J133" s="36" t="s">
        <v>40</v>
      </c>
      <c r="K133" s="36" t="s">
        <v>35</v>
      </c>
      <c r="L133" s="36" t="s">
        <v>308</v>
      </c>
      <c r="M133" s="36">
        <v>1.0</v>
      </c>
      <c r="N133" s="36"/>
      <c r="O133" s="45">
        <v>46097.0</v>
      </c>
      <c r="P133" s="34"/>
      <c r="Q133" s="34"/>
      <c r="R133" s="34"/>
      <c r="S133" s="34"/>
    </row>
    <row r="134" ht="15.75" hidden="1" customHeight="1">
      <c r="B134" s="34">
        <v>46091.0</v>
      </c>
      <c r="C134" s="36">
        <v>31651.0</v>
      </c>
      <c r="D134" s="36">
        <v>40.0</v>
      </c>
      <c r="E134" s="38">
        <v>85.0</v>
      </c>
      <c r="F134" s="38">
        <f t="shared" si="2"/>
        <v>3400</v>
      </c>
      <c r="G134" s="36" t="s">
        <v>818</v>
      </c>
      <c r="H134" s="36">
        <v>3570.0</v>
      </c>
      <c r="I134" s="36" t="s">
        <v>32</v>
      </c>
      <c r="J134" s="36" t="s">
        <v>34</v>
      </c>
      <c r="K134" s="36" t="s">
        <v>35</v>
      </c>
      <c r="L134" s="36" t="s">
        <v>254</v>
      </c>
      <c r="M134" s="36">
        <v>1.0</v>
      </c>
      <c r="N134" s="36"/>
      <c r="O134" s="36"/>
      <c r="P134" s="34"/>
      <c r="Q134" s="34"/>
      <c r="R134" s="34"/>
      <c r="S134" s="34"/>
    </row>
    <row r="135" ht="15.75" hidden="1" customHeight="1">
      <c r="B135" s="34">
        <v>46091.0</v>
      </c>
      <c r="C135" s="36">
        <v>31651.0</v>
      </c>
      <c r="D135" s="36">
        <v>23.0</v>
      </c>
      <c r="E135" s="38">
        <v>85.0</v>
      </c>
      <c r="F135" s="38">
        <f t="shared" si="2"/>
        <v>1955</v>
      </c>
      <c r="G135" s="36" t="s">
        <v>818</v>
      </c>
      <c r="H135" s="36">
        <v>3570.0</v>
      </c>
      <c r="I135" s="36" t="s">
        <v>32</v>
      </c>
      <c r="J135" s="36" t="s">
        <v>40</v>
      </c>
      <c r="K135" s="36" t="s">
        <v>35</v>
      </c>
      <c r="L135" s="36" t="s">
        <v>254</v>
      </c>
      <c r="M135" s="36">
        <v>31.0</v>
      </c>
      <c r="N135" s="36"/>
      <c r="O135" s="36"/>
      <c r="P135" s="34"/>
      <c r="Q135" s="34"/>
      <c r="R135" s="34"/>
      <c r="S135" s="34"/>
    </row>
    <row r="136" ht="15.75" hidden="1" customHeight="1">
      <c r="B136" s="34">
        <v>46091.0</v>
      </c>
      <c r="C136" s="36">
        <v>4294.0</v>
      </c>
      <c r="D136" s="36">
        <v>10.0</v>
      </c>
      <c r="E136" s="38">
        <v>90.0</v>
      </c>
      <c r="F136" s="38">
        <f t="shared" si="2"/>
        <v>900</v>
      </c>
      <c r="G136" s="36" t="s">
        <v>822</v>
      </c>
      <c r="H136" s="36">
        <v>1006072.0</v>
      </c>
      <c r="I136" s="36" t="s">
        <v>174</v>
      </c>
      <c r="J136" s="36" t="s">
        <v>175</v>
      </c>
      <c r="K136" s="36" t="s">
        <v>35</v>
      </c>
      <c r="L136" s="36" t="s">
        <v>823</v>
      </c>
      <c r="M136" s="36">
        <v>1.0</v>
      </c>
      <c r="N136" s="36"/>
      <c r="O136" s="36"/>
      <c r="P136" s="34"/>
      <c r="Q136" s="34"/>
      <c r="R136" s="34"/>
      <c r="S136" s="34"/>
    </row>
    <row r="137" ht="15.75" hidden="1" customHeight="1">
      <c r="B137" s="34">
        <v>46092.0</v>
      </c>
      <c r="C137" s="36" t="s">
        <v>35</v>
      </c>
      <c r="D137" s="36">
        <v>100.0</v>
      </c>
      <c r="E137" s="38">
        <v>20.0</v>
      </c>
      <c r="F137" s="38">
        <f t="shared" si="2"/>
        <v>2000</v>
      </c>
      <c r="G137" s="36" t="s">
        <v>824</v>
      </c>
      <c r="H137" s="36" t="s">
        <v>825</v>
      </c>
      <c r="I137" s="36" t="s">
        <v>41</v>
      </c>
      <c r="J137" s="36" t="s">
        <v>40</v>
      </c>
      <c r="K137" s="36" t="s">
        <v>35</v>
      </c>
      <c r="L137" s="36" t="s">
        <v>827</v>
      </c>
      <c r="M137" s="36">
        <v>1.0</v>
      </c>
      <c r="N137" s="36"/>
      <c r="O137" s="45">
        <v>46106.0</v>
      </c>
      <c r="P137" s="34"/>
      <c r="Q137" s="34"/>
      <c r="R137" s="34"/>
      <c r="S137" s="34"/>
    </row>
    <row r="138" ht="15.75" hidden="1" customHeight="1">
      <c r="B138" s="34">
        <v>46092.0</v>
      </c>
      <c r="C138" s="36" t="s">
        <v>35</v>
      </c>
      <c r="D138" s="36">
        <v>120.0</v>
      </c>
      <c r="E138" s="38">
        <v>32.0</v>
      </c>
      <c r="F138" s="38">
        <f t="shared" si="2"/>
        <v>3840</v>
      </c>
      <c r="G138" s="36" t="s">
        <v>831</v>
      </c>
      <c r="H138" s="36" t="s">
        <v>832</v>
      </c>
      <c r="I138" s="36" t="s">
        <v>41</v>
      </c>
      <c r="J138" s="36" t="s">
        <v>40</v>
      </c>
      <c r="K138" s="36" t="s">
        <v>35</v>
      </c>
      <c r="L138" s="36" t="s">
        <v>827</v>
      </c>
      <c r="M138" s="36">
        <v>1.0</v>
      </c>
      <c r="N138" s="36"/>
      <c r="O138" s="45">
        <v>46106.0</v>
      </c>
      <c r="P138" s="34"/>
      <c r="Q138" s="34"/>
      <c r="R138" s="34"/>
      <c r="S138" s="34"/>
    </row>
    <row r="139" ht="15.75" hidden="1" customHeight="1">
      <c r="B139" s="34">
        <v>46092.0</v>
      </c>
      <c r="C139" s="36" t="s">
        <v>35</v>
      </c>
      <c r="D139" s="36">
        <v>90.0</v>
      </c>
      <c r="E139" s="38">
        <v>45.0</v>
      </c>
      <c r="F139" s="38">
        <f t="shared" si="2"/>
        <v>4050</v>
      </c>
      <c r="G139" s="36" t="s">
        <v>838</v>
      </c>
      <c r="H139" s="36" t="s">
        <v>839</v>
      </c>
      <c r="I139" s="36" t="s">
        <v>41</v>
      </c>
      <c r="J139" s="36" t="s">
        <v>40</v>
      </c>
      <c r="K139" s="36" t="s">
        <v>35</v>
      </c>
      <c r="L139" s="36" t="s">
        <v>827</v>
      </c>
      <c r="M139" s="36">
        <v>1.0</v>
      </c>
      <c r="N139" s="36"/>
      <c r="O139" s="45">
        <v>46106.0</v>
      </c>
      <c r="P139" s="34"/>
      <c r="Q139" s="34"/>
      <c r="R139" s="34"/>
      <c r="S139" s="34"/>
    </row>
    <row r="140" ht="15.75" hidden="1" customHeight="1">
      <c r="B140" s="34">
        <v>46092.0</v>
      </c>
      <c r="C140" s="36" t="s">
        <v>35</v>
      </c>
      <c r="D140" s="36">
        <v>12.0</v>
      </c>
      <c r="E140" s="38">
        <v>67.0</v>
      </c>
      <c r="F140" s="38">
        <f t="shared" si="2"/>
        <v>804</v>
      </c>
      <c r="G140" s="36" t="s">
        <v>842</v>
      </c>
      <c r="H140" s="36" t="s">
        <v>843</v>
      </c>
      <c r="I140" s="36" t="s">
        <v>41</v>
      </c>
      <c r="J140" s="36" t="s">
        <v>40</v>
      </c>
      <c r="K140" s="36" t="s">
        <v>35</v>
      </c>
      <c r="L140" s="36" t="s">
        <v>827</v>
      </c>
      <c r="M140" s="36">
        <v>1.0</v>
      </c>
      <c r="N140" s="36"/>
      <c r="O140" s="45">
        <v>46106.0</v>
      </c>
      <c r="P140" s="34"/>
      <c r="Q140" s="34"/>
      <c r="R140" s="34"/>
      <c r="S140" s="34"/>
    </row>
    <row r="141" ht="15.75" hidden="1" customHeight="1">
      <c r="B141" s="34">
        <v>46092.0</v>
      </c>
      <c r="C141" s="36" t="s">
        <v>35</v>
      </c>
      <c r="D141" s="36">
        <v>8.0</v>
      </c>
      <c r="E141" s="38">
        <v>79.0</v>
      </c>
      <c r="F141" s="38">
        <f t="shared" si="2"/>
        <v>632</v>
      </c>
      <c r="G141" s="36" t="s">
        <v>847</v>
      </c>
      <c r="H141" s="36" t="s">
        <v>848</v>
      </c>
      <c r="I141" s="36" t="s">
        <v>41</v>
      </c>
      <c r="J141" s="36" t="s">
        <v>40</v>
      </c>
      <c r="K141" s="36" t="s">
        <v>35</v>
      </c>
      <c r="L141" s="36" t="s">
        <v>827</v>
      </c>
      <c r="M141" s="36">
        <v>1.0</v>
      </c>
      <c r="N141" s="36"/>
      <c r="O141" s="45">
        <v>46106.0</v>
      </c>
      <c r="P141" s="34"/>
      <c r="Q141" s="34"/>
      <c r="R141" s="34"/>
      <c r="S141" s="34"/>
    </row>
    <row r="142" ht="15.75" hidden="1" customHeight="1">
      <c r="B142" s="34">
        <v>46092.0</v>
      </c>
      <c r="C142" s="36" t="s">
        <v>35</v>
      </c>
      <c r="D142" s="36">
        <v>300.0</v>
      </c>
      <c r="E142" s="38">
        <v>350.0</v>
      </c>
      <c r="F142" s="38">
        <f t="shared" si="2"/>
        <v>105000</v>
      </c>
      <c r="G142" s="36" t="s">
        <v>852</v>
      </c>
      <c r="H142" s="36" t="s">
        <v>35</v>
      </c>
      <c r="I142" s="36" t="s">
        <v>174</v>
      </c>
      <c r="J142" s="36" t="s">
        <v>175</v>
      </c>
      <c r="K142" s="36" t="s">
        <v>35</v>
      </c>
      <c r="L142" s="36" t="s">
        <v>314</v>
      </c>
      <c r="M142" s="36">
        <v>1.0</v>
      </c>
      <c r="N142" s="36"/>
      <c r="O142" s="36"/>
      <c r="P142" s="34">
        <v>46093.0</v>
      </c>
      <c r="Q142" s="34"/>
      <c r="R142" s="34"/>
      <c r="S142" s="34"/>
    </row>
    <row r="143" ht="15.75" hidden="1" customHeight="1">
      <c r="B143" s="34">
        <v>46092.0</v>
      </c>
      <c r="C143" s="36" t="s">
        <v>35</v>
      </c>
      <c r="D143" s="36">
        <v>50.0</v>
      </c>
      <c r="E143" s="38">
        <v>152.0</v>
      </c>
      <c r="F143" s="38">
        <f t="shared" si="2"/>
        <v>7600</v>
      </c>
      <c r="G143" s="35" t="s">
        <v>135</v>
      </c>
      <c r="H143" s="35" t="s">
        <v>35</v>
      </c>
      <c r="I143" s="36" t="s">
        <v>41</v>
      </c>
      <c r="J143" s="36" t="s">
        <v>34</v>
      </c>
      <c r="K143" s="36" t="s">
        <v>35</v>
      </c>
      <c r="L143" s="36" t="s">
        <v>132</v>
      </c>
      <c r="M143" s="36">
        <v>1.0</v>
      </c>
      <c r="N143" s="36"/>
      <c r="O143" s="36"/>
      <c r="P143" s="34"/>
      <c r="Q143" s="34"/>
      <c r="R143" s="34"/>
      <c r="S143" s="34"/>
    </row>
    <row r="144" ht="15.75" hidden="1" customHeight="1">
      <c r="B144" s="34">
        <v>46092.0</v>
      </c>
      <c r="C144" s="59">
        <v>206967.0</v>
      </c>
      <c r="D144" s="36">
        <v>10.0</v>
      </c>
      <c r="E144" s="38">
        <v>18.164</v>
      </c>
      <c r="F144" s="38">
        <f t="shared" si="2"/>
        <v>181.64</v>
      </c>
      <c r="G144" s="36" t="s">
        <v>863</v>
      </c>
      <c r="H144" s="36" t="s">
        <v>864</v>
      </c>
      <c r="I144" s="36" t="s">
        <v>174</v>
      </c>
      <c r="J144" s="36" t="s">
        <v>175</v>
      </c>
      <c r="K144" s="36" t="s">
        <v>35</v>
      </c>
      <c r="L144" s="36" t="s">
        <v>867</v>
      </c>
      <c r="M144" s="36">
        <v>1.0</v>
      </c>
      <c r="N144" s="36"/>
      <c r="O144" s="44">
        <v>46136.0</v>
      </c>
      <c r="P144" s="34"/>
      <c r="Q144" s="34"/>
      <c r="R144" s="34"/>
      <c r="S144" s="34"/>
    </row>
    <row r="145" ht="15.75" hidden="1" customHeight="1">
      <c r="B145" s="34">
        <v>46092.0</v>
      </c>
      <c r="C145" s="36">
        <v>1315.0</v>
      </c>
      <c r="D145" s="36">
        <v>500.0</v>
      </c>
      <c r="E145" s="38">
        <v>82.0</v>
      </c>
      <c r="F145" s="38">
        <f t="shared" si="2"/>
        <v>41000</v>
      </c>
      <c r="G145" s="36" t="s">
        <v>873</v>
      </c>
      <c r="H145" s="36">
        <v>3470.0</v>
      </c>
      <c r="I145" s="36" t="s">
        <v>77</v>
      </c>
      <c r="J145" s="36" t="s">
        <v>79</v>
      </c>
      <c r="K145" s="36" t="s">
        <v>35</v>
      </c>
      <c r="L145" s="36" t="s">
        <v>875</v>
      </c>
      <c r="M145" s="36">
        <v>31.0</v>
      </c>
      <c r="N145" s="36"/>
      <c r="O145" s="36"/>
      <c r="P145" s="34">
        <v>46094.0</v>
      </c>
      <c r="Q145" s="34"/>
      <c r="R145" s="34"/>
      <c r="S145" s="34"/>
    </row>
    <row r="146" ht="15.75" hidden="1" customHeight="1">
      <c r="B146" s="34">
        <v>46092.0</v>
      </c>
      <c r="C146" s="36">
        <v>9127.0</v>
      </c>
      <c r="D146" s="36">
        <v>240.0</v>
      </c>
      <c r="E146" s="38">
        <v>3.8</v>
      </c>
      <c r="F146" s="38">
        <f t="shared" si="2"/>
        <v>912</v>
      </c>
      <c r="G146" s="36" t="s">
        <v>881</v>
      </c>
      <c r="H146" s="36" t="s">
        <v>882</v>
      </c>
      <c r="I146" s="36" t="s">
        <v>221</v>
      </c>
      <c r="J146" s="36" t="s">
        <v>34</v>
      </c>
      <c r="K146" s="36" t="s">
        <v>35</v>
      </c>
      <c r="L146" s="36" t="s">
        <v>96</v>
      </c>
      <c r="M146" s="36">
        <v>31.0</v>
      </c>
      <c r="N146" s="36"/>
      <c r="O146" s="45">
        <v>46098.0</v>
      </c>
      <c r="P146" s="34"/>
      <c r="Q146" s="34"/>
      <c r="R146" s="34"/>
      <c r="S146" s="34"/>
    </row>
    <row r="147" ht="15.75" hidden="1" customHeight="1">
      <c r="B147" s="34">
        <v>46092.0</v>
      </c>
      <c r="C147" s="36">
        <v>9127.0</v>
      </c>
      <c r="D147" s="36">
        <v>20.0</v>
      </c>
      <c r="E147" s="38">
        <v>37.9</v>
      </c>
      <c r="F147" s="38">
        <f t="shared" si="2"/>
        <v>758</v>
      </c>
      <c r="G147" s="36" t="s">
        <v>887</v>
      </c>
      <c r="H147" s="36" t="s">
        <v>888</v>
      </c>
      <c r="I147" s="36" t="s">
        <v>221</v>
      </c>
      <c r="J147" s="36" t="s">
        <v>34</v>
      </c>
      <c r="K147" s="36" t="s">
        <v>35</v>
      </c>
      <c r="L147" s="36" t="s">
        <v>96</v>
      </c>
      <c r="M147" s="36">
        <v>31.0</v>
      </c>
      <c r="N147" s="36"/>
      <c r="O147" s="45">
        <v>46098.0</v>
      </c>
      <c r="P147" s="34"/>
      <c r="Q147" s="34"/>
      <c r="R147" s="34"/>
      <c r="S147" s="34"/>
    </row>
    <row r="148" ht="15.75" hidden="1" customHeight="1">
      <c r="B148" s="34">
        <v>46092.0</v>
      </c>
      <c r="C148" s="36">
        <v>9127.0</v>
      </c>
      <c r="D148" s="36">
        <v>36.0</v>
      </c>
      <c r="E148" s="38">
        <v>49.9</v>
      </c>
      <c r="F148" s="38">
        <f t="shared" si="2"/>
        <v>1796.4</v>
      </c>
      <c r="G148" s="36" t="s">
        <v>889</v>
      </c>
      <c r="H148" s="36" t="s">
        <v>890</v>
      </c>
      <c r="I148" s="36" t="s">
        <v>221</v>
      </c>
      <c r="J148" s="36" t="s">
        <v>34</v>
      </c>
      <c r="K148" s="36" t="s">
        <v>35</v>
      </c>
      <c r="L148" s="36" t="s">
        <v>96</v>
      </c>
      <c r="M148" s="36">
        <v>31.0</v>
      </c>
      <c r="N148" s="36"/>
      <c r="O148" s="45">
        <v>46098.0</v>
      </c>
      <c r="P148" s="34"/>
      <c r="Q148" s="34"/>
      <c r="R148" s="34"/>
      <c r="S148" s="34"/>
    </row>
    <row r="149" ht="15.75" hidden="1" customHeight="1">
      <c r="B149" s="34">
        <v>46092.0</v>
      </c>
      <c r="C149" s="36">
        <v>9127.0</v>
      </c>
      <c r="D149" s="36">
        <v>50.0</v>
      </c>
      <c r="E149" s="38">
        <v>12.99</v>
      </c>
      <c r="F149" s="38">
        <f t="shared" si="2"/>
        <v>649.5</v>
      </c>
      <c r="G149" s="36" t="s">
        <v>893</v>
      </c>
      <c r="H149" s="36" t="s">
        <v>894</v>
      </c>
      <c r="I149" s="36" t="s">
        <v>221</v>
      </c>
      <c r="J149" s="36" t="s">
        <v>34</v>
      </c>
      <c r="K149" s="36" t="s">
        <v>35</v>
      </c>
      <c r="L149" s="36" t="s">
        <v>96</v>
      </c>
      <c r="M149" s="36">
        <v>31.0</v>
      </c>
      <c r="N149" s="36"/>
      <c r="O149" s="45">
        <v>46098.0</v>
      </c>
      <c r="P149" s="34"/>
      <c r="Q149" s="34"/>
      <c r="R149" s="34"/>
      <c r="S149" s="34"/>
    </row>
    <row r="150" ht="15.75" hidden="1" customHeight="1">
      <c r="B150" s="34">
        <v>46092.0</v>
      </c>
      <c r="C150" s="36">
        <v>9127.0</v>
      </c>
      <c r="D150" s="36">
        <v>144.0</v>
      </c>
      <c r="E150" s="38">
        <v>9.99</v>
      </c>
      <c r="F150" s="38">
        <f t="shared" si="2"/>
        <v>1438.56</v>
      </c>
      <c r="G150" s="36" t="s">
        <v>899</v>
      </c>
      <c r="H150" s="36" t="s">
        <v>900</v>
      </c>
      <c r="I150" s="36" t="s">
        <v>221</v>
      </c>
      <c r="J150" s="36" t="s">
        <v>34</v>
      </c>
      <c r="K150" s="36" t="s">
        <v>35</v>
      </c>
      <c r="L150" s="36" t="s">
        <v>96</v>
      </c>
      <c r="M150" s="36">
        <v>31.0</v>
      </c>
      <c r="N150" s="36"/>
      <c r="O150" s="45">
        <v>46098.0</v>
      </c>
      <c r="P150" s="34"/>
      <c r="Q150" s="34"/>
      <c r="R150" s="34"/>
      <c r="S150" s="34"/>
    </row>
    <row r="151" ht="15.75" hidden="1" customHeight="1">
      <c r="B151" s="34">
        <v>46093.0</v>
      </c>
      <c r="C151" s="36">
        <v>9238.0</v>
      </c>
      <c r="D151" s="36">
        <v>60.0</v>
      </c>
      <c r="E151" s="38">
        <v>8.9</v>
      </c>
      <c r="F151" s="38">
        <f t="shared" si="2"/>
        <v>534</v>
      </c>
      <c r="G151" s="36" t="s">
        <v>903</v>
      </c>
      <c r="H151" s="36" t="s">
        <v>904</v>
      </c>
      <c r="I151" s="36" t="s">
        <v>32</v>
      </c>
      <c r="J151" s="36" t="s">
        <v>40</v>
      </c>
      <c r="K151" s="36" t="s">
        <v>35</v>
      </c>
      <c r="L151" s="36" t="s">
        <v>96</v>
      </c>
      <c r="M151" s="36">
        <v>1.0</v>
      </c>
      <c r="N151" s="36"/>
      <c r="O151" s="36"/>
      <c r="P151" s="34"/>
      <c r="Q151" s="34"/>
      <c r="R151" s="34"/>
      <c r="S151" s="34"/>
    </row>
    <row r="152" ht="15.75" hidden="1" customHeight="1">
      <c r="B152" s="34">
        <v>46093.0</v>
      </c>
      <c r="C152" s="36">
        <v>9238.0</v>
      </c>
      <c r="D152" s="36">
        <v>60.0</v>
      </c>
      <c r="E152" s="38">
        <v>6.5</v>
      </c>
      <c r="F152" s="38">
        <f t="shared" si="2"/>
        <v>390</v>
      </c>
      <c r="G152" s="36" t="s">
        <v>906</v>
      </c>
      <c r="H152" s="36" t="s">
        <v>907</v>
      </c>
      <c r="I152" s="36" t="s">
        <v>32</v>
      </c>
      <c r="J152" s="36" t="s">
        <v>40</v>
      </c>
      <c r="K152" s="36" t="s">
        <v>35</v>
      </c>
      <c r="L152" s="36" t="s">
        <v>96</v>
      </c>
      <c r="M152" s="36">
        <v>1.0</v>
      </c>
      <c r="N152" s="36"/>
      <c r="O152" s="36"/>
      <c r="P152" s="34"/>
      <c r="Q152" s="34"/>
      <c r="R152" s="34"/>
      <c r="S152" s="34"/>
    </row>
    <row r="153" ht="15.75" hidden="1" customHeight="1">
      <c r="B153" s="34">
        <v>46093.0</v>
      </c>
      <c r="C153" s="36">
        <v>9238.0</v>
      </c>
      <c r="D153" s="36">
        <v>60.0</v>
      </c>
      <c r="E153" s="38">
        <v>25.9</v>
      </c>
      <c r="F153" s="38">
        <f t="shared" si="2"/>
        <v>1554</v>
      </c>
      <c r="G153" s="36" t="s">
        <v>910</v>
      </c>
      <c r="H153" s="36" t="s">
        <v>911</v>
      </c>
      <c r="I153" s="36" t="s">
        <v>32</v>
      </c>
      <c r="J153" s="36" t="s">
        <v>40</v>
      </c>
      <c r="K153" s="36" t="s">
        <v>35</v>
      </c>
      <c r="L153" s="36" t="s">
        <v>96</v>
      </c>
      <c r="M153" s="36">
        <v>1.0</v>
      </c>
      <c r="N153" s="36"/>
      <c r="O153" s="36"/>
      <c r="P153" s="34"/>
      <c r="Q153" s="34"/>
      <c r="R153" s="34"/>
      <c r="S153" s="34"/>
    </row>
    <row r="154" ht="15.75" hidden="1" customHeight="1">
      <c r="B154" s="34">
        <v>46093.0</v>
      </c>
      <c r="C154" s="36">
        <v>9238.0</v>
      </c>
      <c r="D154" s="36">
        <v>120.0</v>
      </c>
      <c r="E154" s="38">
        <v>7.9</v>
      </c>
      <c r="F154" s="38">
        <f t="shared" si="2"/>
        <v>948</v>
      </c>
      <c r="G154" s="36" t="s">
        <v>916</v>
      </c>
      <c r="H154" s="36" t="s">
        <v>917</v>
      </c>
      <c r="I154" s="36" t="s">
        <v>32</v>
      </c>
      <c r="J154" s="36" t="s">
        <v>40</v>
      </c>
      <c r="K154" s="36" t="s">
        <v>35</v>
      </c>
      <c r="L154" s="36" t="s">
        <v>96</v>
      </c>
      <c r="M154" s="36">
        <v>1.0</v>
      </c>
      <c r="N154" s="36"/>
      <c r="O154" s="36"/>
      <c r="P154" s="34"/>
      <c r="Q154" s="34"/>
      <c r="R154" s="34"/>
      <c r="S154" s="34"/>
    </row>
    <row r="155" ht="15.75" hidden="1" customHeight="1">
      <c r="B155" s="34">
        <v>46093.0</v>
      </c>
      <c r="C155" s="36">
        <v>9238.0</v>
      </c>
      <c r="D155" s="36">
        <v>50.0</v>
      </c>
      <c r="E155" s="38">
        <v>23.8</v>
      </c>
      <c r="F155" s="38">
        <f t="shared" si="2"/>
        <v>1190</v>
      </c>
      <c r="G155" s="36" t="s">
        <v>920</v>
      </c>
      <c r="H155" s="36" t="s">
        <v>922</v>
      </c>
      <c r="I155" s="36" t="s">
        <v>32</v>
      </c>
      <c r="J155" s="36" t="s">
        <v>40</v>
      </c>
      <c r="K155" s="36" t="s">
        <v>35</v>
      </c>
      <c r="L155" s="36" t="s">
        <v>96</v>
      </c>
      <c r="M155" s="36">
        <v>1.0</v>
      </c>
      <c r="N155" s="36"/>
      <c r="O155" s="36"/>
      <c r="P155" s="34"/>
      <c r="Q155" s="34"/>
      <c r="R155" s="34"/>
      <c r="S155" s="34"/>
    </row>
    <row r="156" ht="15.75" hidden="1" customHeight="1">
      <c r="B156" s="34">
        <v>46093.0</v>
      </c>
      <c r="C156" s="36">
        <v>910545.0</v>
      </c>
      <c r="D156" s="36">
        <v>500.0</v>
      </c>
      <c r="E156" s="38">
        <v>135.0</v>
      </c>
      <c r="F156" s="38">
        <f t="shared" si="2"/>
        <v>67500</v>
      </c>
      <c r="G156" s="36" t="s">
        <v>926</v>
      </c>
      <c r="H156" s="36">
        <v>57944.0</v>
      </c>
      <c r="I156" s="36" t="s">
        <v>41</v>
      </c>
      <c r="J156" s="36" t="s">
        <v>40</v>
      </c>
      <c r="K156" s="36" t="s">
        <v>35</v>
      </c>
      <c r="L156" s="36" t="s">
        <v>43</v>
      </c>
      <c r="M156" s="36">
        <v>31.0</v>
      </c>
      <c r="N156" s="36"/>
      <c r="O156" s="45">
        <v>46097.0</v>
      </c>
      <c r="P156" s="34">
        <v>46123.0</v>
      </c>
      <c r="Q156" s="34">
        <v>46153.0</v>
      </c>
      <c r="R156" s="34">
        <v>46183.0</v>
      </c>
      <c r="S156" s="34"/>
    </row>
    <row r="157" ht="15.75" hidden="1" customHeight="1">
      <c r="B157" s="34">
        <v>46093.0</v>
      </c>
      <c r="C157" s="36">
        <v>910545.0</v>
      </c>
      <c r="D157" s="36">
        <v>100.0</v>
      </c>
      <c r="E157" s="38">
        <v>249.9</v>
      </c>
      <c r="F157" s="38">
        <f t="shared" si="2"/>
        <v>24990</v>
      </c>
      <c r="G157" s="36" t="s">
        <v>930</v>
      </c>
      <c r="H157" s="36">
        <v>64508.0</v>
      </c>
      <c r="I157" s="36" t="s">
        <v>41</v>
      </c>
      <c r="J157" s="36" t="s">
        <v>40</v>
      </c>
      <c r="K157" s="36" t="s">
        <v>35</v>
      </c>
      <c r="L157" s="36" t="s">
        <v>43</v>
      </c>
      <c r="M157" s="36">
        <v>31.0</v>
      </c>
      <c r="N157" s="36"/>
      <c r="O157" s="45">
        <v>46097.0</v>
      </c>
      <c r="P157" s="34">
        <v>46123.0</v>
      </c>
      <c r="Q157" s="34">
        <v>46153.0</v>
      </c>
      <c r="R157" s="34">
        <v>46183.0</v>
      </c>
      <c r="S157" s="34"/>
    </row>
    <row r="158" ht="15.75" hidden="1" customHeight="1">
      <c r="B158" s="34">
        <v>46093.0</v>
      </c>
      <c r="C158" s="36">
        <v>910545.0</v>
      </c>
      <c r="D158" s="36">
        <v>100.0</v>
      </c>
      <c r="E158" s="38">
        <v>89.9</v>
      </c>
      <c r="F158" s="38">
        <f t="shared" si="2"/>
        <v>8990</v>
      </c>
      <c r="G158" s="36" t="s">
        <v>934</v>
      </c>
      <c r="H158" s="36">
        <v>61188.0</v>
      </c>
      <c r="I158" s="36" t="s">
        <v>41</v>
      </c>
      <c r="J158" s="36" t="s">
        <v>40</v>
      </c>
      <c r="K158" s="36" t="s">
        <v>35</v>
      </c>
      <c r="L158" s="36" t="s">
        <v>43</v>
      </c>
      <c r="M158" s="36">
        <v>31.0</v>
      </c>
      <c r="N158" s="36"/>
      <c r="O158" s="45">
        <v>46097.0</v>
      </c>
      <c r="P158" s="34">
        <v>46123.0</v>
      </c>
      <c r="Q158" s="34">
        <v>46153.0</v>
      </c>
      <c r="R158" s="34">
        <v>46183.0</v>
      </c>
      <c r="S158" s="34"/>
    </row>
    <row r="159" ht="15.75" hidden="1" customHeight="1">
      <c r="B159" s="34">
        <v>46093.0</v>
      </c>
      <c r="C159" s="36">
        <v>910545.0</v>
      </c>
      <c r="D159" s="36">
        <v>800.0</v>
      </c>
      <c r="E159" s="38">
        <v>135.0</v>
      </c>
      <c r="F159" s="38">
        <f t="shared" si="2"/>
        <v>108000</v>
      </c>
      <c r="G159" s="36" t="s">
        <v>926</v>
      </c>
      <c r="H159" s="36">
        <v>57944.0</v>
      </c>
      <c r="I159" s="36" t="s">
        <v>59</v>
      </c>
      <c r="J159" s="36" t="s">
        <v>34</v>
      </c>
      <c r="K159" s="36" t="s">
        <v>35</v>
      </c>
      <c r="L159" s="36" t="s">
        <v>43</v>
      </c>
      <c r="M159" s="36">
        <v>31.0</v>
      </c>
      <c r="N159" s="36"/>
      <c r="O159" s="45">
        <v>46097.0</v>
      </c>
      <c r="P159" s="34"/>
      <c r="Q159" s="34"/>
      <c r="R159" s="34"/>
      <c r="S159" s="34"/>
    </row>
    <row r="160" ht="15.75" hidden="1" customHeight="1">
      <c r="B160" s="34">
        <v>46093.0</v>
      </c>
      <c r="C160" s="36" t="s">
        <v>35</v>
      </c>
      <c r="D160" s="36">
        <v>100.0</v>
      </c>
      <c r="E160" s="38">
        <v>120.0</v>
      </c>
      <c r="F160" s="38">
        <f t="shared" si="2"/>
        <v>12000</v>
      </c>
      <c r="G160" s="36" t="s">
        <v>943</v>
      </c>
      <c r="H160" s="36" t="s">
        <v>35</v>
      </c>
      <c r="I160" s="36" t="s">
        <v>300</v>
      </c>
      <c r="J160" s="36" t="s">
        <v>34</v>
      </c>
      <c r="K160" s="36" t="s">
        <v>35</v>
      </c>
      <c r="L160" s="36" t="s">
        <v>799</v>
      </c>
      <c r="M160" s="36">
        <v>31.0</v>
      </c>
      <c r="N160" s="36"/>
      <c r="O160" s="45">
        <v>46111.0</v>
      </c>
      <c r="P160" s="34">
        <v>46093.0</v>
      </c>
      <c r="Q160" s="34"/>
      <c r="R160" s="34"/>
      <c r="S160" s="34"/>
    </row>
    <row r="161" ht="15.75" hidden="1" customHeight="1">
      <c r="B161" s="34">
        <v>46093.0</v>
      </c>
      <c r="C161" s="36">
        <v>1268.0</v>
      </c>
      <c r="D161" s="36">
        <v>200.0</v>
      </c>
      <c r="E161" s="38">
        <v>40.5</v>
      </c>
      <c r="F161" s="38">
        <f t="shared" si="2"/>
        <v>8100</v>
      </c>
      <c r="G161" s="36" t="s">
        <v>947</v>
      </c>
      <c r="H161" s="36" t="s">
        <v>948</v>
      </c>
      <c r="I161" s="36" t="s">
        <v>32</v>
      </c>
      <c r="J161" s="36" t="s">
        <v>40</v>
      </c>
      <c r="K161" s="36" t="s">
        <v>35</v>
      </c>
      <c r="L161" s="36" t="s">
        <v>151</v>
      </c>
      <c r="M161" s="36">
        <v>1.0</v>
      </c>
      <c r="N161" s="36"/>
      <c r="O161" s="36"/>
      <c r="P161" s="34"/>
      <c r="Q161" s="34"/>
      <c r="R161" s="34"/>
      <c r="S161" s="34"/>
    </row>
    <row r="162" ht="15.75" hidden="1" customHeight="1">
      <c r="B162" s="34">
        <v>46094.0</v>
      </c>
      <c r="C162" s="36" t="s">
        <v>35</v>
      </c>
      <c r="D162" s="36">
        <v>1.0</v>
      </c>
      <c r="E162" s="38">
        <v>6000.0</v>
      </c>
      <c r="F162" s="38">
        <f t="shared" si="2"/>
        <v>6000</v>
      </c>
      <c r="G162" s="36" t="s">
        <v>952</v>
      </c>
      <c r="H162" s="36" t="s">
        <v>35</v>
      </c>
      <c r="I162" s="36" t="s">
        <v>221</v>
      </c>
      <c r="J162" s="36" t="s">
        <v>34</v>
      </c>
      <c r="K162" s="36" t="s">
        <v>35</v>
      </c>
      <c r="L162" s="36" t="s">
        <v>35</v>
      </c>
      <c r="M162" s="36">
        <v>31.0</v>
      </c>
      <c r="N162" s="36"/>
      <c r="O162" s="36"/>
      <c r="P162" s="34"/>
      <c r="Q162" s="34"/>
      <c r="R162" s="34"/>
      <c r="S162" s="34"/>
    </row>
    <row r="163" ht="15.75" hidden="1" customHeight="1">
      <c r="B163" s="34">
        <v>46094.0</v>
      </c>
      <c r="C163" s="36" t="s">
        <v>35</v>
      </c>
      <c r="D163" s="36">
        <v>1.0</v>
      </c>
      <c r="E163" s="38">
        <v>6000.0</v>
      </c>
      <c r="F163" s="38">
        <f t="shared" si="2"/>
        <v>6000</v>
      </c>
      <c r="G163" s="36" t="s">
        <v>956</v>
      </c>
      <c r="H163" s="36" t="s">
        <v>35</v>
      </c>
      <c r="I163" s="36" t="s">
        <v>221</v>
      </c>
      <c r="J163" s="36" t="s">
        <v>34</v>
      </c>
      <c r="K163" s="36" t="s">
        <v>35</v>
      </c>
      <c r="L163" s="36" t="s">
        <v>35</v>
      </c>
      <c r="M163" s="36">
        <v>31.0</v>
      </c>
      <c r="N163" s="36"/>
      <c r="O163" s="36"/>
      <c r="P163" s="34"/>
      <c r="Q163" s="34"/>
      <c r="R163" s="34"/>
      <c r="S163" s="34"/>
    </row>
    <row r="164" ht="15.75" hidden="1" customHeight="1">
      <c r="B164" s="34">
        <v>46094.0</v>
      </c>
      <c r="C164" s="36" t="s">
        <v>35</v>
      </c>
      <c r="D164" s="36">
        <v>30.0</v>
      </c>
      <c r="E164" s="38">
        <v>47.0</v>
      </c>
      <c r="F164" s="38">
        <f t="shared" si="2"/>
        <v>1410</v>
      </c>
      <c r="G164" s="36" t="s">
        <v>962</v>
      </c>
      <c r="H164" s="36" t="s">
        <v>964</v>
      </c>
      <c r="I164" s="36" t="s">
        <v>32</v>
      </c>
      <c r="J164" s="36" t="s">
        <v>34</v>
      </c>
      <c r="K164" s="36" t="s">
        <v>35</v>
      </c>
      <c r="L164" s="36" t="s">
        <v>308</v>
      </c>
      <c r="M164" s="36">
        <v>31.0</v>
      </c>
      <c r="N164" s="36"/>
      <c r="O164" s="45">
        <v>46100.0</v>
      </c>
      <c r="P164" s="34"/>
      <c r="Q164" s="34"/>
      <c r="R164" s="34"/>
      <c r="S164" s="34"/>
    </row>
    <row r="165" ht="15.75" hidden="1" customHeight="1">
      <c r="B165" s="34">
        <v>46094.0</v>
      </c>
      <c r="C165" s="36" t="s">
        <v>35</v>
      </c>
      <c r="D165" s="36">
        <v>100.0</v>
      </c>
      <c r="E165" s="38">
        <v>19.0</v>
      </c>
      <c r="F165" s="38">
        <f t="shared" si="2"/>
        <v>1900</v>
      </c>
      <c r="G165" s="36" t="s">
        <v>969</v>
      </c>
      <c r="H165" s="36" t="s">
        <v>971</v>
      </c>
      <c r="I165" s="36" t="s">
        <v>32</v>
      </c>
      <c r="J165" s="36" t="s">
        <v>34</v>
      </c>
      <c r="K165" s="36" t="s">
        <v>35</v>
      </c>
      <c r="L165" s="36" t="s">
        <v>308</v>
      </c>
      <c r="M165" s="36">
        <v>31.0</v>
      </c>
      <c r="N165" s="36"/>
      <c r="O165" s="45">
        <v>46100.0</v>
      </c>
      <c r="P165" s="34"/>
      <c r="Q165" s="34"/>
      <c r="R165" s="34"/>
      <c r="S165" s="34"/>
    </row>
    <row r="166" ht="15.75" hidden="1" customHeight="1">
      <c r="B166" s="34">
        <v>46094.0</v>
      </c>
      <c r="C166" s="36" t="s">
        <v>35</v>
      </c>
      <c r="D166" s="36">
        <v>100.0</v>
      </c>
      <c r="E166" s="38">
        <v>10.0</v>
      </c>
      <c r="F166" s="38">
        <f t="shared" si="2"/>
        <v>1000</v>
      </c>
      <c r="G166" s="36" t="s">
        <v>975</v>
      </c>
      <c r="H166" s="36" t="s">
        <v>976</v>
      </c>
      <c r="I166" s="36" t="s">
        <v>32</v>
      </c>
      <c r="J166" s="36" t="s">
        <v>34</v>
      </c>
      <c r="K166" s="36" t="s">
        <v>35</v>
      </c>
      <c r="L166" s="36" t="s">
        <v>308</v>
      </c>
      <c r="M166" s="36">
        <v>31.0</v>
      </c>
      <c r="N166" s="36"/>
      <c r="O166" s="45">
        <v>46100.0</v>
      </c>
      <c r="P166" s="34"/>
      <c r="Q166" s="34"/>
      <c r="R166" s="34"/>
      <c r="S166" s="34"/>
    </row>
    <row r="167" ht="15.75" hidden="1" customHeight="1">
      <c r="B167" s="34">
        <v>46094.0</v>
      </c>
      <c r="C167" s="36" t="s">
        <v>35</v>
      </c>
      <c r="D167" s="36">
        <v>24.0</v>
      </c>
      <c r="E167" s="38">
        <v>27.0</v>
      </c>
      <c r="F167" s="38">
        <f t="shared" si="2"/>
        <v>648</v>
      </c>
      <c r="G167" s="36" t="s">
        <v>982</v>
      </c>
      <c r="H167" s="36" t="s">
        <v>984</v>
      </c>
      <c r="I167" s="36" t="s">
        <v>32</v>
      </c>
      <c r="J167" s="36" t="s">
        <v>34</v>
      </c>
      <c r="K167" s="36" t="s">
        <v>35</v>
      </c>
      <c r="L167" s="36" t="s">
        <v>308</v>
      </c>
      <c r="M167" s="36">
        <v>31.0</v>
      </c>
      <c r="N167" s="36"/>
      <c r="O167" s="45">
        <v>46100.0</v>
      </c>
      <c r="P167" s="34"/>
      <c r="Q167" s="34"/>
      <c r="R167" s="34"/>
      <c r="S167" s="34"/>
    </row>
    <row r="168" ht="15.75" hidden="1" customHeight="1">
      <c r="B168" s="34">
        <v>46094.0</v>
      </c>
      <c r="C168" s="36" t="s">
        <v>35</v>
      </c>
      <c r="D168" s="36">
        <v>40.0</v>
      </c>
      <c r="E168" s="38">
        <v>32.0</v>
      </c>
      <c r="F168" s="38">
        <f t="shared" si="2"/>
        <v>1280</v>
      </c>
      <c r="G168" s="36" t="s">
        <v>988</v>
      </c>
      <c r="H168" s="36" t="s">
        <v>989</v>
      </c>
      <c r="I168" s="36" t="s">
        <v>32</v>
      </c>
      <c r="J168" s="36" t="s">
        <v>34</v>
      </c>
      <c r="K168" s="36" t="s">
        <v>35</v>
      </c>
      <c r="L168" s="36" t="s">
        <v>308</v>
      </c>
      <c r="M168" s="36">
        <v>31.0</v>
      </c>
      <c r="N168" s="36"/>
      <c r="O168" s="36"/>
      <c r="P168" s="34"/>
      <c r="Q168" s="34"/>
      <c r="R168" s="34"/>
      <c r="S168" s="34"/>
    </row>
    <row r="169" ht="15.75" hidden="1" customHeight="1">
      <c r="B169" s="34">
        <v>46094.0</v>
      </c>
      <c r="C169" s="36">
        <v>1286.0</v>
      </c>
      <c r="D169" s="36">
        <v>10.0</v>
      </c>
      <c r="E169" s="38">
        <v>290.0</v>
      </c>
      <c r="F169" s="38">
        <f t="shared" si="2"/>
        <v>2900</v>
      </c>
      <c r="G169" s="36" t="s">
        <v>786</v>
      </c>
      <c r="H169" s="36" t="s">
        <v>790</v>
      </c>
      <c r="I169" s="36" t="s">
        <v>59</v>
      </c>
      <c r="J169" s="36" t="s">
        <v>34</v>
      </c>
      <c r="K169" s="36" t="s">
        <v>35</v>
      </c>
      <c r="L169" s="36" t="s">
        <v>151</v>
      </c>
      <c r="M169" s="36">
        <v>31.0</v>
      </c>
      <c r="N169" s="36"/>
      <c r="O169" s="45">
        <v>46098.0</v>
      </c>
      <c r="P169" s="34"/>
      <c r="Q169" s="34"/>
      <c r="R169" s="34"/>
      <c r="S169" s="34"/>
    </row>
    <row r="170" ht="15.75" hidden="1" customHeight="1">
      <c r="B170" s="34">
        <v>46094.0</v>
      </c>
      <c r="C170" s="36">
        <v>1008.0</v>
      </c>
      <c r="D170" s="36">
        <v>40.0</v>
      </c>
      <c r="E170" s="38">
        <v>85.0</v>
      </c>
      <c r="F170" s="38">
        <f t="shared" si="2"/>
        <v>3400</v>
      </c>
      <c r="G170" s="36" t="s">
        <v>547</v>
      </c>
      <c r="H170" s="36" t="s">
        <v>35</v>
      </c>
      <c r="I170" s="36" t="s">
        <v>59</v>
      </c>
      <c r="J170" s="36" t="s">
        <v>34</v>
      </c>
      <c r="K170" s="36" t="s">
        <v>35</v>
      </c>
      <c r="L170" s="36" t="s">
        <v>132</v>
      </c>
      <c r="M170" s="36">
        <v>31.0</v>
      </c>
      <c r="N170" s="36"/>
      <c r="O170" s="36"/>
      <c r="P170" s="34"/>
      <c r="Q170" s="34"/>
      <c r="R170" s="34"/>
      <c r="S170" s="34"/>
    </row>
    <row r="171" ht="15.75" hidden="1" customHeight="1">
      <c r="B171" s="34">
        <v>46094.0</v>
      </c>
      <c r="C171" s="36">
        <v>1008.0</v>
      </c>
      <c r="D171" s="36">
        <v>320.0</v>
      </c>
      <c r="E171" s="38">
        <v>85.0</v>
      </c>
      <c r="F171" s="38">
        <f t="shared" si="2"/>
        <v>27200</v>
      </c>
      <c r="G171" s="36" t="s">
        <v>547</v>
      </c>
      <c r="H171" s="36" t="s">
        <v>35</v>
      </c>
      <c r="I171" s="36" t="s">
        <v>59</v>
      </c>
      <c r="J171" s="36" t="s">
        <v>40</v>
      </c>
      <c r="K171" s="36" t="s">
        <v>35</v>
      </c>
      <c r="L171" s="36" t="s">
        <v>132</v>
      </c>
      <c r="M171" s="36">
        <v>31.0</v>
      </c>
      <c r="N171" s="36"/>
      <c r="O171" s="36"/>
      <c r="P171" s="34"/>
      <c r="Q171" s="34"/>
      <c r="R171" s="34"/>
      <c r="S171" s="34"/>
    </row>
    <row r="172" ht="15.75" hidden="1" customHeight="1">
      <c r="B172" s="34">
        <v>46094.0</v>
      </c>
      <c r="C172" s="36">
        <v>1289.0</v>
      </c>
      <c r="D172" s="36">
        <v>500.0</v>
      </c>
      <c r="E172" s="38">
        <v>18.0</v>
      </c>
      <c r="F172" s="38">
        <f t="shared" si="2"/>
        <v>9000</v>
      </c>
      <c r="G172" s="36" t="s">
        <v>1011</v>
      </c>
      <c r="H172" s="36" t="s">
        <v>1012</v>
      </c>
      <c r="I172" s="36" t="s">
        <v>32</v>
      </c>
      <c r="J172" s="36" t="s">
        <v>40</v>
      </c>
      <c r="K172" s="36" t="s">
        <v>35</v>
      </c>
      <c r="L172" s="36" t="s">
        <v>151</v>
      </c>
      <c r="M172" s="36">
        <v>1.0</v>
      </c>
      <c r="N172" s="36"/>
      <c r="O172" s="45">
        <v>46100.0</v>
      </c>
      <c r="P172" s="34"/>
      <c r="Q172" s="34"/>
      <c r="R172" s="34"/>
      <c r="S172" s="34"/>
    </row>
    <row r="173" ht="15.75" hidden="1" customHeight="1">
      <c r="B173" s="34">
        <v>46094.0</v>
      </c>
      <c r="C173" s="36">
        <v>1289.0</v>
      </c>
      <c r="D173" s="36">
        <v>500.0</v>
      </c>
      <c r="E173" s="38">
        <v>40.5</v>
      </c>
      <c r="F173" s="38">
        <f t="shared" si="2"/>
        <v>20250</v>
      </c>
      <c r="G173" s="36" t="s">
        <v>947</v>
      </c>
      <c r="H173" s="36" t="s">
        <v>1020</v>
      </c>
      <c r="I173" s="36" t="s">
        <v>32</v>
      </c>
      <c r="J173" s="36" t="s">
        <v>40</v>
      </c>
      <c r="K173" s="36" t="s">
        <v>35</v>
      </c>
      <c r="L173" s="36" t="s">
        <v>151</v>
      </c>
      <c r="M173" s="36">
        <v>1.0</v>
      </c>
      <c r="N173" s="36"/>
      <c r="O173" s="45">
        <v>46100.0</v>
      </c>
      <c r="P173" s="34"/>
      <c r="Q173" s="34"/>
      <c r="R173" s="34"/>
      <c r="S173" s="34"/>
    </row>
    <row r="174" ht="15.75" hidden="1" customHeight="1">
      <c r="B174" s="34">
        <v>46094.0</v>
      </c>
      <c r="C174" s="36">
        <v>1289.0</v>
      </c>
      <c r="D174" s="36">
        <v>500.0</v>
      </c>
      <c r="E174" s="38">
        <v>27.0</v>
      </c>
      <c r="F174" s="38">
        <f t="shared" si="2"/>
        <v>13500</v>
      </c>
      <c r="G174" s="36" t="s">
        <v>1026</v>
      </c>
      <c r="H174" s="36" t="s">
        <v>501</v>
      </c>
      <c r="I174" s="36" t="s">
        <v>32</v>
      </c>
      <c r="J174" s="36" t="s">
        <v>40</v>
      </c>
      <c r="K174" s="36" t="s">
        <v>35</v>
      </c>
      <c r="L174" s="36" t="s">
        <v>151</v>
      </c>
      <c r="M174" s="36">
        <v>1.0</v>
      </c>
      <c r="N174" s="36"/>
      <c r="O174" s="45">
        <v>46100.0</v>
      </c>
      <c r="P174" s="34"/>
      <c r="Q174" s="34"/>
      <c r="R174" s="34"/>
      <c r="S174" s="34"/>
    </row>
    <row r="175" ht="15.75" hidden="1" customHeight="1">
      <c r="B175" s="34">
        <v>46094.0</v>
      </c>
      <c r="C175" s="36">
        <v>1152.0</v>
      </c>
      <c r="D175" s="36">
        <v>80.0</v>
      </c>
      <c r="E175" s="38">
        <v>23.2</v>
      </c>
      <c r="F175" s="38">
        <f t="shared" si="2"/>
        <v>1856</v>
      </c>
      <c r="G175" s="36" t="s">
        <v>1028</v>
      </c>
      <c r="H175" s="36" t="s">
        <v>1029</v>
      </c>
      <c r="I175" s="36" t="s">
        <v>41</v>
      </c>
      <c r="J175" s="36" t="s">
        <v>34</v>
      </c>
      <c r="K175" s="36" t="s">
        <v>35</v>
      </c>
      <c r="L175" s="36" t="s">
        <v>160</v>
      </c>
      <c r="M175" s="36">
        <v>1.0</v>
      </c>
      <c r="N175" s="36"/>
      <c r="O175" s="36"/>
      <c r="P175" s="34"/>
      <c r="Q175" s="34"/>
      <c r="R175" s="34"/>
      <c r="S175" s="34"/>
    </row>
    <row r="176" ht="15.75" hidden="1" customHeight="1">
      <c r="B176" s="34">
        <v>46094.0</v>
      </c>
      <c r="C176" s="36">
        <v>1160.0</v>
      </c>
      <c r="D176" s="36">
        <v>100.0</v>
      </c>
      <c r="E176" s="38">
        <v>7.2</v>
      </c>
      <c r="F176" s="38">
        <f t="shared" si="2"/>
        <v>720</v>
      </c>
      <c r="G176" s="36" t="s">
        <v>1032</v>
      </c>
      <c r="H176" s="36" t="s">
        <v>1033</v>
      </c>
      <c r="I176" s="36" t="s">
        <v>41</v>
      </c>
      <c r="J176" s="36" t="s">
        <v>34</v>
      </c>
      <c r="K176" s="36" t="s">
        <v>35</v>
      </c>
      <c r="L176" s="36" t="s">
        <v>160</v>
      </c>
      <c r="M176" s="36">
        <v>1.0</v>
      </c>
      <c r="N176" s="36"/>
      <c r="O176" s="45">
        <v>46100.0</v>
      </c>
      <c r="P176" s="34"/>
      <c r="Q176" s="34"/>
      <c r="R176" s="34"/>
      <c r="S176" s="34"/>
    </row>
    <row r="177" ht="15.75" hidden="1" customHeight="1">
      <c r="B177" s="34">
        <v>46094.0</v>
      </c>
      <c r="C177" s="59">
        <v>4157021.0</v>
      </c>
      <c r="D177" s="36">
        <v>2.0</v>
      </c>
      <c r="E177" s="38">
        <v>3522.61</v>
      </c>
      <c r="F177" s="38">
        <f t="shared" si="2"/>
        <v>7045.22</v>
      </c>
      <c r="G177" s="36" t="s">
        <v>1041</v>
      </c>
      <c r="H177" s="36" t="s">
        <v>1042</v>
      </c>
      <c r="I177" s="36" t="s">
        <v>174</v>
      </c>
      <c r="J177" s="36" t="s">
        <v>175</v>
      </c>
      <c r="K177" s="36" t="s">
        <v>35</v>
      </c>
      <c r="L177" s="36" t="s">
        <v>1043</v>
      </c>
      <c r="M177" s="36">
        <v>1.0</v>
      </c>
      <c r="N177" s="36"/>
      <c r="O177" s="36"/>
      <c r="P177" s="34">
        <v>46097.0</v>
      </c>
      <c r="Q177" s="34"/>
      <c r="R177" s="34"/>
      <c r="S177" s="34"/>
    </row>
    <row r="178" ht="15.75" hidden="1" customHeight="1">
      <c r="B178" s="34">
        <v>46094.0</v>
      </c>
      <c r="C178" s="36">
        <v>700796.0</v>
      </c>
      <c r="D178" s="36">
        <v>1500.0</v>
      </c>
      <c r="E178" s="38">
        <v>204.3848</v>
      </c>
      <c r="F178" s="38">
        <f t="shared" si="2"/>
        <v>306577.2</v>
      </c>
      <c r="G178" s="36" t="s">
        <v>1048</v>
      </c>
      <c r="H178" s="36">
        <v>18198.0</v>
      </c>
      <c r="I178" s="36" t="s">
        <v>32</v>
      </c>
      <c r="J178" s="36" t="s">
        <v>34</v>
      </c>
      <c r="K178" s="36" t="s">
        <v>35</v>
      </c>
      <c r="L178" s="36" t="s">
        <v>1049</v>
      </c>
      <c r="M178" s="36">
        <v>31.0</v>
      </c>
      <c r="N178" s="36"/>
      <c r="O178" s="36"/>
      <c r="P178" s="34"/>
      <c r="Q178" s="34"/>
      <c r="R178" s="34"/>
      <c r="S178" s="34"/>
    </row>
    <row r="179" ht="15.75" hidden="1" customHeight="1">
      <c r="B179" s="34">
        <v>46094.0</v>
      </c>
      <c r="C179" s="36">
        <v>700796.0</v>
      </c>
      <c r="D179" s="36">
        <v>500.0</v>
      </c>
      <c r="E179" s="38">
        <v>125.4718</v>
      </c>
      <c r="F179" s="38">
        <f t="shared" si="2"/>
        <v>62735.9</v>
      </c>
      <c r="G179" s="36" t="s">
        <v>1054</v>
      </c>
      <c r="H179" s="36">
        <v>16544.0</v>
      </c>
      <c r="I179" s="36" t="s">
        <v>32</v>
      </c>
      <c r="J179" s="36" t="s">
        <v>34</v>
      </c>
      <c r="K179" s="36" t="s">
        <v>35</v>
      </c>
      <c r="L179" s="36" t="s">
        <v>1049</v>
      </c>
      <c r="M179" s="36">
        <v>31.0</v>
      </c>
      <c r="N179" s="36"/>
      <c r="O179" s="36"/>
      <c r="P179" s="34"/>
      <c r="Q179" s="34"/>
      <c r="R179" s="34"/>
      <c r="S179" s="34"/>
    </row>
    <row r="180" ht="15.75" hidden="1" customHeight="1">
      <c r="B180" s="34">
        <v>46094.0</v>
      </c>
      <c r="C180" s="36">
        <v>517.0</v>
      </c>
      <c r="D180" s="36">
        <v>40.0</v>
      </c>
      <c r="E180" s="38">
        <v>79.8</v>
      </c>
      <c r="F180" s="38">
        <f t="shared" si="2"/>
        <v>3192</v>
      </c>
      <c r="G180" s="36" t="s">
        <v>579</v>
      </c>
      <c r="H180" s="36">
        <v>116.0</v>
      </c>
      <c r="I180" s="36" t="s">
        <v>32</v>
      </c>
      <c r="J180" s="36" t="s">
        <v>40</v>
      </c>
      <c r="K180" s="36" t="s">
        <v>35</v>
      </c>
      <c r="L180" s="36" t="s">
        <v>515</v>
      </c>
      <c r="M180" s="36">
        <v>1.0</v>
      </c>
      <c r="N180" s="36"/>
      <c r="O180" s="45">
        <v>46098.0</v>
      </c>
      <c r="P180" s="34"/>
      <c r="Q180" s="34"/>
      <c r="R180" s="34"/>
      <c r="S180" s="34"/>
    </row>
    <row r="181" ht="15.75" hidden="1" customHeight="1">
      <c r="B181" s="34">
        <v>46094.0</v>
      </c>
      <c r="C181" s="36" t="s">
        <v>35</v>
      </c>
      <c r="D181" s="36">
        <v>4000.0</v>
      </c>
      <c r="E181" s="38">
        <v>8.3</v>
      </c>
      <c r="F181" s="38">
        <f t="shared" si="2"/>
        <v>33200</v>
      </c>
      <c r="G181" s="36" t="s">
        <v>1061</v>
      </c>
      <c r="H181" s="36" t="s">
        <v>35</v>
      </c>
      <c r="I181" s="36" t="s">
        <v>59</v>
      </c>
      <c r="J181" s="36" t="s">
        <v>40</v>
      </c>
      <c r="K181" s="36" t="s">
        <v>35</v>
      </c>
      <c r="L181" s="36" t="s">
        <v>132</v>
      </c>
      <c r="M181" s="36">
        <v>31.0</v>
      </c>
      <c r="N181" s="36"/>
      <c r="O181" s="36"/>
      <c r="P181" s="34"/>
      <c r="Q181" s="34"/>
      <c r="R181" s="34"/>
      <c r="S181" s="34"/>
    </row>
    <row r="182" ht="15.75" hidden="1" customHeight="1">
      <c r="B182" s="34">
        <v>46094.0</v>
      </c>
      <c r="C182" s="36">
        <v>3133.0</v>
      </c>
      <c r="D182" s="36">
        <v>100.0</v>
      </c>
      <c r="E182" s="38">
        <v>247.5</v>
      </c>
      <c r="F182" s="38">
        <f t="shared" si="2"/>
        <v>24750</v>
      </c>
      <c r="G182" s="36" t="s">
        <v>1063</v>
      </c>
      <c r="H182" s="36" t="s">
        <v>1064</v>
      </c>
      <c r="I182" s="36" t="s">
        <v>32</v>
      </c>
      <c r="J182" s="36" t="s">
        <v>34</v>
      </c>
      <c r="K182" s="36" t="s">
        <v>35</v>
      </c>
      <c r="L182" s="36" t="s">
        <v>46</v>
      </c>
      <c r="M182" s="36">
        <v>31.0</v>
      </c>
      <c r="N182" s="36"/>
      <c r="O182" s="45">
        <v>46112.0</v>
      </c>
      <c r="P182" s="34"/>
      <c r="Q182" s="34"/>
      <c r="R182" s="34"/>
      <c r="S182" s="34"/>
    </row>
    <row r="183" ht="15.75" hidden="1" customHeight="1">
      <c r="B183" s="34">
        <v>46097.0</v>
      </c>
      <c r="C183" s="36" t="s">
        <v>35</v>
      </c>
      <c r="D183" s="36">
        <v>1.0</v>
      </c>
      <c r="E183" s="38">
        <v>8400.0</v>
      </c>
      <c r="F183" s="38">
        <f t="shared" si="2"/>
        <v>8400</v>
      </c>
      <c r="G183" s="36" t="s">
        <v>1070</v>
      </c>
      <c r="H183" s="36" t="s">
        <v>35</v>
      </c>
      <c r="I183" s="36" t="s">
        <v>221</v>
      </c>
      <c r="J183" s="36" t="s">
        <v>34</v>
      </c>
      <c r="K183" s="36" t="s">
        <v>35</v>
      </c>
      <c r="L183" s="36" t="s">
        <v>35</v>
      </c>
      <c r="M183" s="36">
        <v>31.0</v>
      </c>
      <c r="N183" s="36"/>
      <c r="O183" s="36"/>
      <c r="P183" s="34"/>
      <c r="Q183" s="34"/>
      <c r="R183" s="34"/>
      <c r="S183" s="34"/>
    </row>
    <row r="184" ht="15.75" hidden="1" customHeight="1">
      <c r="B184" s="34">
        <v>46097.0</v>
      </c>
      <c r="C184" s="36" t="s">
        <v>35</v>
      </c>
      <c r="D184" s="36">
        <v>2.0</v>
      </c>
      <c r="E184" s="38">
        <v>1760.0</v>
      </c>
      <c r="F184" s="38">
        <f t="shared" si="2"/>
        <v>3520</v>
      </c>
      <c r="G184" s="36" t="s">
        <v>1074</v>
      </c>
      <c r="H184" s="36" t="s">
        <v>35</v>
      </c>
      <c r="I184" s="36" t="s">
        <v>221</v>
      </c>
      <c r="J184" s="36" t="s">
        <v>34</v>
      </c>
      <c r="K184" s="36" t="s">
        <v>35</v>
      </c>
      <c r="L184" s="36" t="s">
        <v>35</v>
      </c>
      <c r="M184" s="36">
        <v>31.0</v>
      </c>
      <c r="N184" s="36"/>
      <c r="O184" s="36"/>
      <c r="P184" s="34"/>
      <c r="Q184" s="34"/>
      <c r="R184" s="34"/>
      <c r="S184" s="34"/>
    </row>
    <row r="185" ht="15.75" hidden="1" customHeight="1">
      <c r="B185" s="34">
        <v>46097.0</v>
      </c>
      <c r="C185" s="36" t="s">
        <v>35</v>
      </c>
      <c r="D185" s="36">
        <v>1.0</v>
      </c>
      <c r="E185" s="38">
        <v>630.0</v>
      </c>
      <c r="F185" s="38">
        <f t="shared" si="2"/>
        <v>630</v>
      </c>
      <c r="G185" s="36" t="s">
        <v>1080</v>
      </c>
      <c r="H185" s="36" t="s">
        <v>35</v>
      </c>
      <c r="I185" s="36" t="s">
        <v>221</v>
      </c>
      <c r="J185" s="36" t="s">
        <v>34</v>
      </c>
      <c r="K185" s="36" t="s">
        <v>35</v>
      </c>
      <c r="L185" s="36" t="s">
        <v>35</v>
      </c>
      <c r="M185" s="36">
        <v>31.0</v>
      </c>
      <c r="N185" s="36"/>
      <c r="O185" s="36"/>
      <c r="P185" s="34"/>
      <c r="Q185" s="34"/>
      <c r="R185" s="34"/>
      <c r="S185" s="34"/>
    </row>
    <row r="186" ht="15.75" hidden="1" customHeight="1">
      <c r="B186" s="34">
        <v>46097.0</v>
      </c>
      <c r="C186" s="36">
        <v>910902.0</v>
      </c>
      <c r="D186" s="36">
        <v>1500.0</v>
      </c>
      <c r="E186" s="38">
        <v>71.0</v>
      </c>
      <c r="F186" s="38">
        <f t="shared" si="2"/>
        <v>106500</v>
      </c>
      <c r="G186" s="36" t="s">
        <v>1085</v>
      </c>
      <c r="H186" s="36">
        <v>65576.0</v>
      </c>
      <c r="I186" s="36" t="s">
        <v>41</v>
      </c>
      <c r="J186" s="36" t="s">
        <v>40</v>
      </c>
      <c r="K186" s="36" t="s">
        <v>35</v>
      </c>
      <c r="L186" s="36" t="s">
        <v>43</v>
      </c>
      <c r="M186" s="36">
        <v>1.0</v>
      </c>
      <c r="N186" s="36"/>
      <c r="O186" s="36"/>
      <c r="P186" s="34"/>
      <c r="Q186" s="34">
        <v>46127.0</v>
      </c>
      <c r="R186" s="34">
        <v>46157.0</v>
      </c>
      <c r="S186" s="35"/>
    </row>
    <row r="187" ht="15.75" hidden="1" customHeight="1">
      <c r="B187" s="34">
        <v>46097.0</v>
      </c>
      <c r="C187" s="36">
        <v>2339.0</v>
      </c>
      <c r="D187" s="36">
        <v>150.0</v>
      </c>
      <c r="E187" s="38">
        <v>120.0</v>
      </c>
      <c r="F187" s="38">
        <f t="shared" si="2"/>
        <v>18000</v>
      </c>
      <c r="G187" s="36" t="s">
        <v>1091</v>
      </c>
      <c r="H187" s="36">
        <v>2300.0</v>
      </c>
      <c r="I187" s="36" t="s">
        <v>41</v>
      </c>
      <c r="J187" s="36" t="s">
        <v>34</v>
      </c>
      <c r="K187" s="36" t="s">
        <v>35</v>
      </c>
      <c r="L187" s="36" t="s">
        <v>1093</v>
      </c>
      <c r="M187" s="36">
        <v>31.0</v>
      </c>
      <c r="N187" s="36"/>
      <c r="O187" s="36"/>
      <c r="P187" s="34">
        <v>46097.0</v>
      </c>
      <c r="Q187" s="34"/>
      <c r="R187" s="34"/>
      <c r="S187" s="34"/>
    </row>
    <row r="188" ht="15.75" hidden="1" customHeight="1">
      <c r="B188" s="34">
        <v>46097.0</v>
      </c>
      <c r="C188" s="36">
        <v>9662.0</v>
      </c>
      <c r="D188" s="36">
        <v>20.0</v>
      </c>
      <c r="E188" s="38">
        <v>89.9</v>
      </c>
      <c r="F188" s="38">
        <f t="shared" si="2"/>
        <v>1798</v>
      </c>
      <c r="G188" s="36" t="s">
        <v>207</v>
      </c>
      <c r="H188" s="36" t="s">
        <v>208</v>
      </c>
      <c r="I188" s="36" t="s">
        <v>41</v>
      </c>
      <c r="J188" s="36" t="s">
        <v>34</v>
      </c>
      <c r="K188" s="36" t="s">
        <v>35</v>
      </c>
      <c r="L188" s="36" t="s">
        <v>96</v>
      </c>
      <c r="M188" s="36">
        <v>31.0</v>
      </c>
      <c r="N188" s="36"/>
      <c r="O188" s="45">
        <v>46098.0</v>
      </c>
      <c r="P188" s="34"/>
      <c r="Q188" s="34"/>
      <c r="R188" s="34"/>
      <c r="S188" s="34"/>
    </row>
    <row r="189" ht="15.75" hidden="1" customHeight="1">
      <c r="B189" s="34">
        <v>46097.0</v>
      </c>
      <c r="C189" s="36">
        <v>9662.0</v>
      </c>
      <c r="D189" s="36">
        <v>100.0</v>
      </c>
      <c r="E189" s="38">
        <v>7.99</v>
      </c>
      <c r="F189" s="38">
        <f t="shared" si="2"/>
        <v>799</v>
      </c>
      <c r="G189" s="36" t="s">
        <v>1102</v>
      </c>
      <c r="H189" s="36" t="s">
        <v>1103</v>
      </c>
      <c r="I189" s="36" t="s">
        <v>41</v>
      </c>
      <c r="J189" s="36" t="s">
        <v>34</v>
      </c>
      <c r="K189" s="36" t="s">
        <v>35</v>
      </c>
      <c r="L189" s="36" t="s">
        <v>96</v>
      </c>
      <c r="M189" s="36">
        <v>31.0</v>
      </c>
      <c r="N189" s="36"/>
      <c r="O189" s="45">
        <v>46098.0</v>
      </c>
      <c r="P189" s="34"/>
      <c r="Q189" s="34"/>
      <c r="R189" s="34"/>
      <c r="S189" s="34"/>
    </row>
    <row r="190" ht="15.75" hidden="1" customHeight="1">
      <c r="B190" s="34">
        <v>46097.0</v>
      </c>
      <c r="C190" s="36">
        <v>9662.0</v>
      </c>
      <c r="D190" s="36">
        <v>200.0</v>
      </c>
      <c r="E190" s="38">
        <v>4.9</v>
      </c>
      <c r="F190" s="38">
        <f t="shared" si="2"/>
        <v>980</v>
      </c>
      <c r="G190" s="36" t="s">
        <v>1107</v>
      </c>
      <c r="H190" s="36" t="s">
        <v>1108</v>
      </c>
      <c r="I190" s="36" t="s">
        <v>41</v>
      </c>
      <c r="J190" s="36" t="s">
        <v>34</v>
      </c>
      <c r="K190" s="36" t="s">
        <v>35</v>
      </c>
      <c r="L190" s="36" t="s">
        <v>96</v>
      </c>
      <c r="M190" s="36">
        <v>31.0</v>
      </c>
      <c r="N190" s="36"/>
      <c r="O190" s="45">
        <v>46098.0</v>
      </c>
      <c r="P190" s="34"/>
      <c r="Q190" s="34"/>
      <c r="R190" s="34"/>
      <c r="S190" s="34"/>
    </row>
    <row r="191" ht="15.75" hidden="1" customHeight="1">
      <c r="B191" s="34">
        <v>46097.0</v>
      </c>
      <c r="C191" s="36">
        <v>9662.0</v>
      </c>
      <c r="D191" s="36">
        <v>400.0</v>
      </c>
      <c r="E191" s="38">
        <v>2.5</v>
      </c>
      <c r="F191" s="38">
        <f t="shared" si="2"/>
        <v>1000</v>
      </c>
      <c r="G191" s="36" t="s">
        <v>1113</v>
      </c>
      <c r="H191" s="36" t="s">
        <v>1114</v>
      </c>
      <c r="I191" s="36" t="s">
        <v>41</v>
      </c>
      <c r="J191" s="36" t="s">
        <v>34</v>
      </c>
      <c r="K191" s="36" t="s">
        <v>35</v>
      </c>
      <c r="L191" s="36" t="s">
        <v>96</v>
      </c>
      <c r="M191" s="36">
        <v>31.0</v>
      </c>
      <c r="N191" s="36"/>
      <c r="O191" s="45">
        <v>46098.0</v>
      </c>
      <c r="P191" s="34"/>
      <c r="Q191" s="34"/>
      <c r="R191" s="34"/>
      <c r="S191" s="34"/>
    </row>
    <row r="192" ht="15.75" hidden="1" customHeight="1">
      <c r="B192" s="34">
        <v>46097.0</v>
      </c>
      <c r="C192" s="36">
        <v>9662.0</v>
      </c>
      <c r="D192" s="36">
        <v>50.0</v>
      </c>
      <c r="E192" s="38">
        <v>68.9</v>
      </c>
      <c r="F192" s="38">
        <f t="shared" si="2"/>
        <v>3445</v>
      </c>
      <c r="G192" s="36" t="s">
        <v>1117</v>
      </c>
      <c r="H192" s="36" t="s">
        <v>1118</v>
      </c>
      <c r="I192" s="36" t="s">
        <v>41</v>
      </c>
      <c r="J192" s="36" t="s">
        <v>34</v>
      </c>
      <c r="K192" s="36" t="s">
        <v>35</v>
      </c>
      <c r="L192" s="36" t="s">
        <v>96</v>
      </c>
      <c r="M192" s="36">
        <v>31.0</v>
      </c>
      <c r="N192" s="36"/>
      <c r="O192" s="45">
        <v>46098.0</v>
      </c>
      <c r="P192" s="34"/>
      <c r="Q192" s="34"/>
      <c r="R192" s="34"/>
      <c r="S192" s="34"/>
    </row>
    <row r="193" ht="15.75" hidden="1" customHeight="1">
      <c r="B193" s="34">
        <v>46097.0</v>
      </c>
      <c r="C193" s="36">
        <v>9662.0</v>
      </c>
      <c r="D193" s="36">
        <v>10.0</v>
      </c>
      <c r="E193" s="38">
        <v>79.9</v>
      </c>
      <c r="F193" s="38">
        <f t="shared" si="2"/>
        <v>799</v>
      </c>
      <c r="G193" s="36" t="s">
        <v>1122</v>
      </c>
      <c r="H193" s="36" t="s">
        <v>1123</v>
      </c>
      <c r="I193" s="36" t="s">
        <v>41</v>
      </c>
      <c r="J193" s="36" t="s">
        <v>34</v>
      </c>
      <c r="K193" s="36" t="s">
        <v>35</v>
      </c>
      <c r="L193" s="36" t="s">
        <v>96</v>
      </c>
      <c r="M193" s="36">
        <v>31.0</v>
      </c>
      <c r="N193" s="36"/>
      <c r="O193" s="45">
        <v>46098.0</v>
      </c>
      <c r="P193" s="34"/>
      <c r="Q193" s="34"/>
      <c r="R193" s="34"/>
      <c r="S193" s="34"/>
    </row>
    <row r="194" ht="15.75" hidden="1" customHeight="1">
      <c r="B194" s="34">
        <v>46097.0</v>
      </c>
      <c r="C194" s="36">
        <v>9662.0</v>
      </c>
      <c r="D194" s="36">
        <v>2.0</v>
      </c>
      <c r="E194" s="38">
        <v>299.9</v>
      </c>
      <c r="F194" s="38">
        <f t="shared" si="2"/>
        <v>599.8</v>
      </c>
      <c r="G194" s="36" t="s">
        <v>1128</v>
      </c>
      <c r="H194" s="36" t="s">
        <v>230</v>
      </c>
      <c r="I194" s="36" t="s">
        <v>41</v>
      </c>
      <c r="J194" s="36" t="s">
        <v>34</v>
      </c>
      <c r="K194" s="36" t="s">
        <v>35</v>
      </c>
      <c r="L194" s="36" t="s">
        <v>96</v>
      </c>
      <c r="M194" s="36">
        <v>31.0</v>
      </c>
      <c r="N194" s="36"/>
      <c r="O194" s="45">
        <v>46098.0</v>
      </c>
      <c r="P194" s="34"/>
      <c r="Q194" s="34"/>
      <c r="R194" s="34"/>
      <c r="S194" s="34"/>
    </row>
    <row r="195" ht="15.75" hidden="1" customHeight="1">
      <c r="B195" s="34">
        <v>46097.0</v>
      </c>
      <c r="C195" s="36">
        <v>9723.0</v>
      </c>
      <c r="D195" s="36">
        <v>1.0</v>
      </c>
      <c r="E195" s="38">
        <v>249.9</v>
      </c>
      <c r="F195" s="38">
        <f t="shared" si="2"/>
        <v>249.9</v>
      </c>
      <c r="G195" s="36" t="s">
        <v>1133</v>
      </c>
      <c r="H195" s="36" t="s">
        <v>188</v>
      </c>
      <c r="I195" s="36" t="s">
        <v>240</v>
      </c>
      <c r="J195" s="36" t="s">
        <v>34</v>
      </c>
      <c r="K195" s="36" t="s">
        <v>183</v>
      </c>
      <c r="L195" s="36" t="s">
        <v>96</v>
      </c>
      <c r="M195" s="36">
        <v>31.0</v>
      </c>
      <c r="N195" s="36"/>
      <c r="O195" s="45">
        <v>46100.0</v>
      </c>
      <c r="P195" s="34"/>
      <c r="Q195" s="34"/>
      <c r="R195" s="34"/>
      <c r="S195" s="34"/>
    </row>
    <row r="196" ht="15.75" hidden="1" customHeight="1">
      <c r="B196" s="34">
        <v>46097.0</v>
      </c>
      <c r="C196" s="36">
        <v>9723.0</v>
      </c>
      <c r="D196" s="36">
        <v>5.0</v>
      </c>
      <c r="E196" s="38">
        <v>249.9</v>
      </c>
      <c r="F196" s="38">
        <f t="shared" si="2"/>
        <v>1249.5</v>
      </c>
      <c r="G196" s="36" t="s">
        <v>1133</v>
      </c>
      <c r="H196" s="36" t="s">
        <v>188</v>
      </c>
      <c r="I196" s="36" t="s">
        <v>240</v>
      </c>
      <c r="J196" s="36" t="s">
        <v>40</v>
      </c>
      <c r="K196" s="36" t="s">
        <v>35</v>
      </c>
      <c r="L196" s="36" t="s">
        <v>96</v>
      </c>
      <c r="M196" s="36">
        <v>31.0</v>
      </c>
      <c r="N196" s="36"/>
      <c r="O196" s="45">
        <v>46100.0</v>
      </c>
      <c r="P196" s="34"/>
      <c r="Q196" s="34"/>
      <c r="R196" s="34"/>
      <c r="S196" s="34"/>
    </row>
    <row r="197" ht="15.75" hidden="1" customHeight="1">
      <c r="B197" s="34">
        <v>46097.0</v>
      </c>
      <c r="C197" s="36">
        <v>910974.0</v>
      </c>
      <c r="D197" s="36">
        <v>2000.0</v>
      </c>
      <c r="E197" s="38">
        <v>2.95</v>
      </c>
      <c r="F197" s="38">
        <f t="shared" si="2"/>
        <v>5900</v>
      </c>
      <c r="G197" s="36" t="s">
        <v>1140</v>
      </c>
      <c r="H197" s="36">
        <v>44561.0</v>
      </c>
      <c r="I197" s="36" t="s">
        <v>300</v>
      </c>
      <c r="J197" s="36" t="s">
        <v>34</v>
      </c>
      <c r="K197" s="36" t="s">
        <v>35</v>
      </c>
      <c r="L197" s="36" t="s">
        <v>43</v>
      </c>
      <c r="M197" s="36">
        <v>31.0</v>
      </c>
      <c r="N197" s="36"/>
      <c r="O197" s="36"/>
      <c r="P197" s="34"/>
      <c r="Q197" s="34"/>
      <c r="R197" s="34"/>
      <c r="S197" s="34"/>
    </row>
    <row r="198" ht="15.75" hidden="1" customHeight="1">
      <c r="B198" s="34">
        <v>46097.0</v>
      </c>
      <c r="C198" s="36">
        <v>910974.0</v>
      </c>
      <c r="D198" s="36">
        <v>100.0</v>
      </c>
      <c r="E198" s="38">
        <v>249.9</v>
      </c>
      <c r="F198" s="38">
        <f t="shared" si="2"/>
        <v>24990</v>
      </c>
      <c r="G198" s="36" t="s">
        <v>930</v>
      </c>
      <c r="H198" s="36">
        <v>64508.0</v>
      </c>
      <c r="I198" s="36" t="s">
        <v>300</v>
      </c>
      <c r="J198" s="36" t="s">
        <v>34</v>
      </c>
      <c r="K198" s="36" t="s">
        <v>35</v>
      </c>
      <c r="L198" s="36" t="s">
        <v>43</v>
      </c>
      <c r="M198" s="36">
        <v>31.0</v>
      </c>
      <c r="N198" s="36"/>
      <c r="O198" s="36"/>
      <c r="P198" s="34"/>
      <c r="Q198" s="34"/>
      <c r="R198" s="34"/>
      <c r="S198" s="34"/>
    </row>
    <row r="199" ht="15.75" hidden="1" customHeight="1">
      <c r="B199" s="34">
        <v>46098.0</v>
      </c>
      <c r="C199" s="36">
        <v>3267.0</v>
      </c>
      <c r="D199" s="36">
        <v>200.0</v>
      </c>
      <c r="E199" s="38">
        <v>324.0</v>
      </c>
      <c r="F199" s="38">
        <f t="shared" si="2"/>
        <v>64800</v>
      </c>
      <c r="G199" s="36" t="s">
        <v>1150</v>
      </c>
      <c r="H199" s="36" t="s">
        <v>92</v>
      </c>
      <c r="I199" s="36" t="s">
        <v>59</v>
      </c>
      <c r="J199" s="36" t="s">
        <v>34</v>
      </c>
      <c r="K199" s="36" t="s">
        <v>35</v>
      </c>
      <c r="L199" s="35" t="s">
        <v>46</v>
      </c>
      <c r="M199" s="36">
        <v>31.0</v>
      </c>
      <c r="N199" s="36"/>
      <c r="O199" s="45">
        <v>46098.0</v>
      </c>
      <c r="P199" s="34"/>
      <c r="Q199" s="34"/>
      <c r="R199" s="34"/>
      <c r="S199" s="34"/>
    </row>
    <row r="200" ht="15.75" hidden="1" customHeight="1">
      <c r="B200" s="34">
        <v>46098.0</v>
      </c>
      <c r="C200" s="36">
        <v>3286.0</v>
      </c>
      <c r="D200" s="36">
        <v>20.0</v>
      </c>
      <c r="E200" s="38">
        <v>738.0</v>
      </c>
      <c r="F200" s="38">
        <f t="shared" si="2"/>
        <v>14760</v>
      </c>
      <c r="G200" s="36" t="s">
        <v>768</v>
      </c>
      <c r="H200" s="36" t="s">
        <v>771</v>
      </c>
      <c r="I200" s="36" t="s">
        <v>59</v>
      </c>
      <c r="J200" s="36" t="s">
        <v>34</v>
      </c>
      <c r="K200" s="36" t="s">
        <v>35</v>
      </c>
      <c r="L200" s="36" t="s">
        <v>46</v>
      </c>
      <c r="M200" s="36">
        <v>31.0</v>
      </c>
      <c r="N200" s="36"/>
      <c r="O200" s="45">
        <v>46098.0</v>
      </c>
      <c r="P200" s="34"/>
      <c r="Q200" s="34"/>
      <c r="R200" s="34"/>
      <c r="S200" s="34"/>
    </row>
    <row r="201" ht="15.75" hidden="1" customHeight="1">
      <c r="B201" s="34">
        <v>46098.0</v>
      </c>
      <c r="C201" s="36">
        <v>9729.0</v>
      </c>
      <c r="D201" s="36">
        <v>2.0</v>
      </c>
      <c r="E201" s="38">
        <v>589.9</v>
      </c>
      <c r="F201" s="38">
        <f t="shared" si="2"/>
        <v>1179.8</v>
      </c>
      <c r="G201" s="36" t="s">
        <v>1159</v>
      </c>
      <c r="H201" s="36" t="s">
        <v>1160</v>
      </c>
      <c r="I201" s="36" t="s">
        <v>32</v>
      </c>
      <c r="J201" s="36" t="s">
        <v>34</v>
      </c>
      <c r="K201" s="36" t="s">
        <v>35</v>
      </c>
      <c r="L201" s="36" t="s">
        <v>96</v>
      </c>
      <c r="M201" s="36">
        <v>1.0</v>
      </c>
      <c r="N201" s="36"/>
      <c r="O201" s="36"/>
      <c r="P201" s="34"/>
      <c r="Q201" s="34"/>
      <c r="R201" s="34"/>
      <c r="S201" s="34"/>
    </row>
    <row r="202" ht="15.75" hidden="1" customHeight="1">
      <c r="B202" s="34">
        <v>46098.0</v>
      </c>
      <c r="C202" s="36">
        <v>9735.0</v>
      </c>
      <c r="D202" s="36">
        <v>5.0</v>
      </c>
      <c r="E202" s="38">
        <v>259.9</v>
      </c>
      <c r="F202" s="38">
        <f t="shared" si="2"/>
        <v>1299.5</v>
      </c>
      <c r="G202" s="36" t="s">
        <v>1166</v>
      </c>
      <c r="H202" s="36" t="s">
        <v>1167</v>
      </c>
      <c r="I202" s="36" t="s">
        <v>32</v>
      </c>
      <c r="J202" s="36" t="s">
        <v>34</v>
      </c>
      <c r="K202" s="36" t="s">
        <v>35</v>
      </c>
      <c r="L202" s="36" t="s">
        <v>96</v>
      </c>
      <c r="M202" s="36">
        <v>1.0</v>
      </c>
      <c r="N202" s="36"/>
      <c r="O202" s="45">
        <v>46100.0</v>
      </c>
      <c r="P202" s="34"/>
      <c r="Q202" s="34"/>
      <c r="R202" s="34"/>
      <c r="S202" s="34"/>
    </row>
    <row r="203" ht="15.75" hidden="1" customHeight="1">
      <c r="B203" s="34">
        <v>46098.0</v>
      </c>
      <c r="C203" s="36">
        <v>9743.0</v>
      </c>
      <c r="D203" s="36">
        <v>1.0</v>
      </c>
      <c r="E203" s="38">
        <v>529.9</v>
      </c>
      <c r="F203" s="38">
        <f t="shared" si="2"/>
        <v>529.9</v>
      </c>
      <c r="G203" s="36" t="s">
        <v>1171</v>
      </c>
      <c r="H203" s="36" t="s">
        <v>1173</v>
      </c>
      <c r="I203" s="36" t="s">
        <v>240</v>
      </c>
      <c r="J203" s="36" t="s">
        <v>34</v>
      </c>
      <c r="K203" s="36" t="s">
        <v>183</v>
      </c>
      <c r="L203" s="36" t="s">
        <v>96</v>
      </c>
      <c r="M203" s="36">
        <v>1.0</v>
      </c>
      <c r="N203" s="36"/>
      <c r="O203" s="45">
        <v>46112.0</v>
      </c>
      <c r="P203" s="34"/>
      <c r="Q203" s="34"/>
      <c r="R203" s="34"/>
      <c r="S203" s="34"/>
    </row>
    <row r="204" ht="15.75" hidden="1" customHeight="1">
      <c r="B204" s="34">
        <v>46098.0</v>
      </c>
      <c r="C204" s="36">
        <v>9750.0</v>
      </c>
      <c r="D204" s="36">
        <v>240.0</v>
      </c>
      <c r="E204" s="38">
        <v>25.99</v>
      </c>
      <c r="F204" s="38">
        <f t="shared" si="2"/>
        <v>6237.6</v>
      </c>
      <c r="G204" s="36" t="s">
        <v>1176</v>
      </c>
      <c r="H204" s="36" t="s">
        <v>419</v>
      </c>
      <c r="I204" s="36" t="s">
        <v>77</v>
      </c>
      <c r="J204" s="36" t="s">
        <v>79</v>
      </c>
      <c r="K204" s="36" t="s">
        <v>35</v>
      </c>
      <c r="L204" s="36" t="s">
        <v>96</v>
      </c>
      <c r="M204" s="36">
        <v>1.0</v>
      </c>
      <c r="N204" s="36"/>
      <c r="O204" s="36"/>
      <c r="P204" s="34"/>
      <c r="Q204" s="34"/>
      <c r="R204" s="34"/>
      <c r="S204" s="34"/>
    </row>
    <row r="205" ht="15.75" hidden="1" customHeight="1">
      <c r="B205" s="34">
        <v>46098.0</v>
      </c>
      <c r="C205" s="36">
        <v>8796.0</v>
      </c>
      <c r="D205" s="36">
        <v>200.0</v>
      </c>
      <c r="E205" s="38">
        <v>9.486</v>
      </c>
      <c r="F205" s="38">
        <f t="shared" si="2"/>
        <v>1897.2</v>
      </c>
      <c r="G205" s="36" t="s">
        <v>1181</v>
      </c>
      <c r="H205" s="36" t="s">
        <v>561</v>
      </c>
      <c r="I205" s="36" t="s">
        <v>77</v>
      </c>
      <c r="J205" s="36" t="s">
        <v>79</v>
      </c>
      <c r="K205" s="36" t="s">
        <v>35</v>
      </c>
      <c r="L205" s="36" t="s">
        <v>210</v>
      </c>
      <c r="M205" s="36">
        <v>1.0</v>
      </c>
      <c r="N205" s="36"/>
      <c r="O205" s="36"/>
      <c r="P205" s="34"/>
      <c r="Q205" s="34"/>
      <c r="R205" s="34"/>
      <c r="S205" s="34"/>
    </row>
    <row r="206" ht="15.75" hidden="1" customHeight="1">
      <c r="B206" s="34">
        <v>46098.0</v>
      </c>
      <c r="C206" s="36" t="s">
        <v>35</v>
      </c>
      <c r="D206" s="36">
        <v>2.0</v>
      </c>
      <c r="E206" s="38">
        <v>3500.0</v>
      </c>
      <c r="F206" s="38">
        <f t="shared" si="2"/>
        <v>7000</v>
      </c>
      <c r="G206" s="36" t="s">
        <v>1186</v>
      </c>
      <c r="H206" s="36" t="s">
        <v>35</v>
      </c>
      <c r="I206" s="36" t="s">
        <v>41</v>
      </c>
      <c r="J206" s="36" t="s">
        <v>34</v>
      </c>
      <c r="K206" s="36" t="s">
        <v>35</v>
      </c>
      <c r="L206" s="36" t="s">
        <v>35</v>
      </c>
      <c r="M206" s="36">
        <v>31.0</v>
      </c>
      <c r="N206" s="36"/>
      <c r="O206" s="36"/>
      <c r="P206" s="34"/>
      <c r="Q206" s="34"/>
      <c r="R206" s="34"/>
      <c r="S206" s="34"/>
    </row>
    <row r="207" ht="15.75" hidden="1" customHeight="1">
      <c r="B207" s="34">
        <v>46098.0</v>
      </c>
      <c r="C207" s="36">
        <v>1332.0</v>
      </c>
      <c r="D207" s="36">
        <v>1.0</v>
      </c>
      <c r="E207" s="38">
        <v>2906.4</v>
      </c>
      <c r="F207" s="38">
        <f t="shared" si="2"/>
        <v>2906.4</v>
      </c>
      <c r="G207" s="36" t="s">
        <v>1192</v>
      </c>
      <c r="H207" s="36" t="s">
        <v>1193</v>
      </c>
      <c r="I207" s="36" t="s">
        <v>41</v>
      </c>
      <c r="J207" s="36" t="s">
        <v>34</v>
      </c>
      <c r="K207" s="36" t="s">
        <v>183</v>
      </c>
      <c r="L207" s="36"/>
      <c r="M207" s="36"/>
      <c r="N207" s="36"/>
      <c r="O207" s="36"/>
      <c r="P207" s="34"/>
      <c r="Q207" s="34"/>
      <c r="R207" s="34"/>
      <c r="S207" s="34"/>
    </row>
    <row r="208" ht="15.75" hidden="1" customHeight="1">
      <c r="B208" s="34">
        <v>46098.0</v>
      </c>
      <c r="C208" s="36">
        <v>1332.0</v>
      </c>
      <c r="D208" s="36">
        <v>1.0</v>
      </c>
      <c r="E208" s="38">
        <v>3528.0</v>
      </c>
      <c r="F208" s="38">
        <f t="shared" si="2"/>
        <v>3528</v>
      </c>
      <c r="G208" s="36" t="s">
        <v>1192</v>
      </c>
      <c r="H208" s="36" t="s">
        <v>1200</v>
      </c>
      <c r="I208" s="36" t="s">
        <v>41</v>
      </c>
      <c r="J208" s="36" t="s">
        <v>34</v>
      </c>
      <c r="K208" s="36" t="s">
        <v>183</v>
      </c>
      <c r="L208" s="36"/>
      <c r="M208" s="36"/>
      <c r="N208" s="36"/>
      <c r="O208" s="45">
        <v>46101.0</v>
      </c>
      <c r="P208" s="34"/>
      <c r="Q208" s="34"/>
      <c r="R208" s="34"/>
      <c r="S208" s="34"/>
    </row>
    <row r="209" ht="15.75" hidden="1" customHeight="1">
      <c r="B209" s="34">
        <v>46098.0</v>
      </c>
      <c r="C209" s="36">
        <v>3307.0</v>
      </c>
      <c r="D209" s="36">
        <v>100.0</v>
      </c>
      <c r="E209" s="38">
        <v>85.5</v>
      </c>
      <c r="F209" s="38">
        <f t="shared" si="2"/>
        <v>8550</v>
      </c>
      <c r="G209" s="36" t="s">
        <v>163</v>
      </c>
      <c r="H209" s="36" t="s">
        <v>636</v>
      </c>
      <c r="I209" s="36" t="s">
        <v>41</v>
      </c>
      <c r="J209" s="36" t="s">
        <v>34</v>
      </c>
      <c r="K209" s="36" t="s">
        <v>35</v>
      </c>
      <c r="L209" s="36" t="s">
        <v>62</v>
      </c>
      <c r="M209" s="36">
        <v>1.0</v>
      </c>
      <c r="N209" s="36"/>
      <c r="O209" s="45">
        <v>46100.0</v>
      </c>
      <c r="P209" s="34"/>
      <c r="Q209" s="34"/>
      <c r="R209" s="34"/>
      <c r="S209" s="34"/>
    </row>
    <row r="210" ht="15.75" hidden="1" customHeight="1">
      <c r="B210" s="34">
        <v>46098.0</v>
      </c>
      <c r="C210" s="36" t="s">
        <v>35</v>
      </c>
      <c r="D210" s="36">
        <v>5.0</v>
      </c>
      <c r="E210" s="38">
        <v>330.0</v>
      </c>
      <c r="F210" s="38">
        <f t="shared" si="2"/>
        <v>1650</v>
      </c>
      <c r="G210" s="36" t="s">
        <v>1208</v>
      </c>
      <c r="H210" s="36" t="s">
        <v>35</v>
      </c>
      <c r="I210" s="36" t="s">
        <v>41</v>
      </c>
      <c r="J210" s="36" t="s">
        <v>34</v>
      </c>
      <c r="K210" s="36" t="s">
        <v>35</v>
      </c>
      <c r="L210" s="36" t="s">
        <v>35</v>
      </c>
      <c r="M210" s="36">
        <v>31.0</v>
      </c>
      <c r="N210" s="36"/>
      <c r="O210" s="45">
        <v>46101.0</v>
      </c>
      <c r="P210" s="34"/>
      <c r="Q210" s="34"/>
      <c r="R210" s="34"/>
      <c r="S210" s="34"/>
    </row>
    <row r="211" ht="15.75" hidden="1" customHeight="1">
      <c r="B211" s="34">
        <v>46098.0</v>
      </c>
      <c r="C211" s="36" t="s">
        <v>35</v>
      </c>
      <c r="D211" s="36">
        <v>4.0</v>
      </c>
      <c r="E211" s="38">
        <v>350.0</v>
      </c>
      <c r="F211" s="38">
        <f t="shared" si="2"/>
        <v>1400</v>
      </c>
      <c r="G211" s="36" t="s">
        <v>1212</v>
      </c>
      <c r="H211" s="36" t="s">
        <v>35</v>
      </c>
      <c r="I211" s="36" t="s">
        <v>41</v>
      </c>
      <c r="J211" s="36" t="s">
        <v>34</v>
      </c>
      <c r="K211" s="36" t="s">
        <v>35</v>
      </c>
      <c r="L211" s="36" t="s">
        <v>35</v>
      </c>
      <c r="M211" s="36">
        <v>31.0</v>
      </c>
      <c r="N211" s="36"/>
      <c r="O211" s="45">
        <v>46101.0</v>
      </c>
      <c r="P211" s="34"/>
      <c r="Q211" s="34"/>
      <c r="R211" s="34"/>
      <c r="S211" s="34"/>
    </row>
    <row r="212" ht="15.75" hidden="1" customHeight="1">
      <c r="B212" s="34">
        <v>46098.0</v>
      </c>
      <c r="C212" s="36" t="s">
        <v>35</v>
      </c>
      <c r="D212" s="36">
        <v>3.0</v>
      </c>
      <c r="E212" s="38">
        <v>520.0</v>
      </c>
      <c r="F212" s="38">
        <f t="shared" si="2"/>
        <v>1560</v>
      </c>
      <c r="G212" s="36" t="s">
        <v>1216</v>
      </c>
      <c r="H212" s="36" t="s">
        <v>35</v>
      </c>
      <c r="I212" s="36" t="s">
        <v>41</v>
      </c>
      <c r="J212" s="36" t="s">
        <v>34</v>
      </c>
      <c r="K212" s="36" t="s">
        <v>35</v>
      </c>
      <c r="L212" s="36" t="s">
        <v>35</v>
      </c>
      <c r="M212" s="36">
        <v>31.0</v>
      </c>
      <c r="N212" s="36"/>
      <c r="O212" s="45">
        <v>46101.0</v>
      </c>
      <c r="P212" s="34"/>
      <c r="Q212" s="34"/>
      <c r="R212" s="34"/>
      <c r="S212" s="34"/>
    </row>
    <row r="213" ht="15.75" hidden="1" customHeight="1">
      <c r="B213" s="34">
        <v>46098.0</v>
      </c>
      <c r="C213" s="36" t="s">
        <v>35</v>
      </c>
      <c r="D213" s="36">
        <v>2.0</v>
      </c>
      <c r="E213" s="38">
        <v>820.0</v>
      </c>
      <c r="F213" s="38">
        <f t="shared" si="2"/>
        <v>1640</v>
      </c>
      <c r="G213" s="36" t="s">
        <v>1224</v>
      </c>
      <c r="H213" s="36" t="s">
        <v>35</v>
      </c>
      <c r="I213" s="36" t="s">
        <v>41</v>
      </c>
      <c r="J213" s="36" t="s">
        <v>34</v>
      </c>
      <c r="K213" s="36" t="s">
        <v>35</v>
      </c>
      <c r="L213" s="36" t="s">
        <v>35</v>
      </c>
      <c r="M213" s="36">
        <v>31.0</v>
      </c>
      <c r="N213" s="36"/>
      <c r="O213" s="45">
        <v>46101.0</v>
      </c>
      <c r="P213" s="34"/>
      <c r="Q213" s="34"/>
      <c r="R213" s="34"/>
      <c r="S213" s="34"/>
    </row>
    <row r="214" ht="15.75" hidden="1" customHeight="1">
      <c r="B214" s="34">
        <v>46098.0</v>
      </c>
      <c r="C214" s="36" t="s">
        <v>35</v>
      </c>
      <c r="D214" s="36">
        <v>2.0</v>
      </c>
      <c r="E214" s="38">
        <v>560.0</v>
      </c>
      <c r="F214" s="38">
        <f t="shared" si="2"/>
        <v>1120</v>
      </c>
      <c r="G214" s="36" t="s">
        <v>1226</v>
      </c>
      <c r="H214" s="36" t="s">
        <v>35</v>
      </c>
      <c r="I214" s="36" t="s">
        <v>41</v>
      </c>
      <c r="J214" s="36" t="s">
        <v>34</v>
      </c>
      <c r="K214" s="36" t="s">
        <v>35</v>
      </c>
      <c r="L214" s="36" t="s">
        <v>35</v>
      </c>
      <c r="M214" s="36">
        <v>31.0</v>
      </c>
      <c r="N214" s="36"/>
      <c r="O214" s="45">
        <v>46101.0</v>
      </c>
      <c r="P214" s="34"/>
      <c r="Q214" s="34"/>
      <c r="R214" s="34"/>
      <c r="S214" s="34"/>
    </row>
    <row r="215" ht="15.75" hidden="1" customHeight="1">
      <c r="B215" s="34">
        <v>46098.0</v>
      </c>
      <c r="C215" s="36" t="s">
        <v>35</v>
      </c>
      <c r="D215" s="36">
        <v>2.0</v>
      </c>
      <c r="E215" s="38">
        <v>825.0</v>
      </c>
      <c r="F215" s="38">
        <f t="shared" si="2"/>
        <v>1650</v>
      </c>
      <c r="G215" s="36" t="s">
        <v>1233</v>
      </c>
      <c r="H215" s="36" t="s">
        <v>35</v>
      </c>
      <c r="I215" s="36" t="s">
        <v>41</v>
      </c>
      <c r="J215" s="36" t="s">
        <v>34</v>
      </c>
      <c r="K215" s="36" t="s">
        <v>35</v>
      </c>
      <c r="L215" s="36" t="s">
        <v>35</v>
      </c>
      <c r="M215" s="36">
        <v>31.0</v>
      </c>
      <c r="N215" s="36"/>
      <c r="O215" s="45">
        <v>46101.0</v>
      </c>
      <c r="P215" s="34"/>
      <c r="Q215" s="34"/>
      <c r="R215" s="34"/>
      <c r="S215" s="34"/>
    </row>
    <row r="216" ht="15.75" hidden="1" customHeight="1">
      <c r="B216" s="45">
        <v>46098.0</v>
      </c>
      <c r="C216" s="36">
        <v>403734.0</v>
      </c>
      <c r="D216" s="36">
        <v>4.0</v>
      </c>
      <c r="E216" s="38">
        <v>1069.2</v>
      </c>
      <c r="F216" s="38">
        <f t="shared" si="2"/>
        <v>4276.8</v>
      </c>
      <c r="G216" s="36" t="s">
        <v>1235</v>
      </c>
      <c r="H216" s="36" t="s">
        <v>1237</v>
      </c>
      <c r="I216" s="36" t="s">
        <v>673</v>
      </c>
      <c r="J216" s="36" t="s">
        <v>175</v>
      </c>
      <c r="K216" s="36" t="s">
        <v>35</v>
      </c>
      <c r="L216" s="36" t="s">
        <v>1240</v>
      </c>
      <c r="M216" s="36">
        <v>1.0</v>
      </c>
      <c r="N216" s="36"/>
      <c r="O216" s="45">
        <v>46122.0</v>
      </c>
      <c r="P216" s="34"/>
      <c r="Q216" s="34">
        <v>46126.0</v>
      </c>
      <c r="R216" s="34">
        <v>46154.0</v>
      </c>
      <c r="S216" s="35"/>
    </row>
    <row r="217" ht="15.75" hidden="1" customHeight="1">
      <c r="B217" s="34">
        <v>46098.0</v>
      </c>
      <c r="C217" s="36">
        <v>8803.0</v>
      </c>
      <c r="D217" s="36">
        <v>600.0</v>
      </c>
      <c r="E217" s="38">
        <v>7.905</v>
      </c>
      <c r="F217" s="38">
        <f t="shared" si="2"/>
        <v>4743</v>
      </c>
      <c r="G217" s="36" t="s">
        <v>1244</v>
      </c>
      <c r="H217" s="36" t="s">
        <v>1245</v>
      </c>
      <c r="I217" s="36" t="s">
        <v>32</v>
      </c>
      <c r="J217" s="36" t="s">
        <v>34</v>
      </c>
      <c r="K217" s="36" t="s">
        <v>35</v>
      </c>
      <c r="L217" s="36" t="s">
        <v>35</v>
      </c>
      <c r="M217" s="36">
        <v>31.0</v>
      </c>
      <c r="N217" s="36"/>
      <c r="O217" s="45">
        <v>46099.0</v>
      </c>
      <c r="P217" s="34"/>
      <c r="Q217" s="34"/>
      <c r="R217" s="34"/>
      <c r="S217" s="34"/>
    </row>
    <row r="218" ht="15.75" hidden="1" customHeight="1">
      <c r="B218" s="34">
        <v>46099.0</v>
      </c>
      <c r="C218" s="59">
        <v>207475.0</v>
      </c>
      <c r="D218" s="36">
        <v>6.0</v>
      </c>
      <c r="E218" s="38">
        <v>69.248</v>
      </c>
      <c r="F218" s="38">
        <f t="shared" si="2"/>
        <v>415.488</v>
      </c>
      <c r="G218" s="36" t="s">
        <v>1253</v>
      </c>
      <c r="H218" s="36" t="s">
        <v>35</v>
      </c>
      <c r="I218" s="36" t="s">
        <v>174</v>
      </c>
      <c r="J218" s="36" t="s">
        <v>175</v>
      </c>
      <c r="K218" s="36" t="s">
        <v>35</v>
      </c>
      <c r="L218" s="36" t="s">
        <v>867</v>
      </c>
      <c r="M218" s="36">
        <v>1.0</v>
      </c>
      <c r="N218" s="36"/>
      <c r="O218" s="36"/>
      <c r="P218" s="34"/>
      <c r="Q218" s="34"/>
      <c r="R218" s="34"/>
      <c r="S218" s="34"/>
    </row>
    <row r="219" ht="15.75" hidden="1" customHeight="1">
      <c r="B219" s="34">
        <v>46099.0</v>
      </c>
      <c r="C219" s="36" t="s">
        <v>35</v>
      </c>
      <c r="D219" s="36">
        <v>100.0</v>
      </c>
      <c r="E219" s="38">
        <v>152.0</v>
      </c>
      <c r="F219" s="38">
        <f t="shared" si="2"/>
        <v>15200</v>
      </c>
      <c r="G219" s="35" t="s">
        <v>135</v>
      </c>
      <c r="H219" s="35" t="s">
        <v>35</v>
      </c>
      <c r="I219" s="36" t="s">
        <v>59</v>
      </c>
      <c r="J219" s="36" t="s">
        <v>34</v>
      </c>
      <c r="K219" s="36" t="s">
        <v>35</v>
      </c>
      <c r="L219" s="36" t="s">
        <v>132</v>
      </c>
      <c r="M219" s="36">
        <v>31.0</v>
      </c>
      <c r="N219" s="36"/>
      <c r="O219" s="36"/>
      <c r="P219" s="34"/>
      <c r="Q219" s="34"/>
      <c r="R219" s="34"/>
      <c r="S219" s="34"/>
    </row>
    <row r="220" ht="15.75" hidden="1" customHeight="1">
      <c r="B220" s="34">
        <v>46099.0</v>
      </c>
      <c r="C220" s="36" t="s">
        <v>35</v>
      </c>
      <c r="D220" s="36">
        <v>160.0</v>
      </c>
      <c r="E220" s="38">
        <v>85.0</v>
      </c>
      <c r="F220" s="38">
        <f t="shared" si="2"/>
        <v>13600</v>
      </c>
      <c r="G220" s="36" t="s">
        <v>547</v>
      </c>
      <c r="H220" s="36" t="s">
        <v>35</v>
      </c>
      <c r="I220" s="36" t="s">
        <v>59</v>
      </c>
      <c r="J220" s="36" t="s">
        <v>34</v>
      </c>
      <c r="K220" s="36" t="s">
        <v>35</v>
      </c>
      <c r="L220" s="36" t="s">
        <v>132</v>
      </c>
      <c r="M220" s="36">
        <v>31.0</v>
      </c>
      <c r="N220" s="36"/>
      <c r="O220" s="36"/>
      <c r="P220" s="34"/>
      <c r="Q220" s="34"/>
      <c r="R220" s="34"/>
      <c r="S220" s="34"/>
    </row>
    <row r="221" ht="15.75" hidden="1" customHeight="1">
      <c r="B221" s="34">
        <v>46099.0</v>
      </c>
      <c r="C221" s="36" t="s">
        <v>35</v>
      </c>
      <c r="D221" s="36">
        <v>30.0</v>
      </c>
      <c r="E221" s="38">
        <v>620.0</v>
      </c>
      <c r="F221" s="38">
        <f t="shared" si="2"/>
        <v>18600</v>
      </c>
      <c r="G221" s="36" t="s">
        <v>1262</v>
      </c>
      <c r="H221" s="36" t="s">
        <v>35</v>
      </c>
      <c r="I221" s="36" t="s">
        <v>41</v>
      </c>
      <c r="J221" s="36" t="s">
        <v>34</v>
      </c>
      <c r="K221" s="36" t="s">
        <v>35</v>
      </c>
      <c r="L221" s="36" t="s">
        <v>314</v>
      </c>
      <c r="M221" s="36">
        <v>31.0</v>
      </c>
      <c r="N221" s="36"/>
      <c r="O221" s="45">
        <v>46100.0</v>
      </c>
      <c r="P221" s="34">
        <v>46099.0</v>
      </c>
      <c r="Q221" s="34"/>
      <c r="R221" s="34"/>
      <c r="S221" s="34"/>
    </row>
    <row r="222" ht="15.75" hidden="1" customHeight="1">
      <c r="B222" s="34">
        <v>46099.0</v>
      </c>
      <c r="C222" s="36">
        <v>9958.0</v>
      </c>
      <c r="D222" s="36">
        <v>144.0</v>
      </c>
      <c r="E222" s="38">
        <v>5.9</v>
      </c>
      <c r="F222" s="38">
        <f t="shared" si="2"/>
        <v>849.6</v>
      </c>
      <c r="G222" s="36" t="s">
        <v>1266</v>
      </c>
      <c r="H222" s="36" t="s">
        <v>1267</v>
      </c>
      <c r="I222" s="36" t="s">
        <v>240</v>
      </c>
      <c r="J222" s="36" t="s">
        <v>34</v>
      </c>
      <c r="K222" s="36" t="s">
        <v>1270</v>
      </c>
      <c r="L222" s="36" t="s">
        <v>96</v>
      </c>
      <c r="M222" s="36">
        <v>1.0</v>
      </c>
      <c r="N222" s="36"/>
      <c r="O222" s="45">
        <v>46104.0</v>
      </c>
      <c r="P222" s="34"/>
      <c r="Q222" s="34"/>
      <c r="R222" s="34"/>
      <c r="S222" s="34"/>
    </row>
    <row r="223" ht="15.75" hidden="1" customHeight="1">
      <c r="B223" s="34">
        <v>46099.0</v>
      </c>
      <c r="C223" s="36">
        <v>9958.0</v>
      </c>
      <c r="D223" s="36">
        <v>240.0</v>
      </c>
      <c r="E223" s="38">
        <v>3.99</v>
      </c>
      <c r="F223" s="38">
        <f t="shared" si="2"/>
        <v>957.6</v>
      </c>
      <c r="G223" s="36" t="s">
        <v>1272</v>
      </c>
      <c r="H223" s="36" t="s">
        <v>1273</v>
      </c>
      <c r="I223" s="36" t="s">
        <v>240</v>
      </c>
      <c r="J223" s="36" t="s">
        <v>34</v>
      </c>
      <c r="K223" s="36" t="s">
        <v>1270</v>
      </c>
      <c r="L223" s="36" t="s">
        <v>96</v>
      </c>
      <c r="M223" s="36">
        <v>1.0</v>
      </c>
      <c r="N223" s="36"/>
      <c r="O223" s="45">
        <v>46104.0</v>
      </c>
      <c r="P223" s="34"/>
      <c r="Q223" s="34"/>
      <c r="R223" s="34"/>
      <c r="S223" s="34"/>
    </row>
    <row r="224" ht="15.75" hidden="1" customHeight="1">
      <c r="B224" s="34">
        <v>46099.0</v>
      </c>
      <c r="C224" s="36">
        <v>9958.0</v>
      </c>
      <c r="D224" s="36">
        <v>480.0</v>
      </c>
      <c r="E224" s="38">
        <v>1.5</v>
      </c>
      <c r="F224" s="38">
        <f t="shared" si="2"/>
        <v>720</v>
      </c>
      <c r="G224" s="36" t="s">
        <v>1275</v>
      </c>
      <c r="H224" s="36" t="s">
        <v>1276</v>
      </c>
      <c r="I224" s="36" t="s">
        <v>240</v>
      </c>
      <c r="J224" s="36" t="s">
        <v>34</v>
      </c>
      <c r="K224" s="36" t="s">
        <v>1270</v>
      </c>
      <c r="L224" s="36" t="s">
        <v>96</v>
      </c>
      <c r="M224" s="36">
        <v>1.0</v>
      </c>
      <c r="N224" s="36"/>
      <c r="O224" s="45">
        <v>46104.0</v>
      </c>
      <c r="P224" s="34"/>
      <c r="Q224" s="34"/>
      <c r="R224" s="34"/>
      <c r="S224" s="34"/>
    </row>
    <row r="225" ht="15.75" hidden="1" customHeight="1">
      <c r="B225" s="34">
        <v>46099.0</v>
      </c>
      <c r="C225" s="36">
        <v>9958.0</v>
      </c>
      <c r="D225" s="36">
        <v>480.0</v>
      </c>
      <c r="E225" s="38">
        <v>1.5</v>
      </c>
      <c r="F225" s="38">
        <f t="shared" si="2"/>
        <v>720</v>
      </c>
      <c r="G225" s="36" t="s">
        <v>1279</v>
      </c>
      <c r="H225" s="36" t="s">
        <v>1281</v>
      </c>
      <c r="I225" s="36" t="s">
        <v>240</v>
      </c>
      <c r="J225" s="36" t="s">
        <v>34</v>
      </c>
      <c r="K225" s="36" t="s">
        <v>1270</v>
      </c>
      <c r="L225" s="36" t="s">
        <v>96</v>
      </c>
      <c r="M225" s="36">
        <v>1.0</v>
      </c>
      <c r="N225" s="36"/>
      <c r="O225" s="45">
        <v>46104.0</v>
      </c>
      <c r="P225" s="34"/>
      <c r="Q225" s="34"/>
      <c r="R225" s="34"/>
      <c r="S225" s="34"/>
    </row>
    <row r="226" ht="15.75" hidden="1" customHeight="1">
      <c r="B226" s="34">
        <v>46099.0</v>
      </c>
      <c r="C226" s="36">
        <v>9958.0</v>
      </c>
      <c r="D226" s="36">
        <v>600.0</v>
      </c>
      <c r="E226" s="38">
        <v>1.5</v>
      </c>
      <c r="F226" s="38">
        <f t="shared" si="2"/>
        <v>900</v>
      </c>
      <c r="G226" s="36" t="s">
        <v>1283</v>
      </c>
      <c r="H226" s="36" t="s">
        <v>1286</v>
      </c>
      <c r="I226" s="36" t="s">
        <v>240</v>
      </c>
      <c r="J226" s="36" t="s">
        <v>34</v>
      </c>
      <c r="K226" s="36" t="s">
        <v>1270</v>
      </c>
      <c r="L226" s="36" t="s">
        <v>96</v>
      </c>
      <c r="M226" s="36">
        <v>1.0</v>
      </c>
      <c r="N226" s="36"/>
      <c r="O226" s="45">
        <v>46104.0</v>
      </c>
      <c r="P226" s="34"/>
      <c r="Q226" s="34"/>
      <c r="R226" s="34"/>
      <c r="S226" s="34"/>
    </row>
    <row r="227" ht="15.75" hidden="1" customHeight="1">
      <c r="B227" s="34">
        <v>46099.0</v>
      </c>
      <c r="C227" s="36">
        <v>9958.0</v>
      </c>
      <c r="D227" s="36">
        <v>120.0</v>
      </c>
      <c r="E227" s="38">
        <v>3.99</v>
      </c>
      <c r="F227" s="38">
        <f t="shared" si="2"/>
        <v>478.8</v>
      </c>
      <c r="G227" s="36" t="s">
        <v>1289</v>
      </c>
      <c r="H227" s="36" t="s">
        <v>1290</v>
      </c>
      <c r="I227" s="36" t="s">
        <v>240</v>
      </c>
      <c r="J227" s="36" t="s">
        <v>34</v>
      </c>
      <c r="K227" s="36" t="s">
        <v>1270</v>
      </c>
      <c r="L227" s="36" t="s">
        <v>96</v>
      </c>
      <c r="M227" s="36">
        <v>1.0</v>
      </c>
      <c r="N227" s="36"/>
      <c r="O227" s="45">
        <v>46104.0</v>
      </c>
      <c r="P227" s="34"/>
      <c r="Q227" s="34"/>
      <c r="R227" s="34"/>
      <c r="S227" s="34"/>
    </row>
    <row r="228" ht="15.75" hidden="1" customHeight="1">
      <c r="B228" s="34">
        <v>46099.0</v>
      </c>
      <c r="C228" s="36">
        <v>9958.0</v>
      </c>
      <c r="D228" s="36">
        <v>24.0</v>
      </c>
      <c r="E228" s="38">
        <v>29.9</v>
      </c>
      <c r="F228" s="38">
        <f t="shared" si="2"/>
        <v>717.6</v>
      </c>
      <c r="G228" s="36" t="s">
        <v>1294</v>
      </c>
      <c r="H228" s="36" t="s">
        <v>1295</v>
      </c>
      <c r="I228" s="36" t="s">
        <v>240</v>
      </c>
      <c r="J228" s="36" t="s">
        <v>34</v>
      </c>
      <c r="K228" s="36" t="s">
        <v>1270</v>
      </c>
      <c r="L228" s="36" t="s">
        <v>96</v>
      </c>
      <c r="M228" s="36">
        <v>1.0</v>
      </c>
      <c r="N228" s="36"/>
      <c r="O228" s="45">
        <v>46104.0</v>
      </c>
      <c r="P228" s="34"/>
      <c r="Q228" s="34"/>
      <c r="R228" s="34"/>
      <c r="S228" s="34"/>
    </row>
    <row r="229" ht="15.75" hidden="1" customHeight="1">
      <c r="B229" s="34">
        <v>46099.0</v>
      </c>
      <c r="C229" s="36">
        <v>9958.0</v>
      </c>
      <c r="D229" s="36">
        <v>240.0</v>
      </c>
      <c r="E229" s="38">
        <v>3.5</v>
      </c>
      <c r="F229" s="38">
        <f t="shared" si="2"/>
        <v>840</v>
      </c>
      <c r="G229" s="36" t="s">
        <v>1298</v>
      </c>
      <c r="H229" s="36" t="s">
        <v>1300</v>
      </c>
      <c r="I229" s="36" t="s">
        <v>240</v>
      </c>
      <c r="J229" s="36" t="s">
        <v>34</v>
      </c>
      <c r="K229" s="36" t="s">
        <v>1270</v>
      </c>
      <c r="L229" s="36" t="s">
        <v>96</v>
      </c>
      <c r="M229" s="36">
        <v>1.0</v>
      </c>
      <c r="N229" s="36"/>
      <c r="O229" s="45">
        <v>46104.0</v>
      </c>
      <c r="P229" s="34"/>
      <c r="Q229" s="34"/>
      <c r="R229" s="34"/>
      <c r="S229" s="34"/>
    </row>
    <row r="230" ht="15.75" hidden="1" customHeight="1">
      <c r="B230" s="34">
        <v>46099.0</v>
      </c>
      <c r="C230" s="36">
        <v>9958.0</v>
      </c>
      <c r="D230" s="36">
        <v>100.0</v>
      </c>
      <c r="E230" s="38">
        <v>16.9</v>
      </c>
      <c r="F230" s="38">
        <f t="shared" si="2"/>
        <v>1690</v>
      </c>
      <c r="G230" s="36" t="s">
        <v>1302</v>
      </c>
      <c r="H230" s="36" t="s">
        <v>1304</v>
      </c>
      <c r="I230" s="36" t="s">
        <v>240</v>
      </c>
      <c r="J230" s="36" t="s">
        <v>34</v>
      </c>
      <c r="K230" s="36" t="s">
        <v>1270</v>
      </c>
      <c r="L230" s="36" t="s">
        <v>96</v>
      </c>
      <c r="M230" s="36">
        <v>1.0</v>
      </c>
      <c r="N230" s="36"/>
      <c r="O230" s="45">
        <v>46104.0</v>
      </c>
      <c r="P230" s="34"/>
      <c r="Q230" s="34"/>
      <c r="R230" s="34"/>
      <c r="S230" s="34"/>
    </row>
    <row r="231" ht="15.75" hidden="1" customHeight="1">
      <c r="B231" s="34">
        <v>46099.0</v>
      </c>
      <c r="C231" s="36">
        <v>9958.0</v>
      </c>
      <c r="D231" s="36">
        <v>250.0</v>
      </c>
      <c r="E231" s="38">
        <v>3.9</v>
      </c>
      <c r="F231" s="38">
        <f t="shared" si="2"/>
        <v>975</v>
      </c>
      <c r="G231" s="36" t="s">
        <v>1309</v>
      </c>
      <c r="H231" s="36" t="s">
        <v>1311</v>
      </c>
      <c r="I231" s="36" t="s">
        <v>240</v>
      </c>
      <c r="J231" s="36" t="s">
        <v>34</v>
      </c>
      <c r="K231" s="36" t="s">
        <v>1270</v>
      </c>
      <c r="L231" s="36" t="s">
        <v>96</v>
      </c>
      <c r="M231" s="36">
        <v>1.0</v>
      </c>
      <c r="N231" s="36"/>
      <c r="O231" s="45">
        <v>46104.0</v>
      </c>
      <c r="P231" s="34"/>
      <c r="Q231" s="34"/>
      <c r="R231" s="34"/>
      <c r="S231" s="34"/>
    </row>
    <row r="232" ht="15.75" hidden="1" customHeight="1">
      <c r="B232" s="34">
        <v>46100.0</v>
      </c>
      <c r="C232" s="36" t="s">
        <v>35</v>
      </c>
      <c r="D232" s="36">
        <v>150.0</v>
      </c>
      <c r="E232" s="38">
        <v>329.0</v>
      </c>
      <c r="F232" s="38">
        <f t="shared" si="2"/>
        <v>49350</v>
      </c>
      <c r="G232" s="36" t="s">
        <v>1314</v>
      </c>
      <c r="H232" s="36" t="s">
        <v>35</v>
      </c>
      <c r="I232" s="36" t="s">
        <v>300</v>
      </c>
      <c r="J232" s="36" t="s">
        <v>34</v>
      </c>
      <c r="K232" s="36" t="s">
        <v>35</v>
      </c>
      <c r="L232" s="36" t="s">
        <v>35</v>
      </c>
      <c r="M232" s="36">
        <v>31.0</v>
      </c>
      <c r="N232" s="36"/>
      <c r="O232" s="45">
        <v>46105.0</v>
      </c>
      <c r="P232" s="34"/>
      <c r="Q232" s="34"/>
      <c r="R232" s="34"/>
      <c r="S232" s="34"/>
    </row>
    <row r="233" ht="15.75" hidden="1" customHeight="1">
      <c r="B233" s="34">
        <v>46100.0</v>
      </c>
      <c r="C233" s="36">
        <v>10095.0</v>
      </c>
      <c r="D233" s="36">
        <v>1.0</v>
      </c>
      <c r="E233" s="38">
        <v>799.9</v>
      </c>
      <c r="F233" s="38">
        <f t="shared" si="2"/>
        <v>799.9</v>
      </c>
      <c r="G233" s="36" t="s">
        <v>1317</v>
      </c>
      <c r="H233" s="36" t="s">
        <v>1320</v>
      </c>
      <c r="I233" s="36" t="s">
        <v>32</v>
      </c>
      <c r="J233" s="36" t="s">
        <v>34</v>
      </c>
      <c r="K233" s="36" t="s">
        <v>35</v>
      </c>
      <c r="L233" s="36" t="s">
        <v>96</v>
      </c>
      <c r="M233" s="36">
        <v>1.0</v>
      </c>
      <c r="N233" s="36"/>
      <c r="O233" s="45">
        <v>46104.0</v>
      </c>
      <c r="P233" s="34"/>
      <c r="Q233" s="34"/>
      <c r="R233" s="34"/>
      <c r="S233" s="34"/>
    </row>
    <row r="234" ht="15.75" hidden="1" customHeight="1">
      <c r="B234" s="34">
        <v>46100.0</v>
      </c>
      <c r="C234" s="36">
        <v>10095.0</v>
      </c>
      <c r="D234" s="36">
        <v>5.0</v>
      </c>
      <c r="E234" s="38">
        <v>299.9</v>
      </c>
      <c r="F234" s="38">
        <f t="shared" si="2"/>
        <v>1499.5</v>
      </c>
      <c r="G234" s="36" t="s">
        <v>1326</v>
      </c>
      <c r="H234" s="36" t="s">
        <v>1327</v>
      </c>
      <c r="I234" s="36" t="s">
        <v>32</v>
      </c>
      <c r="J234" s="36" t="s">
        <v>34</v>
      </c>
      <c r="K234" s="36" t="s">
        <v>35</v>
      </c>
      <c r="L234" s="36" t="s">
        <v>96</v>
      </c>
      <c r="M234" s="36">
        <v>1.0</v>
      </c>
      <c r="N234" s="36"/>
      <c r="O234" s="45">
        <v>46104.0</v>
      </c>
      <c r="P234" s="34"/>
      <c r="Q234" s="34"/>
      <c r="R234" s="34"/>
      <c r="S234" s="34"/>
    </row>
    <row r="235" ht="15.75" hidden="1" customHeight="1">
      <c r="B235" s="34">
        <v>46100.0</v>
      </c>
      <c r="C235" s="36">
        <v>10094.0</v>
      </c>
      <c r="D235" s="36">
        <v>144.0</v>
      </c>
      <c r="E235" s="38">
        <v>10.9</v>
      </c>
      <c r="F235" s="38">
        <f t="shared" si="2"/>
        <v>1569.6</v>
      </c>
      <c r="G235" s="36" t="s">
        <v>1330</v>
      </c>
      <c r="H235" s="36" t="s">
        <v>1331</v>
      </c>
      <c r="I235" s="36" t="s">
        <v>32</v>
      </c>
      <c r="J235" s="36" t="s">
        <v>34</v>
      </c>
      <c r="K235" s="36" t="s">
        <v>35</v>
      </c>
      <c r="L235" s="36" t="s">
        <v>96</v>
      </c>
      <c r="M235" s="36">
        <v>31.0</v>
      </c>
      <c r="N235" s="36"/>
      <c r="O235" s="45">
        <v>46104.0</v>
      </c>
      <c r="P235" s="34"/>
      <c r="Q235" s="34"/>
      <c r="R235" s="34"/>
      <c r="S235" s="34"/>
    </row>
    <row r="236" ht="15.75" hidden="1" customHeight="1">
      <c r="B236" s="34">
        <v>46100.0</v>
      </c>
      <c r="C236" s="36">
        <v>10094.0</v>
      </c>
      <c r="D236" s="36">
        <v>100.0</v>
      </c>
      <c r="E236" s="38">
        <v>10.9</v>
      </c>
      <c r="F236" s="38">
        <f t="shared" si="2"/>
        <v>1090</v>
      </c>
      <c r="G236" s="36" t="s">
        <v>1335</v>
      </c>
      <c r="H236" s="36" t="s">
        <v>1336</v>
      </c>
      <c r="I236" s="36" t="s">
        <v>32</v>
      </c>
      <c r="J236" s="36" t="s">
        <v>34</v>
      </c>
      <c r="K236" s="36" t="s">
        <v>35</v>
      </c>
      <c r="L236" s="36" t="s">
        <v>96</v>
      </c>
      <c r="M236" s="36">
        <v>31.0</v>
      </c>
      <c r="N236" s="36"/>
      <c r="O236" s="45">
        <v>46104.0</v>
      </c>
      <c r="P236" s="34"/>
      <c r="Q236" s="34"/>
      <c r="R236" s="34"/>
      <c r="S236" s="34"/>
    </row>
    <row r="237" ht="15.75" hidden="1" customHeight="1">
      <c r="B237" s="34">
        <v>46100.0</v>
      </c>
      <c r="C237" s="36">
        <v>10094.0</v>
      </c>
      <c r="D237" s="36">
        <v>72.0</v>
      </c>
      <c r="E237" s="38">
        <v>9.9</v>
      </c>
      <c r="F237" s="38">
        <f t="shared" si="2"/>
        <v>712.8</v>
      </c>
      <c r="G237" s="36" t="s">
        <v>1341</v>
      </c>
      <c r="H237" s="36" t="s">
        <v>1342</v>
      </c>
      <c r="I237" s="36" t="s">
        <v>32</v>
      </c>
      <c r="J237" s="36" t="s">
        <v>34</v>
      </c>
      <c r="K237" s="36" t="s">
        <v>35</v>
      </c>
      <c r="L237" s="36" t="s">
        <v>96</v>
      </c>
      <c r="M237" s="36">
        <v>31.0</v>
      </c>
      <c r="N237" s="36"/>
      <c r="O237" s="45">
        <v>46104.0</v>
      </c>
      <c r="P237" s="34"/>
      <c r="Q237" s="34"/>
      <c r="R237" s="34"/>
      <c r="S237" s="34"/>
    </row>
    <row r="238" ht="15.75" hidden="1" customHeight="1">
      <c r="B238" s="34">
        <v>46100.0</v>
      </c>
      <c r="C238" s="36">
        <v>10094.0</v>
      </c>
      <c r="D238" s="36">
        <v>72.0</v>
      </c>
      <c r="E238" s="38">
        <v>6.99</v>
      </c>
      <c r="F238" s="38">
        <f t="shared" si="2"/>
        <v>503.28</v>
      </c>
      <c r="G238" s="36" t="s">
        <v>1345</v>
      </c>
      <c r="H238" s="36" t="s">
        <v>1346</v>
      </c>
      <c r="I238" s="36" t="s">
        <v>32</v>
      </c>
      <c r="J238" s="36" t="s">
        <v>34</v>
      </c>
      <c r="K238" s="36" t="s">
        <v>35</v>
      </c>
      <c r="L238" s="36" t="s">
        <v>96</v>
      </c>
      <c r="M238" s="36">
        <v>31.0</v>
      </c>
      <c r="N238" s="36"/>
      <c r="O238" s="45">
        <v>46104.0</v>
      </c>
      <c r="P238" s="34"/>
      <c r="Q238" s="34"/>
      <c r="R238" s="34"/>
      <c r="S238" s="34"/>
    </row>
    <row r="239" ht="15.75" hidden="1" customHeight="1">
      <c r="B239" s="34">
        <v>46100.0</v>
      </c>
      <c r="C239" s="36">
        <v>10094.0</v>
      </c>
      <c r="D239" s="36">
        <v>288.0</v>
      </c>
      <c r="E239" s="38">
        <v>3.5</v>
      </c>
      <c r="F239" s="38">
        <f t="shared" si="2"/>
        <v>1008</v>
      </c>
      <c r="G239" s="36" t="s">
        <v>1352</v>
      </c>
      <c r="H239" s="36" t="s">
        <v>1353</v>
      </c>
      <c r="I239" s="36" t="s">
        <v>32</v>
      </c>
      <c r="J239" s="36" t="s">
        <v>34</v>
      </c>
      <c r="K239" s="36" t="s">
        <v>35</v>
      </c>
      <c r="L239" s="36" t="s">
        <v>96</v>
      </c>
      <c r="M239" s="36">
        <v>31.0</v>
      </c>
      <c r="N239" s="36"/>
      <c r="O239" s="45">
        <v>46104.0</v>
      </c>
      <c r="P239" s="34"/>
      <c r="Q239" s="34"/>
      <c r="R239" s="34"/>
      <c r="S239" s="34"/>
    </row>
    <row r="240" ht="15.75" hidden="1" customHeight="1">
      <c r="B240" s="34">
        <v>46100.0</v>
      </c>
      <c r="C240" s="36">
        <v>10094.0</v>
      </c>
      <c r="D240" s="36">
        <v>60.0</v>
      </c>
      <c r="E240" s="38">
        <v>12.99</v>
      </c>
      <c r="F240" s="38">
        <f t="shared" si="2"/>
        <v>779.4</v>
      </c>
      <c r="G240" s="36" t="s">
        <v>1356</v>
      </c>
      <c r="H240" s="36" t="s">
        <v>1358</v>
      </c>
      <c r="I240" s="36" t="s">
        <v>32</v>
      </c>
      <c r="J240" s="36" t="s">
        <v>34</v>
      </c>
      <c r="K240" s="36" t="s">
        <v>35</v>
      </c>
      <c r="L240" s="36" t="s">
        <v>96</v>
      </c>
      <c r="M240" s="36">
        <v>31.0</v>
      </c>
      <c r="N240" s="36"/>
      <c r="O240" s="45">
        <v>46104.0</v>
      </c>
      <c r="P240" s="34"/>
      <c r="Q240" s="34"/>
      <c r="R240" s="34"/>
      <c r="S240" s="34"/>
    </row>
    <row r="241" ht="15.75" hidden="1" customHeight="1">
      <c r="B241" s="34">
        <v>46100.0</v>
      </c>
      <c r="C241" s="36">
        <v>10094.0</v>
      </c>
      <c r="D241" s="36">
        <v>1.0</v>
      </c>
      <c r="E241" s="38">
        <v>139.9</v>
      </c>
      <c r="F241" s="38">
        <f t="shared" si="2"/>
        <v>139.9</v>
      </c>
      <c r="G241" s="36" t="s">
        <v>1361</v>
      </c>
      <c r="H241" s="36" t="s">
        <v>1363</v>
      </c>
      <c r="I241" s="36" t="s">
        <v>32</v>
      </c>
      <c r="J241" s="36" t="s">
        <v>34</v>
      </c>
      <c r="K241" s="36" t="s">
        <v>35</v>
      </c>
      <c r="L241" s="36" t="s">
        <v>96</v>
      </c>
      <c r="M241" s="36">
        <v>31.0</v>
      </c>
      <c r="N241" s="36"/>
      <c r="O241" s="45">
        <v>46104.0</v>
      </c>
      <c r="P241" s="34"/>
      <c r="Q241" s="34"/>
      <c r="R241" s="34"/>
      <c r="S241" s="34"/>
    </row>
    <row r="242" ht="15.75" hidden="1" customHeight="1">
      <c r="B242" s="34">
        <v>46100.0</v>
      </c>
      <c r="C242" s="36">
        <v>10094.0</v>
      </c>
      <c r="D242" s="36">
        <v>72.0</v>
      </c>
      <c r="E242" s="38">
        <v>8.9</v>
      </c>
      <c r="F242" s="38">
        <f t="shared" si="2"/>
        <v>640.8</v>
      </c>
      <c r="G242" s="36" t="s">
        <v>1367</v>
      </c>
      <c r="H242" s="36" t="s">
        <v>958</v>
      </c>
      <c r="I242" s="36" t="s">
        <v>32</v>
      </c>
      <c r="J242" s="36" t="s">
        <v>34</v>
      </c>
      <c r="K242" s="36" t="s">
        <v>35</v>
      </c>
      <c r="L242" s="36" t="s">
        <v>96</v>
      </c>
      <c r="M242" s="36">
        <v>31.0</v>
      </c>
      <c r="N242" s="36"/>
      <c r="O242" s="45">
        <v>46104.0</v>
      </c>
      <c r="P242" s="34"/>
      <c r="Q242" s="34"/>
      <c r="R242" s="34"/>
      <c r="S242" s="34"/>
    </row>
    <row r="243" ht="15.75" hidden="1" customHeight="1">
      <c r="B243" s="34">
        <v>46100.0</v>
      </c>
      <c r="C243" s="36">
        <v>10094.0</v>
      </c>
      <c r="D243" s="36">
        <v>72.0</v>
      </c>
      <c r="E243" s="38">
        <v>10.9</v>
      </c>
      <c r="F243" s="38">
        <f t="shared" si="2"/>
        <v>784.8</v>
      </c>
      <c r="G243" s="36" t="s">
        <v>640</v>
      </c>
      <c r="H243" s="36" t="s">
        <v>641</v>
      </c>
      <c r="I243" s="36" t="s">
        <v>32</v>
      </c>
      <c r="J243" s="36" t="s">
        <v>34</v>
      </c>
      <c r="K243" s="36" t="s">
        <v>35</v>
      </c>
      <c r="L243" s="36" t="s">
        <v>96</v>
      </c>
      <c r="M243" s="36">
        <v>31.0</v>
      </c>
      <c r="N243" s="36"/>
      <c r="O243" s="45">
        <v>46104.0</v>
      </c>
      <c r="P243" s="34"/>
      <c r="Q243" s="34"/>
      <c r="R243" s="34"/>
      <c r="S243" s="34"/>
    </row>
    <row r="244" ht="15.75" hidden="1" customHeight="1">
      <c r="B244" s="34">
        <v>46100.0</v>
      </c>
      <c r="C244" s="36">
        <v>10094.0</v>
      </c>
      <c r="D244" s="36">
        <v>72.0</v>
      </c>
      <c r="E244" s="38">
        <v>10.99</v>
      </c>
      <c r="F244" s="38">
        <f t="shared" si="2"/>
        <v>791.28</v>
      </c>
      <c r="G244" s="36" t="s">
        <v>264</v>
      </c>
      <c r="H244" s="36" t="s">
        <v>265</v>
      </c>
      <c r="I244" s="36" t="s">
        <v>32</v>
      </c>
      <c r="J244" s="36" t="s">
        <v>34</v>
      </c>
      <c r="K244" s="36" t="s">
        <v>35</v>
      </c>
      <c r="L244" s="36" t="s">
        <v>96</v>
      </c>
      <c r="M244" s="36">
        <v>31.0</v>
      </c>
      <c r="N244" s="36"/>
      <c r="O244" s="45">
        <v>46104.0</v>
      </c>
      <c r="P244" s="34"/>
      <c r="Q244" s="34"/>
      <c r="R244" s="34"/>
      <c r="S244" s="34"/>
    </row>
    <row r="245" ht="15.75" hidden="1" customHeight="1">
      <c r="B245" s="34">
        <v>46100.0</v>
      </c>
      <c r="C245" s="36">
        <v>3460.0</v>
      </c>
      <c r="D245" s="36">
        <v>60.0</v>
      </c>
      <c r="E245" s="38">
        <v>34.2</v>
      </c>
      <c r="F245" s="38">
        <f t="shared" si="2"/>
        <v>2052</v>
      </c>
      <c r="G245" s="36" t="s">
        <v>1377</v>
      </c>
      <c r="H245" s="36" t="s">
        <v>1378</v>
      </c>
      <c r="I245" s="36" t="s">
        <v>174</v>
      </c>
      <c r="J245" s="36" t="s">
        <v>175</v>
      </c>
      <c r="K245" s="36" t="s">
        <v>35</v>
      </c>
      <c r="L245" s="36" t="s">
        <v>46</v>
      </c>
      <c r="M245" s="36">
        <v>1.0</v>
      </c>
      <c r="N245" s="36"/>
      <c r="O245" s="36"/>
      <c r="P245" s="34"/>
      <c r="Q245" s="34"/>
      <c r="R245" s="34"/>
      <c r="S245" s="34"/>
    </row>
    <row r="246" ht="15.75" hidden="1" customHeight="1">
      <c r="B246" s="34">
        <v>46100.0</v>
      </c>
      <c r="C246" s="36">
        <v>9136.0</v>
      </c>
      <c r="D246" s="36">
        <v>100.0</v>
      </c>
      <c r="E246" s="38">
        <v>22.134</v>
      </c>
      <c r="F246" s="38">
        <f t="shared" si="2"/>
        <v>2213.4</v>
      </c>
      <c r="G246" s="36" t="s">
        <v>1383</v>
      </c>
      <c r="H246" s="36" t="s">
        <v>1384</v>
      </c>
      <c r="I246" s="36" t="s">
        <v>41</v>
      </c>
      <c r="J246" s="36" t="s">
        <v>34</v>
      </c>
      <c r="K246" s="36" t="s">
        <v>35</v>
      </c>
      <c r="L246" s="36" t="s">
        <v>210</v>
      </c>
      <c r="M246" s="36">
        <v>31.0</v>
      </c>
      <c r="N246" s="36"/>
      <c r="O246" s="36"/>
      <c r="P246" s="34"/>
      <c r="Q246" s="34"/>
      <c r="R246" s="34"/>
      <c r="S246" s="34"/>
    </row>
    <row r="247" ht="15.75" hidden="1" customHeight="1">
      <c r="B247" s="34">
        <v>46100.0</v>
      </c>
      <c r="C247" s="36">
        <v>9136.0</v>
      </c>
      <c r="D247" s="36">
        <v>300.0</v>
      </c>
      <c r="E247" s="38">
        <v>5.115</v>
      </c>
      <c r="F247" s="38">
        <f t="shared" si="2"/>
        <v>1534.5</v>
      </c>
      <c r="G247" s="36" t="s">
        <v>1389</v>
      </c>
      <c r="H247" s="36" t="s">
        <v>1390</v>
      </c>
      <c r="I247" s="36" t="s">
        <v>41</v>
      </c>
      <c r="J247" s="36" t="s">
        <v>34</v>
      </c>
      <c r="K247" s="36" t="s">
        <v>35</v>
      </c>
      <c r="L247" s="36" t="s">
        <v>210</v>
      </c>
      <c r="M247" s="36">
        <v>31.0</v>
      </c>
      <c r="N247" s="36"/>
      <c r="O247" s="36"/>
      <c r="P247" s="34"/>
      <c r="Q247" s="34"/>
      <c r="R247" s="34"/>
      <c r="S247" s="34"/>
    </row>
    <row r="248" ht="15.75" hidden="1" customHeight="1">
      <c r="B248" s="34">
        <v>46100.0</v>
      </c>
      <c r="C248" s="36">
        <v>9136.0</v>
      </c>
      <c r="D248" s="36">
        <v>200.0</v>
      </c>
      <c r="E248" s="38">
        <v>5.394</v>
      </c>
      <c r="F248" s="38">
        <f t="shared" si="2"/>
        <v>1078.8</v>
      </c>
      <c r="G248" s="36" t="s">
        <v>1038</v>
      </c>
      <c r="H248" s="36" t="s">
        <v>1039</v>
      </c>
      <c r="I248" s="36" t="s">
        <v>41</v>
      </c>
      <c r="J248" s="36" t="s">
        <v>34</v>
      </c>
      <c r="K248" s="36" t="s">
        <v>35</v>
      </c>
      <c r="L248" s="36" t="s">
        <v>210</v>
      </c>
      <c r="M248" s="36">
        <v>31.0</v>
      </c>
      <c r="N248" s="36"/>
      <c r="O248" s="36"/>
      <c r="P248" s="34"/>
      <c r="Q248" s="34"/>
      <c r="R248" s="34"/>
      <c r="S248" s="34"/>
    </row>
    <row r="249" ht="15.75" hidden="1" customHeight="1">
      <c r="B249" s="34">
        <v>46100.0</v>
      </c>
      <c r="C249" s="36">
        <v>9136.0</v>
      </c>
      <c r="D249" s="36">
        <v>50.0</v>
      </c>
      <c r="E249" s="38">
        <v>34.41</v>
      </c>
      <c r="F249" s="38">
        <f t="shared" si="2"/>
        <v>1720.5</v>
      </c>
      <c r="G249" s="36" t="s">
        <v>1401</v>
      </c>
      <c r="H249" s="36" t="s">
        <v>1402</v>
      </c>
      <c r="I249" s="36" t="s">
        <v>41</v>
      </c>
      <c r="J249" s="36" t="s">
        <v>34</v>
      </c>
      <c r="K249" s="36" t="s">
        <v>35</v>
      </c>
      <c r="L249" s="36" t="s">
        <v>210</v>
      </c>
      <c r="M249" s="36">
        <v>31.0</v>
      </c>
      <c r="N249" s="36"/>
      <c r="O249" s="36"/>
      <c r="P249" s="34"/>
      <c r="Q249" s="34"/>
      <c r="R249" s="34"/>
      <c r="S249" s="34"/>
    </row>
    <row r="250" ht="15.75" hidden="1" customHeight="1">
      <c r="B250" s="34">
        <v>46100.0</v>
      </c>
      <c r="C250" s="36">
        <v>9136.0</v>
      </c>
      <c r="D250" s="36">
        <v>50.0</v>
      </c>
      <c r="E250" s="38">
        <v>41.85</v>
      </c>
      <c r="F250" s="38">
        <f t="shared" si="2"/>
        <v>2092.5</v>
      </c>
      <c r="G250" s="36" t="s">
        <v>1401</v>
      </c>
      <c r="H250" s="36" t="s">
        <v>1406</v>
      </c>
      <c r="I250" s="36" t="s">
        <v>41</v>
      </c>
      <c r="J250" s="36" t="s">
        <v>34</v>
      </c>
      <c r="K250" s="36" t="s">
        <v>35</v>
      </c>
      <c r="L250" s="36" t="s">
        <v>210</v>
      </c>
      <c r="M250" s="36">
        <v>31.0</v>
      </c>
      <c r="N250" s="36"/>
      <c r="O250" s="36"/>
      <c r="P250" s="34"/>
      <c r="Q250" s="34"/>
      <c r="R250" s="34"/>
      <c r="S250" s="34"/>
    </row>
    <row r="251" ht="15.75" hidden="1" customHeight="1">
      <c r="B251" s="34">
        <v>46100.0</v>
      </c>
      <c r="C251" s="36">
        <v>9136.0</v>
      </c>
      <c r="D251" s="36">
        <v>400.0</v>
      </c>
      <c r="E251" s="38">
        <v>2.976</v>
      </c>
      <c r="F251" s="38">
        <f t="shared" si="2"/>
        <v>1190.4</v>
      </c>
      <c r="G251" s="36" t="s">
        <v>1411</v>
      </c>
      <c r="H251" s="36" t="s">
        <v>1412</v>
      </c>
      <c r="I251" s="36" t="s">
        <v>41</v>
      </c>
      <c r="J251" s="36" t="s">
        <v>34</v>
      </c>
      <c r="K251" s="36" t="s">
        <v>35</v>
      </c>
      <c r="L251" s="36" t="s">
        <v>210</v>
      </c>
      <c r="M251" s="36">
        <v>31.0</v>
      </c>
      <c r="N251" s="36"/>
      <c r="O251" s="36"/>
      <c r="P251" s="34"/>
      <c r="Q251" s="34"/>
      <c r="R251" s="34"/>
      <c r="S251" s="34"/>
    </row>
    <row r="252" ht="15.75" hidden="1" customHeight="1">
      <c r="B252" s="34">
        <v>46100.0</v>
      </c>
      <c r="C252" s="36">
        <v>9136.0</v>
      </c>
      <c r="D252" s="36">
        <v>200.0</v>
      </c>
      <c r="E252" s="38">
        <v>5.859</v>
      </c>
      <c r="F252" s="38">
        <f t="shared" si="2"/>
        <v>1171.8</v>
      </c>
      <c r="G252" s="36" t="s">
        <v>615</v>
      </c>
      <c r="H252" s="36" t="s">
        <v>1419</v>
      </c>
      <c r="I252" s="36" t="s">
        <v>41</v>
      </c>
      <c r="J252" s="36" t="s">
        <v>34</v>
      </c>
      <c r="K252" s="36" t="s">
        <v>35</v>
      </c>
      <c r="L252" s="36" t="s">
        <v>210</v>
      </c>
      <c r="M252" s="36">
        <v>31.0</v>
      </c>
      <c r="N252" s="36"/>
      <c r="O252" s="36"/>
      <c r="P252" s="34"/>
      <c r="Q252" s="34"/>
      <c r="R252" s="34"/>
      <c r="S252" s="34"/>
    </row>
    <row r="253" ht="15.75" hidden="1" customHeight="1">
      <c r="B253" s="34">
        <v>46100.0</v>
      </c>
      <c r="C253" s="36">
        <v>9136.0</v>
      </c>
      <c r="D253" s="36">
        <v>200.0</v>
      </c>
      <c r="E253" s="38">
        <v>6.324</v>
      </c>
      <c r="F253" s="38">
        <f t="shared" si="2"/>
        <v>1264.8</v>
      </c>
      <c r="G253" s="36" t="s">
        <v>615</v>
      </c>
      <c r="H253" s="36" t="s">
        <v>1424</v>
      </c>
      <c r="I253" s="36" t="s">
        <v>41</v>
      </c>
      <c r="J253" s="36" t="s">
        <v>34</v>
      </c>
      <c r="K253" s="36" t="s">
        <v>35</v>
      </c>
      <c r="L253" s="36" t="s">
        <v>210</v>
      </c>
      <c r="M253" s="36">
        <v>31.0</v>
      </c>
      <c r="N253" s="36"/>
      <c r="O253" s="36"/>
      <c r="P253" s="34"/>
      <c r="Q253" s="34"/>
      <c r="R253" s="34"/>
      <c r="S253" s="34"/>
    </row>
    <row r="254" ht="15.75" hidden="1" customHeight="1">
      <c r="B254" s="34">
        <v>46100.0</v>
      </c>
      <c r="C254" s="36">
        <v>9136.0</v>
      </c>
      <c r="D254" s="36">
        <v>100.0</v>
      </c>
      <c r="E254" s="38">
        <v>8.37</v>
      </c>
      <c r="F254" s="38">
        <f t="shared" si="2"/>
        <v>837</v>
      </c>
      <c r="G254" s="36" t="s">
        <v>1427</v>
      </c>
      <c r="H254" s="36" t="s">
        <v>1428</v>
      </c>
      <c r="I254" s="36" t="s">
        <v>41</v>
      </c>
      <c r="J254" s="36" t="s">
        <v>34</v>
      </c>
      <c r="K254" s="36" t="s">
        <v>35</v>
      </c>
      <c r="L254" s="36" t="s">
        <v>210</v>
      </c>
      <c r="M254" s="36">
        <v>31.0</v>
      </c>
      <c r="N254" s="36"/>
      <c r="O254" s="36"/>
      <c r="P254" s="34"/>
      <c r="Q254" s="34"/>
      <c r="R254" s="34"/>
      <c r="S254" s="34"/>
    </row>
    <row r="255" ht="15.75" hidden="1" customHeight="1">
      <c r="B255" s="34">
        <v>46100.0</v>
      </c>
      <c r="C255" s="36">
        <v>9136.0</v>
      </c>
      <c r="D255" s="36">
        <v>100.0</v>
      </c>
      <c r="E255" s="38">
        <v>7.719</v>
      </c>
      <c r="F255" s="38">
        <f t="shared" si="2"/>
        <v>771.9</v>
      </c>
      <c r="G255" s="36" t="s">
        <v>1427</v>
      </c>
      <c r="H255" s="36" t="s">
        <v>1433</v>
      </c>
      <c r="I255" s="36" t="s">
        <v>41</v>
      </c>
      <c r="J255" s="36" t="s">
        <v>34</v>
      </c>
      <c r="K255" s="36" t="s">
        <v>35</v>
      </c>
      <c r="L255" s="36" t="s">
        <v>210</v>
      </c>
      <c r="M255" s="36">
        <v>31.0</v>
      </c>
      <c r="N255" s="36"/>
      <c r="O255" s="36"/>
      <c r="P255" s="34"/>
      <c r="Q255" s="34"/>
      <c r="R255" s="34"/>
      <c r="S255" s="34"/>
    </row>
    <row r="256" ht="15.75" hidden="1" customHeight="1">
      <c r="B256" s="34">
        <v>46100.0</v>
      </c>
      <c r="C256" s="36">
        <v>9136.0</v>
      </c>
      <c r="D256" s="36">
        <v>100.0</v>
      </c>
      <c r="E256" s="38">
        <v>12.555</v>
      </c>
      <c r="F256" s="38">
        <f t="shared" si="2"/>
        <v>1255.5</v>
      </c>
      <c r="G256" s="36" t="s">
        <v>1427</v>
      </c>
      <c r="H256" s="36" t="s">
        <v>1436</v>
      </c>
      <c r="I256" s="36" t="s">
        <v>41</v>
      </c>
      <c r="J256" s="36" t="s">
        <v>34</v>
      </c>
      <c r="K256" s="36" t="s">
        <v>35</v>
      </c>
      <c r="L256" s="36" t="s">
        <v>210</v>
      </c>
      <c r="M256" s="36">
        <v>31.0</v>
      </c>
      <c r="N256" s="36"/>
      <c r="O256" s="36"/>
      <c r="P256" s="34"/>
      <c r="Q256" s="34"/>
      <c r="R256" s="34"/>
      <c r="S256" s="34"/>
    </row>
    <row r="257" ht="15.75" hidden="1" customHeight="1">
      <c r="B257" s="34">
        <v>46100.0</v>
      </c>
      <c r="C257" s="36">
        <v>9136.0</v>
      </c>
      <c r="D257" s="36">
        <v>50.0</v>
      </c>
      <c r="E257" s="38">
        <v>13.485</v>
      </c>
      <c r="F257" s="38">
        <f t="shared" si="2"/>
        <v>674.25</v>
      </c>
      <c r="G257" s="36" t="s">
        <v>1427</v>
      </c>
      <c r="H257" s="36" t="s">
        <v>1441</v>
      </c>
      <c r="I257" s="36" t="s">
        <v>41</v>
      </c>
      <c r="J257" s="36" t="s">
        <v>34</v>
      </c>
      <c r="K257" s="36" t="s">
        <v>35</v>
      </c>
      <c r="L257" s="36" t="s">
        <v>210</v>
      </c>
      <c r="M257" s="36">
        <v>31.0</v>
      </c>
      <c r="N257" s="36"/>
      <c r="O257" s="36"/>
      <c r="P257" s="34"/>
      <c r="Q257" s="34"/>
      <c r="R257" s="34"/>
      <c r="S257" s="34"/>
    </row>
    <row r="258" ht="15.75" hidden="1" customHeight="1">
      <c r="B258" s="34">
        <v>46100.0</v>
      </c>
      <c r="C258" s="36">
        <v>9136.0</v>
      </c>
      <c r="D258" s="36">
        <v>20.0</v>
      </c>
      <c r="E258" s="38">
        <v>41.85</v>
      </c>
      <c r="F258" s="38">
        <f t="shared" si="2"/>
        <v>837</v>
      </c>
      <c r="G258" s="36" t="s">
        <v>1444</v>
      </c>
      <c r="H258" s="36" t="s">
        <v>1445</v>
      </c>
      <c r="I258" s="36" t="s">
        <v>41</v>
      </c>
      <c r="J258" s="36" t="s">
        <v>34</v>
      </c>
      <c r="K258" s="36" t="s">
        <v>35</v>
      </c>
      <c r="L258" s="36" t="s">
        <v>210</v>
      </c>
      <c r="M258" s="36">
        <v>31.0</v>
      </c>
      <c r="N258" s="36"/>
      <c r="O258" s="36"/>
      <c r="P258" s="34"/>
      <c r="Q258" s="34"/>
      <c r="R258" s="34"/>
      <c r="S258" s="34"/>
    </row>
    <row r="259" ht="15.75" hidden="1" customHeight="1">
      <c r="B259" s="34">
        <v>46100.0</v>
      </c>
      <c r="C259" s="36" t="s">
        <v>35</v>
      </c>
      <c r="D259" s="36">
        <v>30.0</v>
      </c>
      <c r="E259" s="38">
        <v>225.0</v>
      </c>
      <c r="F259" s="38">
        <f t="shared" si="2"/>
        <v>6750</v>
      </c>
      <c r="G259" s="36" t="s">
        <v>1449</v>
      </c>
      <c r="H259" s="36" t="s">
        <v>35</v>
      </c>
      <c r="I259" s="36" t="s">
        <v>41</v>
      </c>
      <c r="J259" s="36" t="s">
        <v>40</v>
      </c>
      <c r="K259" s="36" t="s">
        <v>35</v>
      </c>
      <c r="L259" s="36" t="s">
        <v>799</v>
      </c>
      <c r="M259" s="36">
        <v>31.0</v>
      </c>
      <c r="N259" s="36"/>
      <c r="O259" s="45">
        <v>46104.0</v>
      </c>
      <c r="P259" s="34"/>
      <c r="Q259" s="34"/>
      <c r="R259" s="34"/>
      <c r="S259" s="34"/>
    </row>
    <row r="260" ht="15.75" hidden="1" customHeight="1">
      <c r="B260" s="34">
        <v>46100.0</v>
      </c>
      <c r="C260" s="36" t="s">
        <v>35</v>
      </c>
      <c r="D260" s="36">
        <v>150.0</v>
      </c>
      <c r="E260" s="38">
        <v>239.0</v>
      </c>
      <c r="F260" s="38">
        <f t="shared" si="2"/>
        <v>35850</v>
      </c>
      <c r="G260" s="36" t="s">
        <v>1452</v>
      </c>
      <c r="H260" s="36" t="s">
        <v>35</v>
      </c>
      <c r="I260" s="36" t="s">
        <v>41</v>
      </c>
      <c r="J260" s="36" t="s">
        <v>40</v>
      </c>
      <c r="K260" s="36" t="s">
        <v>35</v>
      </c>
      <c r="L260" s="36" t="s">
        <v>799</v>
      </c>
      <c r="M260" s="36">
        <v>31.0</v>
      </c>
      <c r="N260" s="36"/>
      <c r="O260" s="45">
        <v>46104.0</v>
      </c>
      <c r="P260" s="34"/>
      <c r="Q260" s="34"/>
      <c r="R260" s="34"/>
      <c r="S260" s="34"/>
    </row>
    <row r="261" ht="15.75" hidden="1" customHeight="1">
      <c r="B261" s="34">
        <v>46101.0</v>
      </c>
      <c r="C261" s="36" t="s">
        <v>35</v>
      </c>
      <c r="D261" s="36">
        <v>300.0</v>
      </c>
      <c r="E261" s="38">
        <v>300.0</v>
      </c>
      <c r="F261" s="38">
        <f t="shared" si="2"/>
        <v>90000</v>
      </c>
      <c r="G261" s="35" t="s">
        <v>135</v>
      </c>
      <c r="H261" s="35" t="s">
        <v>35</v>
      </c>
      <c r="I261" s="36" t="s">
        <v>59</v>
      </c>
      <c r="J261" s="36" t="s">
        <v>34</v>
      </c>
      <c r="K261" s="36" t="s">
        <v>35</v>
      </c>
      <c r="L261" s="36" t="s">
        <v>132</v>
      </c>
      <c r="M261" s="36">
        <v>31.0</v>
      </c>
      <c r="N261" s="36"/>
      <c r="O261" s="36"/>
      <c r="P261" s="34"/>
      <c r="Q261" s="34"/>
      <c r="R261" s="34"/>
      <c r="S261" s="34"/>
    </row>
    <row r="262" ht="15.75" hidden="1" customHeight="1">
      <c r="B262" s="34">
        <v>46101.0</v>
      </c>
      <c r="C262" s="36">
        <v>10157.0</v>
      </c>
      <c r="D262" s="36">
        <v>5.0</v>
      </c>
      <c r="E262" s="38">
        <v>179.9</v>
      </c>
      <c r="F262" s="38">
        <f t="shared" si="2"/>
        <v>899.5</v>
      </c>
      <c r="G262" s="36" t="s">
        <v>1458</v>
      </c>
      <c r="H262" s="36" t="s">
        <v>1459</v>
      </c>
      <c r="I262" s="36" t="s">
        <v>32</v>
      </c>
      <c r="J262" s="36" t="s">
        <v>34</v>
      </c>
      <c r="K262" s="36" t="s">
        <v>1460</v>
      </c>
      <c r="L262" s="36" t="s">
        <v>96</v>
      </c>
      <c r="M262" s="36">
        <v>31.0</v>
      </c>
      <c r="N262" s="36"/>
      <c r="O262" s="45">
        <v>46105.0</v>
      </c>
      <c r="P262" s="34"/>
      <c r="Q262" s="34"/>
      <c r="R262" s="34"/>
      <c r="S262" s="34"/>
    </row>
    <row r="263" ht="15.75" hidden="1" customHeight="1">
      <c r="B263" s="34">
        <v>46101.0</v>
      </c>
      <c r="C263" s="36">
        <v>10157.0</v>
      </c>
      <c r="D263" s="36">
        <v>48.0</v>
      </c>
      <c r="E263" s="38">
        <v>16.99</v>
      </c>
      <c r="F263" s="38">
        <f t="shared" si="2"/>
        <v>815.52</v>
      </c>
      <c r="G263" s="36" t="s">
        <v>1463</v>
      </c>
      <c r="H263" s="36" t="s">
        <v>1464</v>
      </c>
      <c r="I263" s="36" t="s">
        <v>32</v>
      </c>
      <c r="J263" s="36" t="s">
        <v>34</v>
      </c>
      <c r="K263" s="36" t="s">
        <v>1460</v>
      </c>
      <c r="L263" s="36" t="s">
        <v>96</v>
      </c>
      <c r="M263" s="36">
        <v>31.0</v>
      </c>
      <c r="N263" s="36"/>
      <c r="O263" s="45">
        <v>46105.0</v>
      </c>
      <c r="P263" s="34"/>
      <c r="Q263" s="34"/>
      <c r="R263" s="34"/>
      <c r="S263" s="34"/>
    </row>
    <row r="264" ht="15.75" hidden="1" customHeight="1">
      <c r="B264" s="34">
        <v>46101.0</v>
      </c>
      <c r="C264" s="36">
        <v>10157.0</v>
      </c>
      <c r="D264" s="36">
        <v>100.0</v>
      </c>
      <c r="E264" s="38">
        <v>6.99</v>
      </c>
      <c r="F264" s="38">
        <f t="shared" si="2"/>
        <v>699</v>
      </c>
      <c r="G264" s="36" t="s">
        <v>1469</v>
      </c>
      <c r="H264" s="36" t="s">
        <v>1471</v>
      </c>
      <c r="I264" s="36" t="s">
        <v>32</v>
      </c>
      <c r="J264" s="36" t="s">
        <v>34</v>
      </c>
      <c r="K264" s="36" t="s">
        <v>1460</v>
      </c>
      <c r="L264" s="36" t="s">
        <v>96</v>
      </c>
      <c r="M264" s="36">
        <v>31.0</v>
      </c>
      <c r="N264" s="36"/>
      <c r="O264" s="45">
        <v>46105.0</v>
      </c>
      <c r="P264" s="34"/>
      <c r="Q264" s="34"/>
      <c r="R264" s="34"/>
      <c r="S264" s="34"/>
    </row>
    <row r="265" ht="15.75" hidden="1" customHeight="1">
      <c r="B265" s="34">
        <v>46101.0</v>
      </c>
      <c r="C265" s="36">
        <v>3512.0</v>
      </c>
      <c r="D265" s="36">
        <v>40.0</v>
      </c>
      <c r="E265" s="38">
        <v>342.0</v>
      </c>
      <c r="F265" s="38">
        <f t="shared" si="2"/>
        <v>13680</v>
      </c>
      <c r="G265" s="36" t="s">
        <v>774</v>
      </c>
      <c r="H265" s="36" t="s">
        <v>775</v>
      </c>
      <c r="I265" s="36" t="s">
        <v>59</v>
      </c>
      <c r="J265" s="36" t="s">
        <v>34</v>
      </c>
      <c r="K265" s="36" t="s">
        <v>35</v>
      </c>
      <c r="L265" s="36" t="s">
        <v>46</v>
      </c>
      <c r="M265" s="36">
        <v>31.0</v>
      </c>
      <c r="N265" s="36"/>
      <c r="O265" s="36"/>
      <c r="P265" s="34"/>
      <c r="Q265" s="34"/>
      <c r="R265" s="34"/>
      <c r="S265" s="34"/>
    </row>
    <row r="266" ht="15.75" hidden="1" customHeight="1">
      <c r="B266" s="34">
        <v>46101.0</v>
      </c>
      <c r="C266" s="36">
        <v>31702.0</v>
      </c>
      <c r="D266" s="36">
        <v>10.0</v>
      </c>
      <c r="E266" s="38">
        <v>170.0</v>
      </c>
      <c r="F266" s="38">
        <f t="shared" si="2"/>
        <v>1700</v>
      </c>
      <c r="G266" s="36" t="s">
        <v>1478</v>
      </c>
      <c r="H266" s="36" t="s">
        <v>1479</v>
      </c>
      <c r="I266" s="36" t="s">
        <v>41</v>
      </c>
      <c r="J266" s="36" t="s">
        <v>34</v>
      </c>
      <c r="K266" s="36" t="s">
        <v>35</v>
      </c>
      <c r="L266" s="36" t="s">
        <v>254</v>
      </c>
      <c r="M266" s="36">
        <v>31.0</v>
      </c>
      <c r="N266" s="36"/>
      <c r="O266" s="45">
        <v>46106.0</v>
      </c>
      <c r="P266" s="34"/>
      <c r="Q266" s="34"/>
      <c r="R266" s="34"/>
      <c r="S266" s="34"/>
    </row>
    <row r="267" ht="15.75" hidden="1" customHeight="1">
      <c r="B267" s="34">
        <v>46101.0</v>
      </c>
      <c r="C267" s="36">
        <v>31702.0</v>
      </c>
      <c r="D267" s="36">
        <v>40.0</v>
      </c>
      <c r="E267" s="38">
        <v>170.0</v>
      </c>
      <c r="F267" s="38">
        <f t="shared" si="2"/>
        <v>6800</v>
      </c>
      <c r="G267" s="36" t="s">
        <v>1478</v>
      </c>
      <c r="H267" s="36" t="s">
        <v>1479</v>
      </c>
      <c r="I267" s="36" t="s">
        <v>41</v>
      </c>
      <c r="J267" s="36" t="s">
        <v>40</v>
      </c>
      <c r="K267" s="36" t="s">
        <v>35</v>
      </c>
      <c r="L267" s="36" t="s">
        <v>254</v>
      </c>
      <c r="M267" s="36">
        <v>31.0</v>
      </c>
      <c r="N267" s="36"/>
      <c r="O267" s="45">
        <v>46106.0</v>
      </c>
      <c r="P267" s="34"/>
      <c r="Q267" s="34"/>
      <c r="R267" s="34"/>
      <c r="S267" s="34"/>
    </row>
    <row r="268" ht="15.75" hidden="1" customHeight="1">
      <c r="B268" s="34">
        <v>46101.0</v>
      </c>
      <c r="C268" s="36">
        <v>9173.0</v>
      </c>
      <c r="D268" s="36">
        <v>30.0</v>
      </c>
      <c r="E268" s="38">
        <v>73.47</v>
      </c>
      <c r="F268" s="38">
        <f t="shared" si="2"/>
        <v>2204.1</v>
      </c>
      <c r="G268" s="36" t="s">
        <v>1483</v>
      </c>
      <c r="H268" s="36" t="s">
        <v>1484</v>
      </c>
      <c r="I268" s="36" t="s">
        <v>32</v>
      </c>
      <c r="J268" s="36" t="s">
        <v>34</v>
      </c>
      <c r="K268" s="36" t="s">
        <v>1460</v>
      </c>
      <c r="L268" s="36" t="s">
        <v>210</v>
      </c>
      <c r="M268" s="36">
        <v>31.0</v>
      </c>
      <c r="N268" s="36"/>
      <c r="O268" s="36"/>
      <c r="P268" s="34"/>
      <c r="Q268" s="34"/>
      <c r="R268" s="34"/>
      <c r="S268" s="34"/>
    </row>
    <row r="269" ht="15.75" hidden="1" customHeight="1">
      <c r="B269" s="34">
        <v>46101.0</v>
      </c>
      <c r="C269" s="36">
        <v>7086.0</v>
      </c>
      <c r="D269" s="36">
        <v>4.0</v>
      </c>
      <c r="E269" s="38">
        <v>88.2</v>
      </c>
      <c r="F269" s="38">
        <f t="shared" si="2"/>
        <v>352.8</v>
      </c>
      <c r="G269" s="36" t="s">
        <v>1489</v>
      </c>
      <c r="H269" s="36" t="s">
        <v>1490</v>
      </c>
      <c r="I269" s="36" t="s">
        <v>32</v>
      </c>
      <c r="J269" s="36" t="s">
        <v>34</v>
      </c>
      <c r="K269" s="36" t="s">
        <v>1460</v>
      </c>
      <c r="L269" s="36" t="s">
        <v>1491</v>
      </c>
      <c r="M269" s="36">
        <v>31.0</v>
      </c>
      <c r="N269" s="36"/>
      <c r="O269" s="45">
        <v>46105.0</v>
      </c>
      <c r="P269" s="34"/>
      <c r="Q269" s="34"/>
      <c r="R269" s="34"/>
      <c r="S269" s="34"/>
    </row>
    <row r="270" ht="15.75" hidden="1" customHeight="1">
      <c r="B270" s="34">
        <v>46101.0</v>
      </c>
      <c r="C270" s="36" t="s">
        <v>35</v>
      </c>
      <c r="D270" s="36">
        <v>2.0</v>
      </c>
      <c r="E270" s="38">
        <v>1464.34</v>
      </c>
      <c r="F270" s="38">
        <f t="shared" si="2"/>
        <v>2928.68</v>
      </c>
      <c r="G270" s="36" t="s">
        <v>1495</v>
      </c>
      <c r="H270" s="36">
        <v>43742.0</v>
      </c>
      <c r="I270" s="36" t="s">
        <v>174</v>
      </c>
      <c r="J270" s="36" t="s">
        <v>175</v>
      </c>
      <c r="K270" s="36" t="s">
        <v>35</v>
      </c>
      <c r="L270" s="36" t="s">
        <v>1496</v>
      </c>
      <c r="M270" s="36">
        <v>31.0</v>
      </c>
      <c r="N270" s="36"/>
      <c r="O270" s="36"/>
      <c r="P270" s="34"/>
      <c r="Q270" s="34"/>
      <c r="R270" s="34"/>
      <c r="S270" s="34"/>
    </row>
    <row r="271" ht="15.75" hidden="1" customHeight="1">
      <c r="B271" s="34">
        <v>46101.0</v>
      </c>
      <c r="C271" s="36">
        <v>1400.0</v>
      </c>
      <c r="D271" s="36">
        <v>16.0</v>
      </c>
      <c r="E271" s="38">
        <v>28.0</v>
      </c>
      <c r="F271" s="38">
        <f t="shared" si="2"/>
        <v>448</v>
      </c>
      <c r="G271" s="36" t="s">
        <v>1498</v>
      </c>
      <c r="H271" s="36" t="s">
        <v>1499</v>
      </c>
      <c r="I271" s="36" t="s">
        <v>32</v>
      </c>
      <c r="J271" s="36" t="s">
        <v>34</v>
      </c>
      <c r="K271" s="36" t="s">
        <v>1460</v>
      </c>
      <c r="L271" s="36" t="s">
        <v>160</v>
      </c>
      <c r="M271" s="36">
        <v>31.0</v>
      </c>
      <c r="N271" s="36"/>
      <c r="O271" s="45">
        <v>46105.0</v>
      </c>
      <c r="P271" s="34"/>
      <c r="Q271" s="34"/>
      <c r="R271" s="34"/>
      <c r="S271" s="34"/>
    </row>
    <row r="272" ht="15.75" hidden="1" customHeight="1">
      <c r="B272" s="34">
        <v>46101.0</v>
      </c>
      <c r="C272" s="36" t="s">
        <v>35</v>
      </c>
      <c r="D272" s="36">
        <v>2.0</v>
      </c>
      <c r="E272" s="38">
        <v>2512.0</v>
      </c>
      <c r="F272" s="38">
        <f t="shared" si="2"/>
        <v>5024</v>
      </c>
      <c r="G272" s="36" t="s">
        <v>1503</v>
      </c>
      <c r="H272" s="36">
        <v>73832.0</v>
      </c>
      <c r="I272" s="36" t="s">
        <v>673</v>
      </c>
      <c r="J272" s="36" t="s">
        <v>175</v>
      </c>
      <c r="K272" s="36" t="s">
        <v>35</v>
      </c>
      <c r="L272" s="36" t="s">
        <v>1504</v>
      </c>
      <c r="M272" s="36">
        <v>1.0</v>
      </c>
      <c r="N272" s="36"/>
      <c r="O272" s="45">
        <v>46106.0</v>
      </c>
      <c r="P272" s="34"/>
      <c r="Q272" s="34"/>
      <c r="R272" s="34"/>
      <c r="S272" s="34"/>
    </row>
    <row r="273" ht="15.75" hidden="1" customHeight="1">
      <c r="B273" s="34">
        <v>46101.0</v>
      </c>
      <c r="C273" s="36">
        <v>7027.0</v>
      </c>
      <c r="D273" s="36">
        <v>1.0</v>
      </c>
      <c r="E273" s="38">
        <v>800.1</v>
      </c>
      <c r="F273" s="38">
        <f t="shared" si="2"/>
        <v>800.1</v>
      </c>
      <c r="G273" s="36" t="s">
        <v>1508</v>
      </c>
      <c r="H273" s="36" t="s">
        <v>1509</v>
      </c>
      <c r="I273" s="36" t="s">
        <v>39</v>
      </c>
      <c r="J273" s="36" t="s">
        <v>34</v>
      </c>
      <c r="K273" s="36" t="s">
        <v>35</v>
      </c>
      <c r="L273" s="36" t="s">
        <v>279</v>
      </c>
      <c r="M273" s="36">
        <v>1.0</v>
      </c>
      <c r="N273" s="36"/>
      <c r="O273" s="36"/>
      <c r="P273" s="34"/>
      <c r="Q273" s="34"/>
      <c r="R273" s="34"/>
      <c r="S273" s="34"/>
    </row>
    <row r="274" ht="15.75" hidden="1" customHeight="1">
      <c r="B274" s="34">
        <v>46101.0</v>
      </c>
      <c r="C274" s="36">
        <v>7027.0</v>
      </c>
      <c r="D274" s="36">
        <v>1.0</v>
      </c>
      <c r="E274" s="38">
        <v>800.1</v>
      </c>
      <c r="F274" s="38">
        <f t="shared" si="2"/>
        <v>800.1</v>
      </c>
      <c r="G274" s="36" t="s">
        <v>1508</v>
      </c>
      <c r="H274" s="36" t="s">
        <v>1515</v>
      </c>
      <c r="I274" s="36" t="s">
        <v>39</v>
      </c>
      <c r="J274" s="36" t="s">
        <v>34</v>
      </c>
      <c r="K274" s="36" t="s">
        <v>35</v>
      </c>
      <c r="L274" s="36" t="s">
        <v>279</v>
      </c>
      <c r="M274" s="36">
        <v>1.0</v>
      </c>
      <c r="N274" s="36"/>
      <c r="O274" s="36"/>
      <c r="P274" s="34"/>
      <c r="Q274" s="34"/>
      <c r="R274" s="34"/>
      <c r="S274" s="34"/>
    </row>
    <row r="275" ht="15.75" hidden="1" customHeight="1">
      <c r="B275" s="34">
        <v>46101.0</v>
      </c>
      <c r="C275" s="36">
        <v>7027.0</v>
      </c>
      <c r="D275" s="36">
        <v>1.0</v>
      </c>
      <c r="E275" s="38">
        <v>800.1</v>
      </c>
      <c r="F275" s="38">
        <f t="shared" si="2"/>
        <v>800.1</v>
      </c>
      <c r="G275" s="36" t="s">
        <v>1508</v>
      </c>
      <c r="H275" s="36" t="s">
        <v>1518</v>
      </c>
      <c r="I275" s="36" t="s">
        <v>39</v>
      </c>
      <c r="J275" s="36" t="s">
        <v>34</v>
      </c>
      <c r="K275" s="36" t="s">
        <v>35</v>
      </c>
      <c r="L275" s="36" t="s">
        <v>279</v>
      </c>
      <c r="M275" s="36">
        <v>1.0</v>
      </c>
      <c r="N275" s="36"/>
      <c r="O275" s="36"/>
      <c r="P275" s="34"/>
      <c r="Q275" s="34"/>
      <c r="R275" s="34"/>
      <c r="S275" s="34"/>
    </row>
    <row r="276" ht="15.75" hidden="1" customHeight="1">
      <c r="B276" s="34">
        <v>46101.0</v>
      </c>
      <c r="C276" s="36">
        <v>7027.0</v>
      </c>
      <c r="D276" s="36">
        <v>1.0</v>
      </c>
      <c r="E276" s="38">
        <v>800.1</v>
      </c>
      <c r="F276" s="38">
        <f t="shared" si="2"/>
        <v>800.1</v>
      </c>
      <c r="G276" s="36" t="s">
        <v>1508</v>
      </c>
      <c r="H276" s="36" t="s">
        <v>1523</v>
      </c>
      <c r="I276" s="36" t="s">
        <v>39</v>
      </c>
      <c r="J276" s="36" t="s">
        <v>34</v>
      </c>
      <c r="K276" s="36" t="s">
        <v>35</v>
      </c>
      <c r="L276" s="36" t="s">
        <v>279</v>
      </c>
      <c r="M276" s="36">
        <v>1.0</v>
      </c>
      <c r="N276" s="36"/>
      <c r="O276" s="36"/>
      <c r="P276" s="34"/>
      <c r="Q276" s="34"/>
      <c r="R276" s="34"/>
      <c r="S276" s="34"/>
    </row>
    <row r="277" ht="15.75" hidden="1" customHeight="1">
      <c r="B277" s="34">
        <v>46101.0</v>
      </c>
      <c r="C277" s="36">
        <v>7027.0</v>
      </c>
      <c r="D277" s="36">
        <v>1.0</v>
      </c>
      <c r="E277" s="38">
        <v>800.1</v>
      </c>
      <c r="F277" s="38">
        <f t="shared" si="2"/>
        <v>800.1</v>
      </c>
      <c r="G277" s="36" t="s">
        <v>1508</v>
      </c>
      <c r="H277" s="36" t="s">
        <v>1529</v>
      </c>
      <c r="I277" s="36" t="s">
        <v>39</v>
      </c>
      <c r="J277" s="36" t="s">
        <v>34</v>
      </c>
      <c r="K277" s="36" t="s">
        <v>35</v>
      </c>
      <c r="L277" s="36" t="s">
        <v>279</v>
      </c>
      <c r="M277" s="36">
        <v>1.0</v>
      </c>
      <c r="N277" s="36"/>
      <c r="O277" s="36"/>
      <c r="P277" s="34"/>
      <c r="Q277" s="34"/>
      <c r="R277" s="34"/>
      <c r="S277" s="34"/>
    </row>
    <row r="278" ht="15.75" hidden="1" customHeight="1">
      <c r="B278" s="34">
        <v>46101.0</v>
      </c>
      <c r="C278" s="36">
        <v>7027.0</v>
      </c>
      <c r="D278" s="36">
        <v>1.0</v>
      </c>
      <c r="E278" s="38">
        <v>800.1</v>
      </c>
      <c r="F278" s="38">
        <f t="shared" si="2"/>
        <v>800.1</v>
      </c>
      <c r="G278" s="36" t="s">
        <v>1508</v>
      </c>
      <c r="H278" s="36" t="s">
        <v>1534</v>
      </c>
      <c r="I278" s="36" t="s">
        <v>39</v>
      </c>
      <c r="J278" s="36" t="s">
        <v>34</v>
      </c>
      <c r="K278" s="36" t="s">
        <v>35</v>
      </c>
      <c r="L278" s="36" t="s">
        <v>279</v>
      </c>
      <c r="M278" s="36">
        <v>1.0</v>
      </c>
      <c r="N278" s="36"/>
      <c r="O278" s="36"/>
      <c r="P278" s="34"/>
      <c r="Q278" s="34"/>
      <c r="R278" s="34"/>
      <c r="S278" s="34"/>
    </row>
    <row r="279" ht="15.75" hidden="1" customHeight="1">
      <c r="B279" s="34">
        <v>46101.0</v>
      </c>
      <c r="C279" s="36">
        <v>7027.0</v>
      </c>
      <c r="D279" s="36">
        <v>1.0</v>
      </c>
      <c r="E279" s="38">
        <v>1070.1</v>
      </c>
      <c r="F279" s="38">
        <f t="shared" si="2"/>
        <v>1070.1</v>
      </c>
      <c r="G279" s="36" t="s">
        <v>1508</v>
      </c>
      <c r="H279" s="36" t="s">
        <v>1538</v>
      </c>
      <c r="I279" s="36" t="s">
        <v>39</v>
      </c>
      <c r="J279" s="36" t="s">
        <v>34</v>
      </c>
      <c r="K279" s="36" t="s">
        <v>35</v>
      </c>
      <c r="L279" s="36" t="s">
        <v>279</v>
      </c>
      <c r="M279" s="36">
        <v>1.0</v>
      </c>
      <c r="N279" s="36"/>
      <c r="O279" s="36"/>
      <c r="P279" s="34"/>
      <c r="Q279" s="34"/>
      <c r="R279" s="34"/>
      <c r="S279" s="34"/>
    </row>
    <row r="280" ht="15.75" hidden="1" customHeight="1">
      <c r="B280" s="34">
        <v>46101.0</v>
      </c>
      <c r="C280" s="36">
        <v>7027.0</v>
      </c>
      <c r="D280" s="36">
        <v>1.0</v>
      </c>
      <c r="E280" s="38">
        <v>1070.1</v>
      </c>
      <c r="F280" s="38">
        <f t="shared" si="2"/>
        <v>1070.1</v>
      </c>
      <c r="G280" s="36" t="s">
        <v>1508</v>
      </c>
      <c r="H280" s="36" t="s">
        <v>1545</v>
      </c>
      <c r="I280" s="36" t="s">
        <v>39</v>
      </c>
      <c r="J280" s="36" t="s">
        <v>34</v>
      </c>
      <c r="K280" s="36" t="s">
        <v>35</v>
      </c>
      <c r="L280" s="36" t="s">
        <v>279</v>
      </c>
      <c r="M280" s="36">
        <v>1.0</v>
      </c>
      <c r="N280" s="36"/>
      <c r="O280" s="36"/>
      <c r="P280" s="34"/>
      <c r="Q280" s="34"/>
      <c r="R280" s="34"/>
      <c r="S280" s="34"/>
    </row>
    <row r="281" ht="15.75" hidden="1" customHeight="1">
      <c r="B281" s="34">
        <v>46104.0</v>
      </c>
      <c r="C281" s="36">
        <v>10332.0</v>
      </c>
      <c r="D281" s="36">
        <v>1000.0</v>
      </c>
      <c r="E281" s="38">
        <v>12.99</v>
      </c>
      <c r="F281" s="38">
        <f t="shared" si="2"/>
        <v>12990</v>
      </c>
      <c r="G281" s="36" t="s">
        <v>262</v>
      </c>
      <c r="H281" s="36" t="s">
        <v>1552</v>
      </c>
      <c r="I281" s="36" t="s">
        <v>77</v>
      </c>
      <c r="J281" s="36" t="s">
        <v>79</v>
      </c>
      <c r="K281" s="36" t="s">
        <v>35</v>
      </c>
      <c r="L281" s="36" t="s">
        <v>96</v>
      </c>
      <c r="M281" s="36">
        <v>1.0</v>
      </c>
      <c r="N281" s="36"/>
      <c r="O281" s="36"/>
      <c r="P281" s="34"/>
      <c r="Q281" s="34"/>
      <c r="R281" s="34"/>
      <c r="S281" s="34"/>
    </row>
    <row r="282" ht="15.75" hidden="1" customHeight="1">
      <c r="B282" s="34">
        <v>46104.0</v>
      </c>
      <c r="C282" s="36">
        <v>10332.0</v>
      </c>
      <c r="D282" s="36">
        <v>500.0</v>
      </c>
      <c r="E282" s="38">
        <v>13.99</v>
      </c>
      <c r="F282" s="38">
        <f t="shared" si="2"/>
        <v>6995</v>
      </c>
      <c r="G282" s="36" t="s">
        <v>262</v>
      </c>
      <c r="H282" s="36" t="s">
        <v>1559</v>
      </c>
      <c r="I282" s="36" t="s">
        <v>77</v>
      </c>
      <c r="J282" s="36" t="s">
        <v>79</v>
      </c>
      <c r="K282" s="36" t="s">
        <v>35</v>
      </c>
      <c r="L282" s="36" t="s">
        <v>96</v>
      </c>
      <c r="M282" s="36">
        <v>1.0</v>
      </c>
      <c r="N282" s="36"/>
      <c r="O282" s="36"/>
      <c r="P282" s="34"/>
      <c r="Q282" s="34"/>
      <c r="R282" s="34"/>
      <c r="S282" s="34"/>
    </row>
    <row r="283" ht="15.75" hidden="1" customHeight="1">
      <c r="B283" s="34">
        <v>46104.0</v>
      </c>
      <c r="C283" s="36">
        <v>3632.0</v>
      </c>
      <c r="D283" s="36">
        <v>60.0</v>
      </c>
      <c r="E283" s="38">
        <v>189.0</v>
      </c>
      <c r="F283" s="38">
        <f t="shared" si="2"/>
        <v>11340</v>
      </c>
      <c r="G283" s="36" t="s">
        <v>1562</v>
      </c>
      <c r="H283" s="36" t="s">
        <v>1564</v>
      </c>
      <c r="I283" s="36" t="s">
        <v>673</v>
      </c>
      <c r="J283" s="36" t="s">
        <v>175</v>
      </c>
      <c r="K283" s="36" t="s">
        <v>35</v>
      </c>
      <c r="L283" s="36" t="s">
        <v>46</v>
      </c>
      <c r="M283" s="36">
        <v>1.0</v>
      </c>
      <c r="N283" s="36"/>
      <c r="O283" s="36"/>
      <c r="P283" s="34"/>
      <c r="Q283" s="34"/>
      <c r="R283" s="34"/>
      <c r="S283" s="34"/>
    </row>
    <row r="284" ht="15.75" hidden="1" customHeight="1">
      <c r="B284" s="34">
        <v>46104.0</v>
      </c>
      <c r="C284" s="36" t="s">
        <v>35</v>
      </c>
      <c r="D284" s="36">
        <v>15.0</v>
      </c>
      <c r="E284" s="38">
        <v>130.0</v>
      </c>
      <c r="F284" s="38">
        <f t="shared" si="2"/>
        <v>1950</v>
      </c>
      <c r="G284" s="36" t="s">
        <v>1567</v>
      </c>
      <c r="H284" s="36" t="s">
        <v>35</v>
      </c>
      <c r="I284" s="36" t="s">
        <v>673</v>
      </c>
      <c r="J284" s="36" t="s">
        <v>175</v>
      </c>
      <c r="K284" s="36" t="s">
        <v>35</v>
      </c>
      <c r="L284" s="36" t="s">
        <v>810</v>
      </c>
      <c r="M284" s="36">
        <v>31.0</v>
      </c>
      <c r="N284" s="36"/>
      <c r="O284" s="36"/>
      <c r="P284" s="34">
        <v>46104.0</v>
      </c>
      <c r="Q284" s="34"/>
      <c r="R284" s="34"/>
      <c r="S284" s="34"/>
    </row>
    <row r="285" ht="15.75" hidden="1" customHeight="1">
      <c r="B285" s="34">
        <v>46104.0</v>
      </c>
      <c r="C285" s="36">
        <v>10419.0</v>
      </c>
      <c r="D285" s="36">
        <v>18.0</v>
      </c>
      <c r="E285" s="38">
        <v>288.8888</v>
      </c>
      <c r="F285" s="38">
        <f t="shared" si="2"/>
        <v>5199.9984</v>
      </c>
      <c r="G285" s="36" t="s">
        <v>1574</v>
      </c>
      <c r="H285" s="36" t="s">
        <v>35</v>
      </c>
      <c r="I285" s="36" t="s">
        <v>174</v>
      </c>
      <c r="J285" s="36" t="s">
        <v>175</v>
      </c>
      <c r="K285" s="36" t="s">
        <v>35</v>
      </c>
      <c r="L285" s="36" t="s">
        <v>1578</v>
      </c>
      <c r="M285" s="36">
        <v>31.0</v>
      </c>
      <c r="N285" s="36"/>
      <c r="O285" s="36"/>
      <c r="P285" s="34">
        <v>46104.0</v>
      </c>
      <c r="Q285" s="34"/>
      <c r="R285" s="34"/>
      <c r="S285" s="34"/>
    </row>
    <row r="286" ht="15.75" hidden="1" customHeight="1">
      <c r="B286" s="34">
        <v>46104.0</v>
      </c>
      <c r="C286" s="36" t="s">
        <v>35</v>
      </c>
      <c r="D286" s="36">
        <v>150.0</v>
      </c>
      <c r="E286" s="38">
        <v>152.0</v>
      </c>
      <c r="F286" s="38">
        <f t="shared" si="2"/>
        <v>22800</v>
      </c>
      <c r="G286" s="35" t="s">
        <v>135</v>
      </c>
      <c r="H286" s="35" t="s">
        <v>35</v>
      </c>
      <c r="I286" s="36" t="s">
        <v>59</v>
      </c>
      <c r="J286" s="36" t="s">
        <v>34</v>
      </c>
      <c r="K286" s="36" t="s">
        <v>35</v>
      </c>
      <c r="L286" s="36" t="s">
        <v>132</v>
      </c>
      <c r="M286" s="36">
        <v>31.0</v>
      </c>
      <c r="N286" s="36"/>
      <c r="O286" s="36"/>
      <c r="P286" s="34"/>
      <c r="Q286" s="34"/>
      <c r="R286" s="34"/>
      <c r="S286" s="34"/>
    </row>
    <row r="287" ht="15.75" hidden="1" customHeight="1">
      <c r="B287" s="34">
        <v>46104.0</v>
      </c>
      <c r="C287" s="36" t="s">
        <v>35</v>
      </c>
      <c r="D287" s="36">
        <v>2000.0</v>
      </c>
      <c r="E287" s="38">
        <v>2.95</v>
      </c>
      <c r="F287" s="38">
        <f t="shared" si="2"/>
        <v>5900</v>
      </c>
      <c r="G287" s="36" t="s">
        <v>1588</v>
      </c>
      <c r="H287" s="36" t="s">
        <v>35</v>
      </c>
      <c r="I287" s="36" t="s">
        <v>300</v>
      </c>
      <c r="J287" s="36" t="s">
        <v>34</v>
      </c>
      <c r="K287" s="36" t="s">
        <v>35</v>
      </c>
      <c r="L287" s="36" t="s">
        <v>43</v>
      </c>
      <c r="M287" s="36">
        <v>31.0</v>
      </c>
      <c r="N287" s="36"/>
      <c r="O287" s="36"/>
      <c r="P287" s="34"/>
      <c r="Q287" s="34"/>
      <c r="R287" s="34"/>
      <c r="S287" s="34"/>
    </row>
    <row r="288" ht="15.75" hidden="1" customHeight="1">
      <c r="B288" s="34">
        <v>46104.0</v>
      </c>
      <c r="C288" s="36">
        <v>1461.0</v>
      </c>
      <c r="D288" s="36">
        <v>200.0</v>
      </c>
      <c r="E288" s="38">
        <v>4.8</v>
      </c>
      <c r="F288" s="38">
        <f t="shared" si="2"/>
        <v>960</v>
      </c>
      <c r="G288" s="36" t="s">
        <v>1590</v>
      </c>
      <c r="H288" s="36" t="s">
        <v>1590</v>
      </c>
      <c r="I288" s="36" t="s">
        <v>59</v>
      </c>
      <c r="J288" s="36" t="s">
        <v>34</v>
      </c>
      <c r="K288" s="36" t="s">
        <v>35</v>
      </c>
      <c r="L288" s="36" t="s">
        <v>160</v>
      </c>
      <c r="M288" s="36">
        <v>31.0</v>
      </c>
      <c r="N288" s="36"/>
      <c r="O288" s="45">
        <v>46105.0</v>
      </c>
      <c r="P288" s="34"/>
      <c r="Q288" s="34"/>
      <c r="R288" s="34"/>
      <c r="S288" s="34"/>
    </row>
    <row r="289" ht="15.75" hidden="1" customHeight="1">
      <c r="B289" s="34">
        <v>46104.0</v>
      </c>
      <c r="C289" s="36">
        <v>1461.0</v>
      </c>
      <c r="D289" s="36">
        <v>40.0</v>
      </c>
      <c r="E289" s="38">
        <v>24.0</v>
      </c>
      <c r="F289" s="38">
        <f t="shared" si="2"/>
        <v>960</v>
      </c>
      <c r="G289" s="36" t="s">
        <v>1596</v>
      </c>
      <c r="H289" s="36" t="s">
        <v>1596</v>
      </c>
      <c r="I289" s="36" t="s">
        <v>59</v>
      </c>
      <c r="J289" s="36" t="s">
        <v>34</v>
      </c>
      <c r="K289" s="36" t="s">
        <v>35</v>
      </c>
      <c r="L289" s="36" t="s">
        <v>160</v>
      </c>
      <c r="M289" s="36">
        <v>31.0</v>
      </c>
      <c r="N289" s="36"/>
      <c r="O289" s="45">
        <v>46105.0</v>
      </c>
      <c r="P289" s="34"/>
      <c r="Q289" s="34"/>
      <c r="R289" s="34"/>
      <c r="S289" s="34"/>
    </row>
    <row r="290" ht="15.75" hidden="1" customHeight="1">
      <c r="B290" s="34">
        <v>46104.0</v>
      </c>
      <c r="C290" s="36">
        <v>1461.0</v>
      </c>
      <c r="D290" s="36">
        <v>100.0</v>
      </c>
      <c r="E290" s="38">
        <v>11.2</v>
      </c>
      <c r="F290" s="38">
        <f t="shared" si="2"/>
        <v>1120</v>
      </c>
      <c r="G290" s="36" t="s">
        <v>1602</v>
      </c>
      <c r="H290" s="36" t="s">
        <v>1602</v>
      </c>
      <c r="I290" s="36" t="s">
        <v>59</v>
      </c>
      <c r="J290" s="36" t="s">
        <v>34</v>
      </c>
      <c r="K290" s="36" t="s">
        <v>35</v>
      </c>
      <c r="L290" s="36" t="s">
        <v>160</v>
      </c>
      <c r="M290" s="36">
        <v>31.0</v>
      </c>
      <c r="N290" s="36"/>
      <c r="O290" s="45">
        <v>46105.0</v>
      </c>
      <c r="P290" s="34"/>
      <c r="Q290" s="34"/>
      <c r="R290" s="34"/>
      <c r="S290" s="34"/>
    </row>
    <row r="291" ht="15.75" hidden="1" customHeight="1">
      <c r="B291" s="34">
        <v>46104.0</v>
      </c>
      <c r="C291" s="36">
        <v>1461.0</v>
      </c>
      <c r="D291" s="36">
        <v>500.0</v>
      </c>
      <c r="E291" s="38">
        <v>10.88</v>
      </c>
      <c r="F291" s="38">
        <f t="shared" si="2"/>
        <v>5440</v>
      </c>
      <c r="G291" s="36" t="s">
        <v>765</v>
      </c>
      <c r="H291" s="36" t="s">
        <v>765</v>
      </c>
      <c r="I291" s="36" t="s">
        <v>59</v>
      </c>
      <c r="J291" s="36" t="s">
        <v>34</v>
      </c>
      <c r="K291" s="36" t="s">
        <v>35</v>
      </c>
      <c r="L291" s="36" t="s">
        <v>160</v>
      </c>
      <c r="M291" s="36">
        <v>31.0</v>
      </c>
      <c r="N291" s="36"/>
      <c r="O291" s="45">
        <v>46105.0</v>
      </c>
      <c r="P291" s="34"/>
      <c r="Q291" s="34"/>
      <c r="R291" s="34"/>
      <c r="S291" s="34"/>
    </row>
    <row r="292" ht="15.75" hidden="1" customHeight="1">
      <c r="B292" s="34">
        <v>46104.0</v>
      </c>
      <c r="C292" s="36" t="s">
        <v>35</v>
      </c>
      <c r="D292" s="36">
        <v>100.0</v>
      </c>
      <c r="E292" s="38">
        <v>180.0</v>
      </c>
      <c r="F292" s="38">
        <f t="shared" si="2"/>
        <v>18000</v>
      </c>
      <c r="G292" s="35" t="s">
        <v>1130</v>
      </c>
      <c r="H292" s="35" t="s">
        <v>35</v>
      </c>
      <c r="I292" s="36" t="s">
        <v>59</v>
      </c>
      <c r="J292" s="36" t="s">
        <v>34</v>
      </c>
      <c r="K292" s="36" t="s">
        <v>35</v>
      </c>
      <c r="L292" s="36" t="s">
        <v>132</v>
      </c>
      <c r="M292" s="36">
        <v>31.0</v>
      </c>
      <c r="N292" s="36"/>
      <c r="O292" s="36"/>
      <c r="P292" s="34"/>
      <c r="Q292" s="34"/>
      <c r="R292" s="34"/>
      <c r="S292" s="34"/>
    </row>
    <row r="293" ht="15.75" hidden="1" customHeight="1">
      <c r="B293" s="34">
        <v>46104.0</v>
      </c>
      <c r="C293" s="36">
        <v>9.302021446E9</v>
      </c>
      <c r="D293" s="36">
        <v>120.0</v>
      </c>
      <c r="E293" s="38">
        <v>13.5</v>
      </c>
      <c r="F293" s="38">
        <f t="shared" si="2"/>
        <v>1620</v>
      </c>
      <c r="G293" s="36" t="s">
        <v>1620</v>
      </c>
      <c r="H293" s="36" t="s">
        <v>35</v>
      </c>
      <c r="I293" s="36" t="s">
        <v>41</v>
      </c>
      <c r="J293" s="36" t="s">
        <v>40</v>
      </c>
      <c r="K293" s="36" t="s">
        <v>35</v>
      </c>
      <c r="L293" s="36" t="s">
        <v>1622</v>
      </c>
      <c r="M293" s="36">
        <v>1.0</v>
      </c>
      <c r="N293" s="36"/>
      <c r="O293" s="45">
        <v>46112.0</v>
      </c>
      <c r="P293" s="34"/>
      <c r="Q293" s="34"/>
      <c r="R293" s="34"/>
      <c r="S293" s="34"/>
    </row>
    <row r="294" ht="15.75" hidden="1" customHeight="1">
      <c r="B294" s="34">
        <v>46104.0</v>
      </c>
      <c r="C294" s="36">
        <v>10420.0</v>
      </c>
      <c r="D294" s="36">
        <v>72.0</v>
      </c>
      <c r="E294" s="38">
        <v>12.9</v>
      </c>
      <c r="F294" s="38">
        <f t="shared" si="2"/>
        <v>928.8</v>
      </c>
      <c r="G294" s="36" t="s">
        <v>1347</v>
      </c>
      <c r="H294" s="36" t="s">
        <v>1348</v>
      </c>
      <c r="I294" s="36" t="s">
        <v>41</v>
      </c>
      <c r="J294" s="36" t="s">
        <v>34</v>
      </c>
      <c r="K294" s="36" t="s">
        <v>35</v>
      </c>
      <c r="L294" s="36" t="s">
        <v>96</v>
      </c>
      <c r="M294" s="36">
        <v>31.0</v>
      </c>
      <c r="N294" s="36"/>
      <c r="O294" s="45">
        <v>46105.0</v>
      </c>
      <c r="P294" s="34"/>
      <c r="Q294" s="34"/>
      <c r="R294" s="34"/>
      <c r="S294" s="34"/>
    </row>
    <row r="295" ht="15.75" hidden="1" customHeight="1">
      <c r="B295" s="34">
        <v>46104.0</v>
      </c>
      <c r="C295" s="36">
        <v>10420.0</v>
      </c>
      <c r="D295" s="36">
        <v>72.0</v>
      </c>
      <c r="E295" s="38">
        <v>8.8</v>
      </c>
      <c r="F295" s="38">
        <f t="shared" si="2"/>
        <v>633.6</v>
      </c>
      <c r="G295" s="36" t="s">
        <v>1627</v>
      </c>
      <c r="H295" s="36" t="s">
        <v>1629</v>
      </c>
      <c r="I295" s="36" t="s">
        <v>41</v>
      </c>
      <c r="J295" s="36" t="s">
        <v>34</v>
      </c>
      <c r="K295" s="36" t="s">
        <v>35</v>
      </c>
      <c r="L295" s="36" t="s">
        <v>96</v>
      </c>
      <c r="M295" s="36">
        <v>31.0</v>
      </c>
      <c r="N295" s="36"/>
      <c r="O295" s="45">
        <v>46105.0</v>
      </c>
      <c r="P295" s="34"/>
      <c r="Q295" s="34"/>
      <c r="R295" s="34"/>
      <c r="S295" s="34"/>
    </row>
    <row r="296" ht="15.75" hidden="1" customHeight="1">
      <c r="B296" s="34">
        <v>46104.0</v>
      </c>
      <c r="C296" s="36">
        <v>10420.0</v>
      </c>
      <c r="D296" s="36">
        <v>48.0</v>
      </c>
      <c r="E296" s="38">
        <v>7.9</v>
      </c>
      <c r="F296" s="38">
        <f t="shared" si="2"/>
        <v>379.2</v>
      </c>
      <c r="G296" s="36" t="s">
        <v>619</v>
      </c>
      <c r="H296" s="36" t="s">
        <v>620</v>
      </c>
      <c r="I296" s="36" t="s">
        <v>41</v>
      </c>
      <c r="J296" s="36" t="s">
        <v>34</v>
      </c>
      <c r="K296" s="36" t="s">
        <v>35</v>
      </c>
      <c r="L296" s="36" t="s">
        <v>96</v>
      </c>
      <c r="M296" s="36">
        <v>31.0</v>
      </c>
      <c r="N296" s="36"/>
      <c r="O296" s="45">
        <v>46105.0</v>
      </c>
      <c r="P296" s="34"/>
      <c r="Q296" s="34"/>
      <c r="R296" s="34"/>
      <c r="S296" s="34"/>
    </row>
    <row r="297" ht="15.75" hidden="1" customHeight="1">
      <c r="B297" s="34">
        <v>46104.0</v>
      </c>
      <c r="C297" s="36">
        <v>10420.0</v>
      </c>
      <c r="D297" s="36">
        <v>50.0</v>
      </c>
      <c r="E297" s="38">
        <v>11.9</v>
      </c>
      <c r="F297" s="38">
        <f t="shared" si="2"/>
        <v>595</v>
      </c>
      <c r="G297" s="36" t="s">
        <v>1639</v>
      </c>
      <c r="H297" s="36" t="s">
        <v>1640</v>
      </c>
      <c r="I297" s="36" t="s">
        <v>41</v>
      </c>
      <c r="J297" s="36" t="s">
        <v>34</v>
      </c>
      <c r="K297" s="36" t="s">
        <v>35</v>
      </c>
      <c r="L297" s="36" t="s">
        <v>96</v>
      </c>
      <c r="M297" s="36">
        <v>31.0</v>
      </c>
      <c r="N297" s="36"/>
      <c r="O297" s="45">
        <v>46105.0</v>
      </c>
      <c r="P297" s="34"/>
      <c r="Q297" s="34"/>
      <c r="R297" s="34"/>
      <c r="S297" s="34"/>
    </row>
    <row r="298" ht="15.75" hidden="1" customHeight="1">
      <c r="B298" s="34">
        <v>46104.0</v>
      </c>
      <c r="C298" s="36">
        <v>10420.0</v>
      </c>
      <c r="D298" s="36">
        <v>60.0</v>
      </c>
      <c r="E298" s="38">
        <v>9.99</v>
      </c>
      <c r="F298" s="38">
        <f t="shared" si="2"/>
        <v>599.4</v>
      </c>
      <c r="G298" s="36" t="s">
        <v>1643</v>
      </c>
      <c r="H298" s="36" t="s">
        <v>1644</v>
      </c>
      <c r="I298" s="36" t="s">
        <v>41</v>
      </c>
      <c r="J298" s="36" t="s">
        <v>34</v>
      </c>
      <c r="K298" s="36" t="s">
        <v>35</v>
      </c>
      <c r="L298" s="36" t="s">
        <v>96</v>
      </c>
      <c r="M298" s="36">
        <v>31.0</v>
      </c>
      <c r="N298" s="36"/>
      <c r="O298" s="45">
        <v>46105.0</v>
      </c>
      <c r="P298" s="34"/>
      <c r="Q298" s="34"/>
      <c r="R298" s="34"/>
      <c r="S298" s="34"/>
    </row>
    <row r="299" ht="15.75" hidden="1" customHeight="1">
      <c r="B299" s="34">
        <v>46104.0</v>
      </c>
      <c r="C299" s="36">
        <v>10420.0</v>
      </c>
      <c r="D299" s="36">
        <v>12.0</v>
      </c>
      <c r="E299" s="38">
        <v>139.9</v>
      </c>
      <c r="F299" s="38">
        <f t="shared" si="2"/>
        <v>1678.8</v>
      </c>
      <c r="G299" s="36" t="s">
        <v>1649</v>
      </c>
      <c r="H299" s="36" t="s">
        <v>541</v>
      </c>
      <c r="I299" s="36" t="s">
        <v>41</v>
      </c>
      <c r="J299" s="36" t="s">
        <v>34</v>
      </c>
      <c r="K299" s="36" t="s">
        <v>35</v>
      </c>
      <c r="L299" s="36" t="s">
        <v>96</v>
      </c>
      <c r="M299" s="36">
        <v>31.0</v>
      </c>
      <c r="N299" s="36"/>
      <c r="O299" s="45">
        <v>46105.0</v>
      </c>
      <c r="P299" s="34"/>
      <c r="Q299" s="34"/>
      <c r="R299" s="34"/>
      <c r="S299" s="34"/>
    </row>
    <row r="300" ht="15.75" hidden="1" customHeight="1">
      <c r="B300" s="34">
        <v>46104.0</v>
      </c>
      <c r="C300" s="36">
        <v>10420.0</v>
      </c>
      <c r="D300" s="36">
        <v>5.0</v>
      </c>
      <c r="E300" s="38">
        <v>339.9</v>
      </c>
      <c r="F300" s="38">
        <f t="shared" si="2"/>
        <v>1699.5</v>
      </c>
      <c r="G300" s="36" t="s">
        <v>393</v>
      </c>
      <c r="H300" s="36" t="s">
        <v>396</v>
      </c>
      <c r="I300" s="36" t="s">
        <v>41</v>
      </c>
      <c r="J300" s="36" t="s">
        <v>34</v>
      </c>
      <c r="K300" s="36" t="s">
        <v>35</v>
      </c>
      <c r="L300" s="36" t="s">
        <v>96</v>
      </c>
      <c r="M300" s="36">
        <v>31.0</v>
      </c>
      <c r="N300" s="36"/>
      <c r="O300" s="45">
        <v>46105.0</v>
      </c>
      <c r="P300" s="34"/>
      <c r="Q300" s="34"/>
      <c r="R300" s="34"/>
      <c r="S300" s="34"/>
    </row>
    <row r="301" ht="15.75" hidden="1" customHeight="1">
      <c r="B301" s="34">
        <v>46104.0</v>
      </c>
      <c r="C301" s="36">
        <v>10420.0</v>
      </c>
      <c r="D301" s="36">
        <v>2.0</v>
      </c>
      <c r="E301" s="38">
        <v>379.9</v>
      </c>
      <c r="F301" s="38">
        <f t="shared" si="2"/>
        <v>759.8</v>
      </c>
      <c r="G301" s="36" t="s">
        <v>1654</v>
      </c>
      <c r="H301" s="36" t="s">
        <v>1218</v>
      </c>
      <c r="I301" s="36" t="s">
        <v>41</v>
      </c>
      <c r="J301" s="36" t="s">
        <v>34</v>
      </c>
      <c r="K301" s="36" t="s">
        <v>35</v>
      </c>
      <c r="L301" s="36" t="s">
        <v>96</v>
      </c>
      <c r="M301" s="36">
        <v>31.0</v>
      </c>
      <c r="N301" s="36"/>
      <c r="O301" s="45">
        <v>46105.0</v>
      </c>
      <c r="P301" s="34"/>
      <c r="Q301" s="34"/>
      <c r="R301" s="34"/>
      <c r="S301" s="34"/>
    </row>
    <row r="302" ht="15.75" hidden="1" customHeight="1">
      <c r="B302" s="34">
        <v>46104.0</v>
      </c>
      <c r="C302" s="36">
        <v>10420.0</v>
      </c>
      <c r="D302" s="36">
        <v>4.0</v>
      </c>
      <c r="E302" s="38">
        <v>379.9</v>
      </c>
      <c r="F302" s="38">
        <f t="shared" si="2"/>
        <v>1519.6</v>
      </c>
      <c r="G302" s="36" t="s">
        <v>170</v>
      </c>
      <c r="H302" s="36" t="s">
        <v>530</v>
      </c>
      <c r="I302" s="36" t="s">
        <v>41</v>
      </c>
      <c r="J302" s="36" t="s">
        <v>34</v>
      </c>
      <c r="K302" s="36" t="s">
        <v>35</v>
      </c>
      <c r="L302" s="36" t="s">
        <v>96</v>
      </c>
      <c r="M302" s="36">
        <v>31.0</v>
      </c>
      <c r="N302" s="36"/>
      <c r="O302" s="45">
        <v>46105.0</v>
      </c>
      <c r="P302" s="34"/>
      <c r="Q302" s="34"/>
      <c r="R302" s="34"/>
      <c r="S302" s="34"/>
    </row>
    <row r="303" ht="15.75" hidden="1" customHeight="1">
      <c r="B303" s="34">
        <v>46104.0</v>
      </c>
      <c r="C303" s="36">
        <v>10420.0</v>
      </c>
      <c r="D303" s="36">
        <v>5.0</v>
      </c>
      <c r="E303" s="38">
        <v>139.9</v>
      </c>
      <c r="F303" s="38">
        <f t="shared" si="2"/>
        <v>699.5</v>
      </c>
      <c r="G303" s="36" t="s">
        <v>1664</v>
      </c>
      <c r="H303" s="36" t="s">
        <v>846</v>
      </c>
      <c r="I303" s="36" t="s">
        <v>41</v>
      </c>
      <c r="J303" s="36" t="s">
        <v>34</v>
      </c>
      <c r="K303" s="36" t="s">
        <v>35</v>
      </c>
      <c r="L303" s="36" t="s">
        <v>96</v>
      </c>
      <c r="M303" s="36">
        <v>31.0</v>
      </c>
      <c r="N303" s="36"/>
      <c r="O303" s="45">
        <v>46105.0</v>
      </c>
      <c r="P303" s="34"/>
      <c r="Q303" s="34"/>
      <c r="R303" s="34"/>
      <c r="S303" s="34"/>
    </row>
    <row r="304" ht="15.75" hidden="1" customHeight="1">
      <c r="B304" s="34">
        <v>46104.0</v>
      </c>
      <c r="C304" s="36">
        <v>10525.0</v>
      </c>
      <c r="D304" s="36">
        <v>48.0</v>
      </c>
      <c r="E304" s="38">
        <v>12.9</v>
      </c>
      <c r="F304" s="38">
        <f t="shared" si="2"/>
        <v>619.2</v>
      </c>
      <c r="G304" s="36" t="s">
        <v>1667</v>
      </c>
      <c r="H304" s="36" t="s">
        <v>1670</v>
      </c>
      <c r="I304" s="36" t="s">
        <v>41</v>
      </c>
      <c r="J304" s="36" t="s">
        <v>34</v>
      </c>
      <c r="K304" s="36" t="s">
        <v>35</v>
      </c>
      <c r="L304" s="36" t="s">
        <v>96</v>
      </c>
      <c r="M304" s="36">
        <v>31.0</v>
      </c>
      <c r="N304" s="36"/>
      <c r="O304" s="45">
        <v>46105.0</v>
      </c>
      <c r="P304" s="34"/>
      <c r="Q304" s="34"/>
      <c r="R304" s="34"/>
      <c r="S304" s="34"/>
    </row>
    <row r="305" ht="15.75" hidden="1" customHeight="1">
      <c r="B305" s="34">
        <v>46104.0</v>
      </c>
      <c r="C305" s="36">
        <v>10427.0</v>
      </c>
      <c r="D305" s="36">
        <v>2.0</v>
      </c>
      <c r="E305" s="38">
        <v>427.776</v>
      </c>
      <c r="F305" s="38">
        <f t="shared" si="2"/>
        <v>855.552</v>
      </c>
      <c r="G305" s="36" t="s">
        <v>1674</v>
      </c>
      <c r="H305" s="36">
        <v>106008.0</v>
      </c>
      <c r="I305" s="36" t="s">
        <v>174</v>
      </c>
      <c r="J305" s="36" t="s">
        <v>175</v>
      </c>
      <c r="K305" s="36" t="s">
        <v>35</v>
      </c>
      <c r="L305" s="36" t="s">
        <v>1578</v>
      </c>
      <c r="M305" s="36">
        <v>1.0</v>
      </c>
      <c r="N305" s="36"/>
      <c r="O305" s="36"/>
      <c r="P305" s="34">
        <v>46105.0</v>
      </c>
      <c r="Q305" s="34"/>
      <c r="R305" s="34"/>
      <c r="S305" s="34"/>
    </row>
    <row r="306" ht="15.75" hidden="1" customHeight="1">
      <c r="B306" s="34">
        <v>46104.0</v>
      </c>
      <c r="C306" s="36">
        <v>10427.0</v>
      </c>
      <c r="D306" s="36">
        <v>1.0</v>
      </c>
      <c r="E306" s="38">
        <v>272.497</v>
      </c>
      <c r="F306" s="38">
        <f t="shared" si="2"/>
        <v>272.497</v>
      </c>
      <c r="G306" s="36" t="s">
        <v>1677</v>
      </c>
      <c r="H306" s="36">
        <v>106002.0</v>
      </c>
      <c r="I306" s="36" t="s">
        <v>174</v>
      </c>
      <c r="J306" s="36" t="s">
        <v>175</v>
      </c>
      <c r="K306" s="36" t="s">
        <v>35</v>
      </c>
      <c r="L306" s="36" t="s">
        <v>1578</v>
      </c>
      <c r="M306" s="36">
        <v>1.0</v>
      </c>
      <c r="N306" s="36"/>
      <c r="O306" s="36"/>
      <c r="P306" s="34">
        <v>46105.0</v>
      </c>
      <c r="Q306" s="34"/>
      <c r="R306" s="34"/>
      <c r="S306" s="34"/>
    </row>
    <row r="307" ht="15.75" hidden="1" customHeight="1">
      <c r="B307" s="34">
        <v>46104.0</v>
      </c>
      <c r="C307" s="36">
        <v>1389.0</v>
      </c>
      <c r="D307" s="36">
        <v>20.0</v>
      </c>
      <c r="E307" s="38">
        <v>2350.0</v>
      </c>
      <c r="F307" s="38">
        <f t="shared" si="2"/>
        <v>47000</v>
      </c>
      <c r="G307" s="36" t="s">
        <v>1682</v>
      </c>
      <c r="H307" s="36" t="s">
        <v>1684</v>
      </c>
      <c r="I307" s="36" t="s">
        <v>174</v>
      </c>
      <c r="J307" s="36" t="s">
        <v>175</v>
      </c>
      <c r="K307" s="36" t="s">
        <v>35</v>
      </c>
      <c r="L307" s="36" t="s">
        <v>151</v>
      </c>
      <c r="M307" s="36">
        <v>31.0</v>
      </c>
      <c r="N307" s="36"/>
      <c r="O307" s="36"/>
      <c r="P307" s="34"/>
      <c r="Q307" s="34"/>
      <c r="R307" s="34"/>
      <c r="S307" s="34"/>
    </row>
    <row r="308" ht="15.75" hidden="1" customHeight="1">
      <c r="B308" s="34">
        <v>46104.0</v>
      </c>
      <c r="C308" s="36">
        <v>237728.0</v>
      </c>
      <c r="D308" s="36">
        <v>100.0</v>
      </c>
      <c r="E308" s="38">
        <v>57.65</v>
      </c>
      <c r="F308" s="38">
        <f t="shared" si="2"/>
        <v>5765</v>
      </c>
      <c r="G308" s="36" t="s">
        <v>1688</v>
      </c>
      <c r="H308" s="69" t="s">
        <v>1691</v>
      </c>
      <c r="I308" s="36" t="s">
        <v>32</v>
      </c>
      <c r="J308" s="36" t="s">
        <v>34</v>
      </c>
      <c r="K308" s="36" t="s">
        <v>35</v>
      </c>
      <c r="L308" s="36" t="s">
        <v>526</v>
      </c>
      <c r="M308" s="36">
        <v>31.0</v>
      </c>
      <c r="N308" s="36"/>
      <c r="O308" s="36"/>
      <c r="P308" s="34"/>
      <c r="Q308" s="34"/>
      <c r="R308" s="34"/>
      <c r="S308" s="34"/>
    </row>
    <row r="309" ht="15.75" hidden="1" customHeight="1">
      <c r="B309" s="34">
        <v>46104.0</v>
      </c>
      <c r="C309" s="36">
        <v>237728.0</v>
      </c>
      <c r="D309" s="36">
        <v>440.0</v>
      </c>
      <c r="E309" s="38">
        <v>57.65</v>
      </c>
      <c r="F309" s="38">
        <f t="shared" si="2"/>
        <v>25366</v>
      </c>
      <c r="G309" s="36" t="s">
        <v>1688</v>
      </c>
      <c r="H309" s="69" t="s">
        <v>1691</v>
      </c>
      <c r="I309" s="36" t="s">
        <v>32</v>
      </c>
      <c r="J309" s="36" t="s">
        <v>40</v>
      </c>
      <c r="K309" s="36" t="s">
        <v>35</v>
      </c>
      <c r="L309" s="36" t="s">
        <v>526</v>
      </c>
      <c r="M309" s="36">
        <v>31.0</v>
      </c>
      <c r="N309" s="36"/>
      <c r="O309" s="36"/>
      <c r="P309" s="34"/>
      <c r="Q309" s="34"/>
      <c r="R309" s="34"/>
      <c r="S309" s="34"/>
    </row>
    <row r="310" ht="15.75" hidden="1" customHeight="1">
      <c r="B310" s="34">
        <v>46105.0</v>
      </c>
      <c r="C310" s="36">
        <v>911936.0</v>
      </c>
      <c r="D310" s="36">
        <v>500.0</v>
      </c>
      <c r="E310" s="38">
        <v>135.0</v>
      </c>
      <c r="F310" s="38">
        <f t="shared" si="2"/>
        <v>67500</v>
      </c>
      <c r="G310" s="36" t="s">
        <v>926</v>
      </c>
      <c r="H310" s="36">
        <v>57944.0</v>
      </c>
      <c r="I310" s="36" t="s">
        <v>59</v>
      </c>
      <c r="J310" s="36" t="s">
        <v>34</v>
      </c>
      <c r="K310" s="36" t="s">
        <v>35</v>
      </c>
      <c r="L310" s="36" t="s">
        <v>43</v>
      </c>
      <c r="M310" s="36">
        <v>31.0</v>
      </c>
      <c r="N310" s="36"/>
      <c r="O310" s="45">
        <v>46113.0</v>
      </c>
      <c r="P310" s="34"/>
      <c r="Q310" s="34">
        <v>46135.0</v>
      </c>
      <c r="R310" s="34">
        <v>46165.0</v>
      </c>
      <c r="S310" s="35"/>
    </row>
    <row r="311" ht="15.75" hidden="1" customHeight="1">
      <c r="B311" s="34">
        <v>46105.0</v>
      </c>
      <c r="C311" s="36">
        <v>911936.0</v>
      </c>
      <c r="D311" s="36">
        <v>500.0</v>
      </c>
      <c r="E311" s="38">
        <v>135.0</v>
      </c>
      <c r="F311" s="38">
        <f t="shared" si="2"/>
        <v>67500</v>
      </c>
      <c r="G311" s="36" t="s">
        <v>926</v>
      </c>
      <c r="H311" s="36">
        <v>57944.0</v>
      </c>
      <c r="I311" s="36" t="s">
        <v>59</v>
      </c>
      <c r="J311" s="36" t="s">
        <v>40</v>
      </c>
      <c r="K311" s="36" t="s">
        <v>35</v>
      </c>
      <c r="L311" s="36" t="s">
        <v>43</v>
      </c>
      <c r="M311" s="36">
        <v>31.0</v>
      </c>
      <c r="N311" s="36"/>
      <c r="O311" s="36"/>
      <c r="P311" s="34"/>
      <c r="Q311" s="34">
        <v>46135.0</v>
      </c>
      <c r="R311" s="34">
        <v>46165.0</v>
      </c>
      <c r="S311" s="35"/>
    </row>
    <row r="312" ht="15.75" hidden="1" customHeight="1">
      <c r="B312" s="34">
        <v>46105.0</v>
      </c>
      <c r="C312" s="36">
        <v>911936.0</v>
      </c>
      <c r="D312" s="36">
        <v>200.0</v>
      </c>
      <c r="E312" s="38">
        <v>249.9</v>
      </c>
      <c r="F312" s="38">
        <f t="shared" si="2"/>
        <v>49980</v>
      </c>
      <c r="G312" s="36" t="s">
        <v>930</v>
      </c>
      <c r="H312" s="36">
        <v>64508.0</v>
      </c>
      <c r="I312" s="36" t="s">
        <v>59</v>
      </c>
      <c r="J312" s="36" t="s">
        <v>34</v>
      </c>
      <c r="K312" s="36" t="s">
        <v>35</v>
      </c>
      <c r="L312" s="36" t="s">
        <v>43</v>
      </c>
      <c r="M312" s="36">
        <v>31.0</v>
      </c>
      <c r="N312" s="36"/>
      <c r="O312" s="45">
        <v>46118.0</v>
      </c>
      <c r="P312" s="34"/>
      <c r="Q312" s="34">
        <v>46135.0</v>
      </c>
      <c r="R312" s="34">
        <v>46165.0</v>
      </c>
      <c r="S312" s="35"/>
    </row>
    <row r="313" ht="15.75" hidden="1" customHeight="1">
      <c r="B313" s="34">
        <v>46105.0</v>
      </c>
      <c r="C313" s="36">
        <v>1492.0</v>
      </c>
      <c r="D313" s="36">
        <v>200.0</v>
      </c>
      <c r="E313" s="38">
        <v>16.8</v>
      </c>
      <c r="F313" s="38">
        <f t="shared" si="2"/>
        <v>3360</v>
      </c>
      <c r="G313" s="36" t="s">
        <v>1719</v>
      </c>
      <c r="H313" s="36" t="s">
        <v>1720</v>
      </c>
      <c r="I313" s="36" t="s">
        <v>41</v>
      </c>
      <c r="J313" s="36" t="s">
        <v>34</v>
      </c>
      <c r="K313" s="36" t="s">
        <v>35</v>
      </c>
      <c r="L313" s="36" t="s">
        <v>160</v>
      </c>
      <c r="M313" s="36">
        <v>31.0</v>
      </c>
      <c r="N313" s="36"/>
      <c r="O313" s="45">
        <v>46105.0</v>
      </c>
      <c r="P313" s="34"/>
      <c r="Q313" s="34"/>
      <c r="R313" s="34"/>
      <c r="S313" s="34"/>
    </row>
    <row r="314" ht="15.75" hidden="1" customHeight="1">
      <c r="B314" s="34">
        <v>46105.0</v>
      </c>
      <c r="C314" s="36">
        <v>911962.0</v>
      </c>
      <c r="D314" s="36">
        <v>15.0</v>
      </c>
      <c r="E314" s="38">
        <v>447.0</v>
      </c>
      <c r="F314" s="38">
        <f t="shared" si="2"/>
        <v>6705</v>
      </c>
      <c r="G314" s="36" t="s">
        <v>1725</v>
      </c>
      <c r="H314" s="36">
        <v>67256.0</v>
      </c>
      <c r="I314" s="36" t="s">
        <v>41</v>
      </c>
      <c r="J314" s="36" t="s">
        <v>34</v>
      </c>
      <c r="K314" s="36" t="s">
        <v>35</v>
      </c>
      <c r="L314" s="36" t="s">
        <v>43</v>
      </c>
      <c r="M314" s="36">
        <v>31.0</v>
      </c>
      <c r="N314" s="45">
        <v>46113.0</v>
      </c>
      <c r="O314" s="36"/>
      <c r="P314" s="34"/>
      <c r="Q314" s="34">
        <v>46135.0</v>
      </c>
      <c r="R314" s="34">
        <v>46165.0</v>
      </c>
      <c r="S314" s="35"/>
    </row>
    <row r="315" ht="15.75" hidden="1" customHeight="1">
      <c r="B315" s="34">
        <v>46105.0</v>
      </c>
      <c r="C315" s="36">
        <v>911962.0</v>
      </c>
      <c r="D315" s="36">
        <v>1000.0</v>
      </c>
      <c r="E315" s="38">
        <v>87.9</v>
      </c>
      <c r="F315" s="38">
        <f t="shared" si="2"/>
        <v>87900</v>
      </c>
      <c r="G315" s="36" t="s">
        <v>1730</v>
      </c>
      <c r="H315" s="36">
        <v>68197.0</v>
      </c>
      <c r="I315" s="36" t="s">
        <v>41</v>
      </c>
      <c r="J315" s="36" t="s">
        <v>40</v>
      </c>
      <c r="K315" s="36" t="s">
        <v>35</v>
      </c>
      <c r="L315" s="36" t="s">
        <v>43</v>
      </c>
      <c r="M315" s="36">
        <v>31.0</v>
      </c>
      <c r="N315" s="45">
        <v>46113.0</v>
      </c>
      <c r="O315" s="36"/>
      <c r="P315" s="34"/>
      <c r="Q315" s="34">
        <v>46135.0</v>
      </c>
      <c r="R315" s="34">
        <v>46165.0</v>
      </c>
      <c r="S315" s="35"/>
    </row>
    <row r="316" ht="15.75" hidden="1" customHeight="1">
      <c r="B316" s="34">
        <v>46105.0</v>
      </c>
      <c r="C316" s="36">
        <v>3688.0</v>
      </c>
      <c r="D316" s="36">
        <v>7.0</v>
      </c>
      <c r="E316" s="38">
        <v>180.0</v>
      </c>
      <c r="F316" s="38">
        <f t="shared" si="2"/>
        <v>1260</v>
      </c>
      <c r="G316" s="36" t="s">
        <v>1736</v>
      </c>
      <c r="H316" s="36" t="s">
        <v>464</v>
      </c>
      <c r="I316" s="36" t="s">
        <v>59</v>
      </c>
      <c r="J316" s="36" t="s">
        <v>34</v>
      </c>
      <c r="K316" s="36" t="s">
        <v>35</v>
      </c>
      <c r="L316" s="36" t="s">
        <v>46</v>
      </c>
      <c r="M316" s="36">
        <v>31.0</v>
      </c>
      <c r="N316" s="36"/>
      <c r="O316" s="45">
        <v>46105.0</v>
      </c>
      <c r="P316" s="34"/>
      <c r="Q316" s="34"/>
      <c r="R316" s="34"/>
      <c r="S316" s="34"/>
    </row>
    <row r="317" ht="15.75" hidden="1" customHeight="1">
      <c r="B317" s="34">
        <v>46105.0</v>
      </c>
      <c r="C317" s="36">
        <v>3688.0</v>
      </c>
      <c r="D317" s="36">
        <v>10.0</v>
      </c>
      <c r="E317" s="38">
        <v>189.0</v>
      </c>
      <c r="F317" s="38">
        <f t="shared" si="2"/>
        <v>1890</v>
      </c>
      <c r="G317" s="36" t="s">
        <v>1744</v>
      </c>
      <c r="H317" s="36" t="s">
        <v>475</v>
      </c>
      <c r="I317" s="36" t="s">
        <v>59</v>
      </c>
      <c r="J317" s="36" t="s">
        <v>34</v>
      </c>
      <c r="K317" s="36" t="s">
        <v>35</v>
      </c>
      <c r="L317" s="36" t="s">
        <v>46</v>
      </c>
      <c r="M317" s="36">
        <v>31.0</v>
      </c>
      <c r="N317" s="36"/>
      <c r="O317" s="45">
        <v>46105.0</v>
      </c>
      <c r="P317" s="34"/>
      <c r="Q317" s="34"/>
      <c r="R317" s="34"/>
      <c r="S317" s="34"/>
    </row>
    <row r="318" ht="15.75" hidden="1" customHeight="1">
      <c r="B318" s="34">
        <v>46105.0</v>
      </c>
      <c r="C318" s="36" t="s">
        <v>35</v>
      </c>
      <c r="D318" s="36">
        <v>6.0</v>
      </c>
      <c r="E318" s="38">
        <v>215.0</v>
      </c>
      <c r="F318" s="38">
        <f t="shared" si="2"/>
        <v>1290</v>
      </c>
      <c r="G318" s="35" t="s">
        <v>1124</v>
      </c>
      <c r="H318" s="35" t="s">
        <v>35</v>
      </c>
      <c r="I318" s="36" t="s">
        <v>59</v>
      </c>
      <c r="J318" s="36" t="s">
        <v>34</v>
      </c>
      <c r="K318" s="36" t="s">
        <v>35</v>
      </c>
      <c r="L318" s="36" t="s">
        <v>132</v>
      </c>
      <c r="M318" s="36">
        <v>31.0</v>
      </c>
      <c r="N318" s="36"/>
      <c r="O318" s="36"/>
      <c r="P318" s="34"/>
      <c r="Q318" s="34"/>
      <c r="R318" s="34"/>
      <c r="S318" s="34"/>
    </row>
    <row r="319" ht="15.75" hidden="1" customHeight="1">
      <c r="B319" s="34">
        <v>46105.0</v>
      </c>
      <c r="C319" s="36" t="s">
        <v>35</v>
      </c>
      <c r="D319" s="36">
        <v>10.0</v>
      </c>
      <c r="E319" s="38">
        <v>180.0</v>
      </c>
      <c r="F319" s="38">
        <f t="shared" si="2"/>
        <v>1800</v>
      </c>
      <c r="G319" s="35" t="s">
        <v>1130</v>
      </c>
      <c r="H319" s="35" t="s">
        <v>35</v>
      </c>
      <c r="I319" s="36" t="s">
        <v>59</v>
      </c>
      <c r="J319" s="36" t="s">
        <v>34</v>
      </c>
      <c r="K319" s="36" t="s">
        <v>35</v>
      </c>
      <c r="L319" s="36" t="s">
        <v>132</v>
      </c>
      <c r="M319" s="36">
        <v>31.0</v>
      </c>
      <c r="N319" s="36"/>
      <c r="O319" s="36"/>
      <c r="P319" s="34"/>
      <c r="Q319" s="34"/>
      <c r="R319" s="34"/>
      <c r="S319" s="34"/>
    </row>
    <row r="320" ht="15.75" hidden="1" customHeight="1">
      <c r="B320" s="34">
        <v>46105.0</v>
      </c>
      <c r="C320" s="36" t="s">
        <v>35</v>
      </c>
      <c r="D320" s="36">
        <v>10.0</v>
      </c>
      <c r="E320" s="38">
        <v>152.0</v>
      </c>
      <c r="F320" s="38">
        <f t="shared" si="2"/>
        <v>1520</v>
      </c>
      <c r="G320" s="35" t="s">
        <v>135</v>
      </c>
      <c r="H320" s="35" t="s">
        <v>35</v>
      </c>
      <c r="I320" s="36" t="s">
        <v>59</v>
      </c>
      <c r="J320" s="36" t="s">
        <v>34</v>
      </c>
      <c r="K320" s="36" t="s">
        <v>35</v>
      </c>
      <c r="L320" s="36" t="s">
        <v>132</v>
      </c>
      <c r="M320" s="36">
        <v>31.0</v>
      </c>
      <c r="N320" s="36"/>
      <c r="O320" s="36"/>
      <c r="P320" s="34"/>
      <c r="Q320" s="34"/>
      <c r="R320" s="34"/>
      <c r="S320" s="34"/>
    </row>
    <row r="321" ht="15.75" hidden="1" customHeight="1">
      <c r="B321" s="34">
        <v>46105.0</v>
      </c>
      <c r="C321" s="36" t="s">
        <v>35</v>
      </c>
      <c r="D321" s="36">
        <v>167.0</v>
      </c>
      <c r="E321" s="38">
        <v>34.0</v>
      </c>
      <c r="F321" s="38">
        <f t="shared" si="2"/>
        <v>5678</v>
      </c>
      <c r="G321" s="36" t="s">
        <v>1756</v>
      </c>
      <c r="H321" s="36" t="s">
        <v>35</v>
      </c>
      <c r="I321" s="36" t="s">
        <v>32</v>
      </c>
      <c r="J321" s="36" t="s">
        <v>34</v>
      </c>
      <c r="K321" s="36" t="s">
        <v>35</v>
      </c>
      <c r="L321" s="36" t="s">
        <v>799</v>
      </c>
      <c r="M321" s="36">
        <v>31.0</v>
      </c>
      <c r="N321" s="36"/>
      <c r="O321" s="45">
        <v>46111.0</v>
      </c>
      <c r="P321" s="34"/>
      <c r="Q321" s="34"/>
      <c r="R321" s="34"/>
      <c r="S321" s="34"/>
    </row>
    <row r="322" ht="15.75" hidden="1" customHeight="1">
      <c r="B322" s="34">
        <v>46105.0</v>
      </c>
      <c r="C322" s="36">
        <v>1424.0</v>
      </c>
      <c r="D322" s="36">
        <v>6.0</v>
      </c>
      <c r="E322" s="38">
        <v>290.0</v>
      </c>
      <c r="F322" s="38">
        <f t="shared" si="2"/>
        <v>1740</v>
      </c>
      <c r="G322" s="36" t="s">
        <v>786</v>
      </c>
      <c r="H322" s="36" t="s">
        <v>729</v>
      </c>
      <c r="I322" s="36" t="s">
        <v>59</v>
      </c>
      <c r="J322" s="36" t="s">
        <v>34</v>
      </c>
      <c r="K322" s="36" t="s">
        <v>35</v>
      </c>
      <c r="L322" s="36" t="s">
        <v>151</v>
      </c>
      <c r="M322" s="36">
        <v>31.0</v>
      </c>
      <c r="N322" s="36"/>
      <c r="O322" s="45">
        <v>46105.0</v>
      </c>
      <c r="P322" s="34"/>
      <c r="Q322" s="34"/>
      <c r="R322" s="34"/>
      <c r="S322" s="34"/>
    </row>
    <row r="323" ht="15.75" hidden="1" customHeight="1">
      <c r="B323" s="34">
        <v>46105.0</v>
      </c>
      <c r="C323" s="36" t="s">
        <v>35</v>
      </c>
      <c r="D323" s="36">
        <v>1.0</v>
      </c>
      <c r="E323" s="38">
        <v>7720.0</v>
      </c>
      <c r="F323" s="38">
        <f t="shared" si="2"/>
        <v>7720</v>
      </c>
      <c r="G323" s="36" t="s">
        <v>1762</v>
      </c>
      <c r="H323" s="36" t="s">
        <v>35</v>
      </c>
      <c r="I323" s="36" t="s">
        <v>221</v>
      </c>
      <c r="J323" s="36" t="s">
        <v>34</v>
      </c>
      <c r="K323" s="36" t="s">
        <v>35</v>
      </c>
      <c r="L323" s="36" t="s">
        <v>35</v>
      </c>
      <c r="M323" s="36">
        <v>31.0</v>
      </c>
      <c r="N323" s="36"/>
      <c r="O323" s="36"/>
      <c r="P323" s="34"/>
      <c r="Q323" s="34"/>
      <c r="R323" s="34"/>
      <c r="S323" s="34"/>
    </row>
    <row r="324" ht="15.75" hidden="1" customHeight="1">
      <c r="B324" s="34">
        <v>46105.0</v>
      </c>
      <c r="C324" s="36" t="s">
        <v>35</v>
      </c>
      <c r="D324" s="36">
        <v>10.0</v>
      </c>
      <c r="E324" s="38">
        <v>180.0</v>
      </c>
      <c r="F324" s="38">
        <f t="shared" si="2"/>
        <v>1800</v>
      </c>
      <c r="G324" s="35" t="s">
        <v>1130</v>
      </c>
      <c r="H324" s="35" t="s">
        <v>35</v>
      </c>
      <c r="I324" s="36" t="s">
        <v>59</v>
      </c>
      <c r="J324" s="36" t="s">
        <v>34</v>
      </c>
      <c r="K324" s="36" t="s">
        <v>35</v>
      </c>
      <c r="L324" s="36" t="s">
        <v>132</v>
      </c>
      <c r="M324" s="36">
        <v>31.0</v>
      </c>
      <c r="N324" s="36"/>
      <c r="O324" s="36"/>
      <c r="P324" s="34"/>
      <c r="Q324" s="34"/>
      <c r="R324" s="34"/>
      <c r="S324" s="34"/>
    </row>
    <row r="325" ht="15.75" hidden="1" customHeight="1">
      <c r="B325" s="34">
        <v>46105.0</v>
      </c>
      <c r="C325" s="36" t="s">
        <v>35</v>
      </c>
      <c r="D325" s="36">
        <v>10.0</v>
      </c>
      <c r="E325" s="38">
        <v>215.0</v>
      </c>
      <c r="F325" s="38">
        <f t="shared" si="2"/>
        <v>2150</v>
      </c>
      <c r="G325" s="35" t="s">
        <v>1124</v>
      </c>
      <c r="H325" s="35" t="s">
        <v>35</v>
      </c>
      <c r="I325" s="36" t="s">
        <v>59</v>
      </c>
      <c r="J325" s="36" t="s">
        <v>34</v>
      </c>
      <c r="K325" s="36" t="s">
        <v>35</v>
      </c>
      <c r="L325" s="36" t="s">
        <v>132</v>
      </c>
      <c r="M325" s="36">
        <v>31.0</v>
      </c>
      <c r="N325" s="36"/>
      <c r="O325" s="36"/>
      <c r="P325" s="34"/>
      <c r="Q325" s="34"/>
      <c r="R325" s="34"/>
      <c r="S325" s="34"/>
    </row>
    <row r="326" ht="15.75" hidden="1" customHeight="1">
      <c r="B326" s="34">
        <v>46105.0</v>
      </c>
      <c r="C326" s="36" t="s">
        <v>35</v>
      </c>
      <c r="D326" s="36">
        <v>200.0</v>
      </c>
      <c r="E326" s="38">
        <v>215.0</v>
      </c>
      <c r="F326" s="38">
        <f t="shared" si="2"/>
        <v>43000</v>
      </c>
      <c r="G326" s="36" t="s">
        <v>1772</v>
      </c>
      <c r="H326" s="36" t="s">
        <v>35</v>
      </c>
      <c r="I326" s="36" t="s">
        <v>59</v>
      </c>
      <c r="J326" s="36" t="s">
        <v>34</v>
      </c>
      <c r="K326" s="36" t="s">
        <v>35</v>
      </c>
      <c r="L326" s="36" t="s">
        <v>132</v>
      </c>
      <c r="M326" s="36">
        <v>31.0</v>
      </c>
      <c r="N326" s="36"/>
      <c r="O326" s="45">
        <v>46105.0</v>
      </c>
      <c r="P326" s="34"/>
      <c r="Q326" s="34"/>
      <c r="R326" s="34"/>
      <c r="S326" s="34"/>
    </row>
    <row r="327" ht="15.75" hidden="1" customHeight="1">
      <c r="B327" s="34">
        <v>46105.0</v>
      </c>
      <c r="C327" s="36">
        <v>3706.0</v>
      </c>
      <c r="D327" s="36">
        <v>60.0</v>
      </c>
      <c r="E327" s="38">
        <v>1215.0</v>
      </c>
      <c r="F327" s="38">
        <f t="shared" si="2"/>
        <v>72900</v>
      </c>
      <c r="G327" s="36" t="s">
        <v>1776</v>
      </c>
      <c r="H327" s="36" t="s">
        <v>1782</v>
      </c>
      <c r="I327" s="36" t="s">
        <v>673</v>
      </c>
      <c r="J327" s="36" t="s">
        <v>34</v>
      </c>
      <c r="K327" s="36" t="s">
        <v>35</v>
      </c>
      <c r="L327" s="36" t="s">
        <v>46</v>
      </c>
      <c r="M327" s="36">
        <v>31.0</v>
      </c>
      <c r="N327" s="36"/>
      <c r="O327" s="45">
        <v>46108.0</v>
      </c>
      <c r="P327" s="34"/>
      <c r="Q327" s="34"/>
      <c r="R327" s="34"/>
      <c r="S327" s="34"/>
    </row>
    <row r="328" ht="15.75" hidden="1" customHeight="1">
      <c r="B328" s="34">
        <v>46105.0</v>
      </c>
      <c r="C328" s="36">
        <v>3706.0</v>
      </c>
      <c r="D328" s="36">
        <v>60.0</v>
      </c>
      <c r="E328" s="38">
        <v>330.0</v>
      </c>
      <c r="F328" s="38">
        <f t="shared" si="2"/>
        <v>19800</v>
      </c>
      <c r="G328" s="36" t="s">
        <v>1787</v>
      </c>
      <c r="H328" s="36" t="s">
        <v>1788</v>
      </c>
      <c r="I328" s="36" t="s">
        <v>673</v>
      </c>
      <c r="J328" s="36" t="s">
        <v>34</v>
      </c>
      <c r="K328" s="36" t="s">
        <v>35</v>
      </c>
      <c r="L328" s="36" t="s">
        <v>46</v>
      </c>
      <c r="M328" s="36">
        <v>31.0</v>
      </c>
      <c r="N328" s="36"/>
      <c r="O328" s="45">
        <v>46108.0</v>
      </c>
      <c r="P328" s="34"/>
      <c r="Q328" s="34"/>
      <c r="R328" s="34"/>
      <c r="S328" s="34"/>
    </row>
    <row r="329" ht="15.75" hidden="1" customHeight="1">
      <c r="B329" s="34">
        <v>46105.0</v>
      </c>
      <c r="C329" s="36">
        <v>9690.0</v>
      </c>
      <c r="D329" s="36">
        <v>100.0</v>
      </c>
      <c r="E329" s="38">
        <v>8.37</v>
      </c>
      <c r="F329" s="38">
        <f t="shared" si="2"/>
        <v>837</v>
      </c>
      <c r="G329" s="36" t="s">
        <v>1792</v>
      </c>
      <c r="H329" s="36" t="s">
        <v>1793</v>
      </c>
      <c r="I329" s="36" t="s">
        <v>32</v>
      </c>
      <c r="J329" s="36" t="s">
        <v>34</v>
      </c>
      <c r="K329" s="36" t="s">
        <v>35</v>
      </c>
      <c r="L329" s="36" t="s">
        <v>210</v>
      </c>
      <c r="M329" s="36">
        <v>31.0</v>
      </c>
      <c r="N329" s="36"/>
      <c r="O329" s="36"/>
      <c r="P329" s="34"/>
      <c r="Q329" s="34"/>
      <c r="R329" s="34"/>
      <c r="S329" s="34"/>
    </row>
    <row r="330" ht="15.75" hidden="1" customHeight="1">
      <c r="B330" s="34">
        <v>46105.0</v>
      </c>
      <c r="C330" s="36">
        <v>912041.0</v>
      </c>
      <c r="D330" s="36">
        <v>15.0</v>
      </c>
      <c r="E330" s="38">
        <v>918.61</v>
      </c>
      <c r="F330" s="38">
        <f t="shared" si="2"/>
        <v>13779.15</v>
      </c>
      <c r="G330" s="36" t="s">
        <v>1796</v>
      </c>
      <c r="H330" s="36">
        <v>73027.0</v>
      </c>
      <c r="I330" s="36" t="s">
        <v>673</v>
      </c>
      <c r="J330" s="36" t="s">
        <v>34</v>
      </c>
      <c r="K330" s="36" t="s">
        <v>35</v>
      </c>
      <c r="L330" s="36" t="s">
        <v>43</v>
      </c>
      <c r="M330" s="36">
        <v>31.0</v>
      </c>
      <c r="N330" s="36"/>
      <c r="O330" s="45">
        <v>46111.0</v>
      </c>
      <c r="P330" s="34"/>
      <c r="Q330" s="34">
        <v>46135.0</v>
      </c>
      <c r="R330" s="34">
        <v>46165.0</v>
      </c>
      <c r="S330" s="35"/>
    </row>
    <row r="331" ht="15.75" hidden="1" customHeight="1">
      <c r="B331" s="34">
        <v>46105.0</v>
      </c>
      <c r="C331" s="36">
        <v>3709.0</v>
      </c>
      <c r="D331" s="36">
        <v>40.0</v>
      </c>
      <c r="E331" s="38">
        <v>342.0</v>
      </c>
      <c r="F331" s="38">
        <f t="shared" si="2"/>
        <v>13680</v>
      </c>
      <c r="G331" s="36" t="s">
        <v>1802</v>
      </c>
      <c r="H331" s="36" t="s">
        <v>775</v>
      </c>
      <c r="I331" s="36" t="s">
        <v>59</v>
      </c>
      <c r="J331" s="36" t="s">
        <v>34</v>
      </c>
      <c r="K331" s="36" t="s">
        <v>35</v>
      </c>
      <c r="L331" s="36" t="s">
        <v>46</v>
      </c>
      <c r="M331" s="36">
        <v>31.0</v>
      </c>
      <c r="N331" s="36"/>
      <c r="O331" s="45">
        <v>46105.0</v>
      </c>
      <c r="P331" s="34"/>
      <c r="Q331" s="34"/>
      <c r="R331" s="34"/>
      <c r="S331" s="34"/>
    </row>
    <row r="332" ht="15.75" hidden="1" customHeight="1">
      <c r="B332" s="34">
        <v>46105.0</v>
      </c>
      <c r="C332" s="36" t="s">
        <v>35</v>
      </c>
      <c r="D332" s="36">
        <v>15.0</v>
      </c>
      <c r="E332" s="38">
        <v>1250.0</v>
      </c>
      <c r="F332" s="38">
        <f t="shared" si="2"/>
        <v>18750</v>
      </c>
      <c r="G332" s="36" t="s">
        <v>1807</v>
      </c>
      <c r="H332" s="36" t="s">
        <v>35</v>
      </c>
      <c r="I332" s="36" t="s">
        <v>59</v>
      </c>
      <c r="J332" s="36" t="s">
        <v>34</v>
      </c>
      <c r="K332" s="36" t="s">
        <v>35</v>
      </c>
      <c r="L332" s="36" t="s">
        <v>1050</v>
      </c>
      <c r="M332" s="36">
        <v>31.0</v>
      </c>
      <c r="N332" s="36"/>
      <c r="O332" s="45">
        <v>46104.0</v>
      </c>
      <c r="P332" s="34"/>
      <c r="Q332" s="34"/>
      <c r="R332" s="34"/>
      <c r="S332" s="34"/>
    </row>
    <row r="333" ht="15.75" hidden="1" customHeight="1">
      <c r="B333" s="45">
        <v>46105.0</v>
      </c>
      <c r="C333" s="36">
        <v>912041.0</v>
      </c>
      <c r="D333" s="36">
        <v>15.0</v>
      </c>
      <c r="E333" s="38">
        <v>918.61</v>
      </c>
      <c r="F333" s="38">
        <f t="shared" si="2"/>
        <v>13779.15</v>
      </c>
      <c r="G333" s="36" t="s">
        <v>1813</v>
      </c>
      <c r="H333" s="36">
        <v>73027.0</v>
      </c>
      <c r="I333" s="36" t="s">
        <v>174</v>
      </c>
      <c r="J333" s="36" t="s">
        <v>175</v>
      </c>
      <c r="K333" s="36" t="s">
        <v>35</v>
      </c>
      <c r="L333" s="36" t="s">
        <v>43</v>
      </c>
      <c r="M333" s="36">
        <v>31.0</v>
      </c>
      <c r="N333" s="36"/>
      <c r="O333" s="45">
        <v>46111.0</v>
      </c>
      <c r="P333" s="34"/>
      <c r="Q333" s="34"/>
      <c r="R333" s="34"/>
      <c r="S333" s="34"/>
    </row>
    <row r="334" ht="15.75" hidden="1" customHeight="1">
      <c r="B334" s="34">
        <v>46106.0</v>
      </c>
      <c r="C334" s="36" t="s">
        <v>35</v>
      </c>
      <c r="D334" s="36">
        <v>100.0</v>
      </c>
      <c r="E334" s="38">
        <v>120.0</v>
      </c>
      <c r="F334" s="38">
        <f t="shared" si="2"/>
        <v>12000</v>
      </c>
      <c r="G334" s="36" t="s">
        <v>1819</v>
      </c>
      <c r="H334" s="36" t="s">
        <v>35</v>
      </c>
      <c r="I334" s="36" t="s">
        <v>300</v>
      </c>
      <c r="J334" s="36" t="s">
        <v>34</v>
      </c>
      <c r="K334" s="36" t="s">
        <v>35</v>
      </c>
      <c r="L334" s="36" t="s">
        <v>799</v>
      </c>
      <c r="M334" s="36">
        <v>31.0</v>
      </c>
      <c r="N334" s="36"/>
      <c r="O334" s="36"/>
      <c r="P334" s="34"/>
      <c r="Q334" s="34"/>
      <c r="R334" s="34"/>
      <c r="S334" s="34"/>
    </row>
    <row r="335" ht="15.75" hidden="1" customHeight="1">
      <c r="B335" s="34">
        <v>46106.0</v>
      </c>
      <c r="C335" s="36" t="s">
        <v>35</v>
      </c>
      <c r="D335" s="36">
        <v>200.0</v>
      </c>
      <c r="E335" s="38">
        <v>220.0</v>
      </c>
      <c r="F335" s="38">
        <f t="shared" si="2"/>
        <v>44000</v>
      </c>
      <c r="G335" s="36" t="s">
        <v>1821</v>
      </c>
      <c r="H335" s="36" t="s">
        <v>35</v>
      </c>
      <c r="I335" s="36" t="s">
        <v>41</v>
      </c>
      <c r="J335" s="36" t="s">
        <v>34</v>
      </c>
      <c r="K335" s="36" t="s">
        <v>35</v>
      </c>
      <c r="L335" s="36" t="s">
        <v>1823</v>
      </c>
      <c r="M335" s="36">
        <v>31.0</v>
      </c>
      <c r="N335" s="36"/>
      <c r="O335" s="45">
        <v>46108.0</v>
      </c>
      <c r="P335" s="34"/>
      <c r="Q335" s="34"/>
      <c r="R335" s="34"/>
      <c r="S335" s="34"/>
    </row>
    <row r="336" ht="15.75" hidden="1" customHeight="1">
      <c r="B336" s="34">
        <v>46106.0</v>
      </c>
      <c r="C336" s="36" t="s">
        <v>35</v>
      </c>
      <c r="D336" s="36">
        <v>50.0</v>
      </c>
      <c r="E336" s="38">
        <v>350.0</v>
      </c>
      <c r="F336" s="38">
        <f t="shared" si="2"/>
        <v>17500</v>
      </c>
      <c r="G336" s="36" t="s">
        <v>1826</v>
      </c>
      <c r="H336" s="36" t="s">
        <v>35</v>
      </c>
      <c r="I336" s="36" t="s">
        <v>300</v>
      </c>
      <c r="J336" s="36" t="s">
        <v>34</v>
      </c>
      <c r="K336" s="36" t="s">
        <v>35</v>
      </c>
      <c r="L336" s="36" t="s">
        <v>314</v>
      </c>
      <c r="M336" s="36">
        <v>31.0</v>
      </c>
      <c r="N336" s="36"/>
      <c r="O336" s="45">
        <v>46108.0</v>
      </c>
      <c r="P336" s="34"/>
      <c r="Q336" s="34"/>
      <c r="R336" s="34"/>
      <c r="S336" s="34"/>
    </row>
    <row r="337" ht="15.75" hidden="1" customHeight="1">
      <c r="B337" s="34">
        <v>46106.0</v>
      </c>
      <c r="C337" s="36" t="s">
        <v>35</v>
      </c>
      <c r="D337" s="36">
        <v>10.0</v>
      </c>
      <c r="E337" s="38">
        <v>650.0</v>
      </c>
      <c r="F337" s="38">
        <f t="shared" si="2"/>
        <v>6500</v>
      </c>
      <c r="G337" s="36" t="s">
        <v>1828</v>
      </c>
      <c r="H337" s="36" t="s">
        <v>35</v>
      </c>
      <c r="I337" s="36" t="s">
        <v>59</v>
      </c>
      <c r="J337" s="36" t="s">
        <v>34</v>
      </c>
      <c r="K337" s="36" t="s">
        <v>35</v>
      </c>
      <c r="L337" s="36" t="s">
        <v>314</v>
      </c>
      <c r="M337" s="36">
        <v>31.0</v>
      </c>
      <c r="N337" s="36"/>
      <c r="O337" s="45">
        <v>46106.0</v>
      </c>
      <c r="P337" s="34"/>
      <c r="Q337" s="34"/>
      <c r="R337" s="34"/>
      <c r="S337" s="34"/>
    </row>
    <row r="338" ht="15.75" hidden="1" customHeight="1">
      <c r="B338" s="34">
        <v>46106.0</v>
      </c>
      <c r="C338" s="36" t="s">
        <v>35</v>
      </c>
      <c r="D338" s="36">
        <v>20.0</v>
      </c>
      <c r="E338" s="38">
        <v>620.0</v>
      </c>
      <c r="F338" s="38">
        <f t="shared" si="2"/>
        <v>12400</v>
      </c>
      <c r="G338" s="36" t="s">
        <v>1828</v>
      </c>
      <c r="H338" s="36" t="s">
        <v>35</v>
      </c>
      <c r="I338" s="36" t="s">
        <v>59</v>
      </c>
      <c r="J338" s="36" t="s">
        <v>34</v>
      </c>
      <c r="K338" s="36" t="s">
        <v>35</v>
      </c>
      <c r="L338" s="36" t="s">
        <v>314</v>
      </c>
      <c r="M338" s="36">
        <v>31.0</v>
      </c>
      <c r="N338" s="36"/>
      <c r="O338" s="45">
        <v>46106.0</v>
      </c>
      <c r="P338" s="34"/>
      <c r="Q338" s="34"/>
      <c r="R338" s="34"/>
      <c r="S338" s="34"/>
    </row>
    <row r="339" ht="15.75" hidden="1" customHeight="1">
      <c r="B339" s="34">
        <v>46106.0</v>
      </c>
      <c r="C339" s="36">
        <v>213.0</v>
      </c>
      <c r="D339" s="36">
        <v>135.0</v>
      </c>
      <c r="E339" s="38">
        <v>200.0</v>
      </c>
      <c r="F339" s="38">
        <f t="shared" si="2"/>
        <v>27000</v>
      </c>
      <c r="G339" s="36" t="s">
        <v>1136</v>
      </c>
      <c r="H339" s="36">
        <v>115.0</v>
      </c>
      <c r="I339" s="36" t="s">
        <v>32</v>
      </c>
      <c r="J339" s="36" t="s">
        <v>34</v>
      </c>
      <c r="K339" s="36" t="s">
        <v>35</v>
      </c>
      <c r="L339" s="36" t="s">
        <v>515</v>
      </c>
      <c r="M339" s="36">
        <v>31.0</v>
      </c>
      <c r="N339" s="36"/>
      <c r="O339" s="45">
        <v>46112.0</v>
      </c>
      <c r="P339" s="34"/>
      <c r="Q339" s="34"/>
      <c r="R339" s="34"/>
      <c r="S339" s="34"/>
    </row>
    <row r="340" ht="15.75" hidden="1" customHeight="1">
      <c r="B340" s="34">
        <v>46106.0</v>
      </c>
      <c r="C340" s="36">
        <v>213.0</v>
      </c>
      <c r="D340" s="36">
        <v>200.0</v>
      </c>
      <c r="E340" s="38">
        <v>225.0</v>
      </c>
      <c r="F340" s="38">
        <f t="shared" si="2"/>
        <v>45000</v>
      </c>
      <c r="G340" s="36" t="s">
        <v>1136</v>
      </c>
      <c r="H340" s="36">
        <v>115.0</v>
      </c>
      <c r="I340" s="36" t="s">
        <v>32</v>
      </c>
      <c r="J340" s="36" t="s">
        <v>34</v>
      </c>
      <c r="K340" s="36" t="s">
        <v>35</v>
      </c>
      <c r="L340" s="36" t="s">
        <v>515</v>
      </c>
      <c r="M340" s="36">
        <v>31.0</v>
      </c>
      <c r="N340" s="36"/>
      <c r="O340" s="45">
        <v>46112.0</v>
      </c>
      <c r="P340" s="34"/>
      <c r="Q340" s="34"/>
      <c r="R340" s="34"/>
      <c r="S340" s="34"/>
    </row>
    <row r="341" ht="15.75" hidden="1" customHeight="1">
      <c r="B341" s="34">
        <v>46106.0</v>
      </c>
      <c r="C341" s="36">
        <v>214.0</v>
      </c>
      <c r="D341" s="36">
        <v>130.0</v>
      </c>
      <c r="E341" s="38">
        <v>399.0</v>
      </c>
      <c r="F341" s="38">
        <f t="shared" si="2"/>
        <v>51870</v>
      </c>
      <c r="G341" s="36" t="s">
        <v>579</v>
      </c>
      <c r="H341" s="36">
        <v>116.0</v>
      </c>
      <c r="I341" s="36" t="s">
        <v>32</v>
      </c>
      <c r="J341" s="36" t="s">
        <v>40</v>
      </c>
      <c r="K341" s="36" t="s">
        <v>35</v>
      </c>
      <c r="L341" s="36" t="s">
        <v>515</v>
      </c>
      <c r="M341" s="36">
        <v>1.0</v>
      </c>
      <c r="N341" s="36"/>
      <c r="O341" s="36"/>
      <c r="P341" s="34"/>
      <c r="Q341" s="34"/>
      <c r="R341" s="34"/>
      <c r="S341" s="34"/>
    </row>
    <row r="342" ht="15.75" hidden="1" customHeight="1">
      <c r="B342" s="34">
        <v>46106.0</v>
      </c>
      <c r="C342" s="36">
        <v>1466.0</v>
      </c>
      <c r="D342" s="36">
        <v>7.0</v>
      </c>
      <c r="E342" s="38">
        <v>360.0</v>
      </c>
      <c r="F342" s="38">
        <f t="shared" si="2"/>
        <v>2520</v>
      </c>
      <c r="G342" s="36" t="s">
        <v>786</v>
      </c>
      <c r="H342" s="36" t="s">
        <v>450</v>
      </c>
      <c r="I342" s="36" t="s">
        <v>59</v>
      </c>
      <c r="J342" s="36" t="s">
        <v>34</v>
      </c>
      <c r="K342" s="36" t="s">
        <v>35</v>
      </c>
      <c r="L342" s="36" t="s">
        <v>151</v>
      </c>
      <c r="M342" s="36">
        <v>31.0</v>
      </c>
      <c r="N342" s="36"/>
      <c r="O342" s="36"/>
      <c r="P342" s="34"/>
      <c r="Q342" s="34"/>
      <c r="R342" s="34"/>
      <c r="S342" s="34"/>
    </row>
    <row r="343" ht="15.75" hidden="1" customHeight="1">
      <c r="B343" s="34">
        <v>46106.0</v>
      </c>
      <c r="C343" s="36">
        <v>912215.0</v>
      </c>
      <c r="D343" s="36">
        <v>100.0</v>
      </c>
      <c r="E343" s="38">
        <v>239.97</v>
      </c>
      <c r="F343" s="38">
        <f t="shared" si="2"/>
        <v>23997</v>
      </c>
      <c r="G343" s="36" t="s">
        <v>1842</v>
      </c>
      <c r="H343" s="36">
        <v>64940.0</v>
      </c>
      <c r="I343" s="36" t="s">
        <v>673</v>
      </c>
      <c r="J343" s="36" t="s">
        <v>175</v>
      </c>
      <c r="K343" s="36" t="s">
        <v>35</v>
      </c>
      <c r="L343" s="36" t="s">
        <v>43</v>
      </c>
      <c r="M343" s="36">
        <v>31.0</v>
      </c>
      <c r="N343" s="36"/>
      <c r="O343" s="45">
        <v>46118.0</v>
      </c>
      <c r="P343" s="34"/>
      <c r="Q343" s="34">
        <v>46136.0</v>
      </c>
      <c r="R343" s="34">
        <v>46166.0</v>
      </c>
      <c r="S343" s="35"/>
    </row>
    <row r="344" ht="15.75" hidden="1" customHeight="1">
      <c r="B344" s="34">
        <v>46106.0</v>
      </c>
      <c r="C344" s="36">
        <v>7391.0</v>
      </c>
      <c r="D344" s="36">
        <v>1.0</v>
      </c>
      <c r="E344" s="38">
        <v>359.1</v>
      </c>
      <c r="F344" s="38">
        <f t="shared" si="2"/>
        <v>359.1</v>
      </c>
      <c r="G344" s="36" t="s">
        <v>1846</v>
      </c>
      <c r="H344" s="36" t="s">
        <v>1848</v>
      </c>
      <c r="I344" s="36" t="s">
        <v>221</v>
      </c>
      <c r="J344" s="36" t="s">
        <v>34</v>
      </c>
      <c r="K344" s="36" t="s">
        <v>35</v>
      </c>
      <c r="L344" s="36" t="s">
        <v>279</v>
      </c>
      <c r="M344" s="36">
        <v>31.0</v>
      </c>
      <c r="N344" s="36"/>
      <c r="O344" s="45">
        <v>46108.0</v>
      </c>
      <c r="P344" s="34"/>
      <c r="Q344" s="34"/>
      <c r="R344" s="34"/>
      <c r="S344" s="34"/>
    </row>
    <row r="345" ht="15.75" hidden="1" customHeight="1">
      <c r="B345" s="34">
        <v>46106.0</v>
      </c>
      <c r="C345" s="36" t="s">
        <v>35</v>
      </c>
      <c r="D345" s="36">
        <v>40.0</v>
      </c>
      <c r="E345" s="38">
        <v>675.0</v>
      </c>
      <c r="F345" s="38">
        <f t="shared" si="2"/>
        <v>27000</v>
      </c>
      <c r="G345" s="36" t="s">
        <v>1850</v>
      </c>
      <c r="H345" s="36" t="s">
        <v>35</v>
      </c>
      <c r="I345" s="36" t="s">
        <v>174</v>
      </c>
      <c r="J345" s="36" t="s">
        <v>175</v>
      </c>
      <c r="K345" s="36" t="s">
        <v>35</v>
      </c>
      <c r="L345" s="36" t="s">
        <v>799</v>
      </c>
      <c r="M345" s="36">
        <v>31.0</v>
      </c>
      <c r="N345" s="36"/>
      <c r="O345" s="45">
        <v>46111.0</v>
      </c>
      <c r="P345" s="34"/>
      <c r="Q345" s="34"/>
      <c r="R345" s="34"/>
      <c r="S345" s="34"/>
    </row>
    <row r="346" ht="15.75" hidden="1" customHeight="1">
      <c r="B346" s="34">
        <v>46106.0</v>
      </c>
      <c r="C346" s="36" t="s">
        <v>35</v>
      </c>
      <c r="D346" s="36">
        <v>7.0</v>
      </c>
      <c r="E346" s="38">
        <v>675.0</v>
      </c>
      <c r="F346" s="38">
        <f t="shared" si="2"/>
        <v>4725</v>
      </c>
      <c r="G346" s="36" t="s">
        <v>1854</v>
      </c>
      <c r="H346" s="36" t="s">
        <v>35</v>
      </c>
      <c r="I346" s="36" t="s">
        <v>174</v>
      </c>
      <c r="J346" s="36" t="s">
        <v>175</v>
      </c>
      <c r="K346" s="36"/>
      <c r="L346" s="36" t="s">
        <v>799</v>
      </c>
      <c r="M346" s="36">
        <v>31.0</v>
      </c>
      <c r="N346" s="36"/>
      <c r="O346" s="45">
        <v>46111.0</v>
      </c>
      <c r="P346" s="34"/>
      <c r="Q346" s="34"/>
      <c r="R346" s="34"/>
      <c r="S346" s="34"/>
    </row>
    <row r="347" ht="15.75" hidden="1" customHeight="1">
      <c r="B347" s="34">
        <v>46106.0</v>
      </c>
      <c r="C347" s="36" t="s">
        <v>35</v>
      </c>
      <c r="D347" s="36">
        <v>2000.0</v>
      </c>
      <c r="E347" s="38">
        <v>130.0</v>
      </c>
      <c r="F347" s="38">
        <f t="shared" si="2"/>
        <v>260000</v>
      </c>
      <c r="G347" s="36" t="s">
        <v>1858</v>
      </c>
      <c r="H347" s="36" t="s">
        <v>35</v>
      </c>
      <c r="I347" s="36" t="s">
        <v>59</v>
      </c>
      <c r="J347" s="36" t="s">
        <v>40</v>
      </c>
      <c r="K347" s="36" t="s">
        <v>35</v>
      </c>
      <c r="L347" s="36" t="s">
        <v>799</v>
      </c>
      <c r="M347" s="36">
        <v>31.0</v>
      </c>
      <c r="N347" s="36"/>
      <c r="O347" s="45">
        <v>46113.0</v>
      </c>
      <c r="P347" s="34"/>
      <c r="Q347" s="34"/>
      <c r="R347" s="34"/>
      <c r="S347" s="34"/>
    </row>
    <row r="348" ht="15.75" hidden="1" customHeight="1">
      <c r="B348" s="34">
        <v>46106.0</v>
      </c>
      <c r="C348" s="36" t="s">
        <v>35</v>
      </c>
      <c r="D348" s="36">
        <v>42.0</v>
      </c>
      <c r="E348" s="38">
        <v>350.0</v>
      </c>
      <c r="F348" s="38">
        <f t="shared" si="2"/>
        <v>14700</v>
      </c>
      <c r="G348" s="36" t="s">
        <v>1314</v>
      </c>
      <c r="H348" s="36" t="s">
        <v>35</v>
      </c>
      <c r="I348" s="36" t="s">
        <v>300</v>
      </c>
      <c r="J348" s="36" t="s">
        <v>34</v>
      </c>
      <c r="K348" s="36" t="s">
        <v>35</v>
      </c>
      <c r="L348" s="36" t="s">
        <v>314</v>
      </c>
      <c r="M348" s="36">
        <v>31.0</v>
      </c>
      <c r="N348" s="36"/>
      <c r="O348" s="45">
        <v>46108.0</v>
      </c>
      <c r="P348" s="34">
        <v>46107.0</v>
      </c>
      <c r="Q348" s="34"/>
      <c r="R348" s="34"/>
      <c r="S348" s="34"/>
    </row>
    <row r="349" ht="15.75" hidden="1" customHeight="1">
      <c r="B349" s="34">
        <v>46106.0</v>
      </c>
      <c r="C349" s="36" t="s">
        <v>35</v>
      </c>
      <c r="D349" s="36">
        <v>20.0</v>
      </c>
      <c r="E349" s="38">
        <v>620.0</v>
      </c>
      <c r="F349" s="38">
        <f t="shared" si="2"/>
        <v>12400</v>
      </c>
      <c r="G349" s="36" t="s">
        <v>1865</v>
      </c>
      <c r="H349" s="36" t="s">
        <v>35</v>
      </c>
      <c r="I349" s="36" t="s">
        <v>59</v>
      </c>
      <c r="J349" s="36" t="s">
        <v>34</v>
      </c>
      <c r="K349" s="36" t="s">
        <v>35</v>
      </c>
      <c r="L349" s="36" t="s">
        <v>314</v>
      </c>
      <c r="M349" s="36">
        <v>31.0</v>
      </c>
      <c r="N349" s="36"/>
      <c r="O349" s="45">
        <v>46107.0</v>
      </c>
      <c r="P349" s="34">
        <v>46107.0</v>
      </c>
      <c r="Q349" s="34"/>
      <c r="R349" s="34"/>
      <c r="S349" s="34"/>
    </row>
    <row r="350" ht="15.75" hidden="1" customHeight="1">
      <c r="B350" s="34">
        <v>46106.0</v>
      </c>
      <c r="C350" s="36" t="s">
        <v>35</v>
      </c>
      <c r="D350" s="36">
        <v>200.0</v>
      </c>
      <c r="E350" s="38">
        <v>215.0</v>
      </c>
      <c r="F350" s="38">
        <f t="shared" si="2"/>
        <v>43000</v>
      </c>
      <c r="G350" s="36" t="s">
        <v>1772</v>
      </c>
      <c r="H350" s="36" t="s">
        <v>35</v>
      </c>
      <c r="I350" s="36" t="s">
        <v>41</v>
      </c>
      <c r="J350" s="36" t="s">
        <v>34</v>
      </c>
      <c r="K350" s="36" t="s">
        <v>35</v>
      </c>
      <c r="L350" s="36" t="s">
        <v>132</v>
      </c>
      <c r="M350" s="36">
        <v>31.0</v>
      </c>
      <c r="N350" s="36"/>
      <c r="O350" s="36"/>
      <c r="P350" s="34"/>
      <c r="Q350" s="34"/>
      <c r="R350" s="34"/>
      <c r="S350" s="34"/>
    </row>
    <row r="351" ht="15.75" hidden="1" customHeight="1">
      <c r="B351" s="34">
        <v>46106.0</v>
      </c>
      <c r="C351" s="36" t="s">
        <v>35</v>
      </c>
      <c r="D351" s="36">
        <v>150.0</v>
      </c>
      <c r="E351" s="38">
        <v>9.5</v>
      </c>
      <c r="F351" s="38">
        <f t="shared" si="2"/>
        <v>1425</v>
      </c>
      <c r="G351" s="36" t="s">
        <v>1870</v>
      </c>
      <c r="H351" s="36" t="s">
        <v>35</v>
      </c>
      <c r="I351" s="36" t="s">
        <v>41</v>
      </c>
      <c r="J351" s="36" t="s">
        <v>34</v>
      </c>
      <c r="K351" s="36" t="s">
        <v>35</v>
      </c>
      <c r="L351" s="36" t="s">
        <v>132</v>
      </c>
      <c r="M351" s="36">
        <v>31.0</v>
      </c>
      <c r="N351" s="36"/>
      <c r="O351" s="45">
        <v>46112.0</v>
      </c>
      <c r="P351" s="34"/>
      <c r="Q351" s="34"/>
      <c r="R351" s="34"/>
      <c r="S351" s="34"/>
    </row>
    <row r="352" ht="15.75" hidden="1" customHeight="1">
      <c r="B352" s="34">
        <v>46107.0</v>
      </c>
      <c r="C352" s="36">
        <v>10731.0</v>
      </c>
      <c r="D352" s="36">
        <v>100.0</v>
      </c>
      <c r="E352" s="38">
        <v>11.9</v>
      </c>
      <c r="F352" s="38">
        <f t="shared" si="2"/>
        <v>1190</v>
      </c>
      <c r="G352" s="36" t="s">
        <v>1639</v>
      </c>
      <c r="H352" s="36" t="s">
        <v>1640</v>
      </c>
      <c r="I352" s="36" t="s">
        <v>41</v>
      </c>
      <c r="J352" s="36" t="s">
        <v>34</v>
      </c>
      <c r="K352" s="36" t="s">
        <v>35</v>
      </c>
      <c r="L352" s="36" t="s">
        <v>96</v>
      </c>
      <c r="M352" s="36">
        <v>31.0</v>
      </c>
      <c r="N352" s="36"/>
      <c r="O352" s="45">
        <v>46107.0</v>
      </c>
      <c r="P352" s="34"/>
      <c r="Q352" s="34"/>
      <c r="R352" s="34"/>
      <c r="S352" s="34"/>
    </row>
    <row r="353" ht="15.75" hidden="1" customHeight="1">
      <c r="B353" s="34">
        <v>46107.0</v>
      </c>
      <c r="C353" s="36" t="s">
        <v>35</v>
      </c>
      <c r="D353" s="36">
        <v>150.0</v>
      </c>
      <c r="E353" s="38">
        <v>110.0</v>
      </c>
      <c r="F353" s="38">
        <f t="shared" si="2"/>
        <v>16500</v>
      </c>
      <c r="G353" s="36" t="s">
        <v>1874</v>
      </c>
      <c r="H353" s="36" t="s">
        <v>35</v>
      </c>
      <c r="I353" s="36" t="s">
        <v>41</v>
      </c>
      <c r="J353" s="36" t="s">
        <v>34</v>
      </c>
      <c r="K353" s="36" t="s">
        <v>35</v>
      </c>
      <c r="L353" s="36" t="s">
        <v>314</v>
      </c>
      <c r="M353" s="36">
        <v>31.0</v>
      </c>
      <c r="N353" s="36"/>
      <c r="O353" s="45">
        <v>46111.0</v>
      </c>
      <c r="P353" s="34"/>
      <c r="Q353" s="34"/>
      <c r="R353" s="34"/>
      <c r="S353" s="34"/>
    </row>
    <row r="354" ht="15.75" hidden="1" customHeight="1">
      <c r="B354" s="34">
        <v>46107.0</v>
      </c>
      <c r="C354" s="36" t="s">
        <v>35</v>
      </c>
      <c r="D354" s="36">
        <v>10.0</v>
      </c>
      <c r="E354" s="38">
        <v>650.0</v>
      </c>
      <c r="F354" s="38">
        <f t="shared" si="2"/>
        <v>6500</v>
      </c>
      <c r="G354" s="36" t="s">
        <v>1876</v>
      </c>
      <c r="H354" s="36" t="s">
        <v>35</v>
      </c>
      <c r="I354" s="36" t="s">
        <v>41</v>
      </c>
      <c r="J354" s="36" t="s">
        <v>34</v>
      </c>
      <c r="K354" s="36" t="s">
        <v>35</v>
      </c>
      <c r="L354" s="36" t="s">
        <v>314</v>
      </c>
      <c r="M354" s="36">
        <v>31.0</v>
      </c>
      <c r="N354" s="36"/>
      <c r="O354" s="45">
        <v>46112.0</v>
      </c>
      <c r="P354" s="34"/>
      <c r="Q354" s="34"/>
      <c r="R354" s="34"/>
      <c r="S354" s="34"/>
    </row>
    <row r="355" ht="15.75" hidden="1" customHeight="1">
      <c r="B355" s="34">
        <v>46107.0</v>
      </c>
      <c r="C355" s="36">
        <v>912323.0</v>
      </c>
      <c r="D355" s="36">
        <v>500.0</v>
      </c>
      <c r="E355" s="38">
        <v>135.0</v>
      </c>
      <c r="F355" s="38">
        <f t="shared" si="2"/>
        <v>67500</v>
      </c>
      <c r="G355" s="36" t="s">
        <v>1880</v>
      </c>
      <c r="H355" s="36">
        <v>57966.0</v>
      </c>
      <c r="I355" s="36" t="s">
        <v>59</v>
      </c>
      <c r="J355" s="36" t="s">
        <v>34</v>
      </c>
      <c r="K355" s="36" t="s">
        <v>35</v>
      </c>
      <c r="L355" s="36" t="s">
        <v>43</v>
      </c>
      <c r="M355" s="36">
        <v>31.0</v>
      </c>
      <c r="N355" s="36"/>
      <c r="O355" s="45">
        <v>46113.0</v>
      </c>
      <c r="P355" s="34"/>
      <c r="Q355" s="34">
        <v>46137.0</v>
      </c>
      <c r="R355" s="34">
        <v>46167.0</v>
      </c>
      <c r="S355" s="35"/>
    </row>
    <row r="356" ht="15.75" hidden="1" customHeight="1">
      <c r="B356" s="34">
        <v>46107.0</v>
      </c>
      <c r="C356" s="36" t="s">
        <v>35</v>
      </c>
      <c r="D356" s="36">
        <v>50.0</v>
      </c>
      <c r="E356" s="38">
        <v>152.0</v>
      </c>
      <c r="F356" s="38">
        <f t="shared" si="2"/>
        <v>7600</v>
      </c>
      <c r="G356" s="35" t="s">
        <v>1884</v>
      </c>
      <c r="H356" s="35" t="s">
        <v>35</v>
      </c>
      <c r="I356" s="36" t="s">
        <v>41</v>
      </c>
      <c r="J356" s="36" t="s">
        <v>34</v>
      </c>
      <c r="K356" s="36" t="s">
        <v>35</v>
      </c>
      <c r="L356" s="36" t="s">
        <v>132</v>
      </c>
      <c r="M356" s="36">
        <v>31.0</v>
      </c>
      <c r="N356" s="36"/>
      <c r="O356" s="36"/>
      <c r="P356" s="34"/>
      <c r="Q356" s="34"/>
      <c r="R356" s="34"/>
      <c r="S356" s="34"/>
    </row>
    <row r="357" ht="15.75" hidden="1" customHeight="1">
      <c r="B357" s="34">
        <v>46107.0</v>
      </c>
      <c r="C357" s="36" t="s">
        <v>35</v>
      </c>
      <c r="D357" s="36">
        <v>200.0</v>
      </c>
      <c r="E357" s="38">
        <v>152.0</v>
      </c>
      <c r="F357" s="38">
        <f t="shared" si="2"/>
        <v>30400</v>
      </c>
      <c r="G357" s="35" t="s">
        <v>1884</v>
      </c>
      <c r="H357" s="35" t="s">
        <v>35</v>
      </c>
      <c r="I357" s="36" t="s">
        <v>59</v>
      </c>
      <c r="J357" s="36" t="s">
        <v>34</v>
      </c>
      <c r="K357" s="36" t="s">
        <v>35</v>
      </c>
      <c r="L357" s="36" t="s">
        <v>132</v>
      </c>
      <c r="M357" s="36">
        <v>31.0</v>
      </c>
      <c r="N357" s="36"/>
      <c r="O357" s="36"/>
      <c r="P357" s="34"/>
      <c r="Q357" s="34"/>
      <c r="R357" s="34"/>
      <c r="S357" s="34"/>
    </row>
    <row r="358" ht="15.75" hidden="1" customHeight="1">
      <c r="B358" s="34">
        <v>46107.0</v>
      </c>
      <c r="C358" s="36">
        <v>7488.0</v>
      </c>
      <c r="D358" s="36">
        <v>1.0</v>
      </c>
      <c r="E358" s="38">
        <v>420.0</v>
      </c>
      <c r="F358" s="38">
        <f t="shared" si="2"/>
        <v>420</v>
      </c>
      <c r="G358" s="36" t="s">
        <v>1891</v>
      </c>
      <c r="H358" s="36" t="s">
        <v>1892</v>
      </c>
      <c r="I358" s="36" t="s">
        <v>221</v>
      </c>
      <c r="J358" s="36" t="s">
        <v>34</v>
      </c>
      <c r="K358" s="36" t="s">
        <v>35</v>
      </c>
      <c r="L358" s="36" t="s">
        <v>279</v>
      </c>
      <c r="M358" s="36">
        <v>31.0</v>
      </c>
      <c r="N358" s="36"/>
      <c r="O358" s="45">
        <v>46111.0</v>
      </c>
      <c r="P358" s="34"/>
      <c r="Q358" s="34"/>
      <c r="R358" s="34"/>
      <c r="S358" s="34"/>
    </row>
    <row r="359" ht="15.75" hidden="1" customHeight="1">
      <c r="B359" s="34">
        <v>46107.0</v>
      </c>
      <c r="C359" s="36">
        <v>3829.0</v>
      </c>
      <c r="D359" s="36">
        <v>20.0</v>
      </c>
      <c r="E359" s="38">
        <v>297.0</v>
      </c>
      <c r="F359" s="38">
        <f t="shared" si="2"/>
        <v>5940</v>
      </c>
      <c r="G359" s="36" t="s">
        <v>1894</v>
      </c>
      <c r="H359" s="36" t="s">
        <v>1788</v>
      </c>
      <c r="I359" s="36" t="s">
        <v>41</v>
      </c>
      <c r="J359" s="36" t="s">
        <v>34</v>
      </c>
      <c r="K359" s="36" t="s">
        <v>35</v>
      </c>
      <c r="L359" s="36" t="s">
        <v>46</v>
      </c>
      <c r="M359" s="36">
        <v>31.0</v>
      </c>
      <c r="N359" s="36"/>
      <c r="O359" s="45">
        <v>46113.0</v>
      </c>
      <c r="P359" s="34"/>
      <c r="Q359" s="34"/>
      <c r="R359" s="34"/>
      <c r="S359" s="34"/>
    </row>
    <row r="360" ht="15.75" hidden="1" customHeight="1">
      <c r="B360" s="34">
        <v>46107.0</v>
      </c>
      <c r="C360" s="36" t="s">
        <v>35</v>
      </c>
      <c r="D360" s="36">
        <v>100.0</v>
      </c>
      <c r="E360" s="38">
        <v>335.0</v>
      </c>
      <c r="F360" s="38">
        <f t="shared" si="2"/>
        <v>33500</v>
      </c>
      <c r="G360" s="36" t="s">
        <v>1898</v>
      </c>
      <c r="H360" s="36" t="s">
        <v>35</v>
      </c>
      <c r="I360" s="36" t="s">
        <v>41</v>
      </c>
      <c r="J360" s="36" t="s">
        <v>34</v>
      </c>
      <c r="K360" s="36" t="s">
        <v>35</v>
      </c>
      <c r="L360" s="36" t="s">
        <v>868</v>
      </c>
      <c r="M360" s="36">
        <v>31.0</v>
      </c>
      <c r="N360" s="36"/>
      <c r="O360" s="45">
        <v>46108.0</v>
      </c>
      <c r="P360" s="34">
        <v>46114.0</v>
      </c>
      <c r="Q360" s="34"/>
      <c r="R360" s="34"/>
      <c r="S360" s="34"/>
    </row>
    <row r="361" ht="15.75" hidden="1" customHeight="1">
      <c r="B361" s="34">
        <v>46107.0</v>
      </c>
      <c r="C361" s="36" t="s">
        <v>35</v>
      </c>
      <c r="D361" s="36">
        <v>100.0</v>
      </c>
      <c r="E361" s="38">
        <v>220.0</v>
      </c>
      <c r="F361" s="38">
        <f t="shared" si="2"/>
        <v>22000</v>
      </c>
      <c r="G361" s="36" t="s">
        <v>1900</v>
      </c>
      <c r="H361" s="36" t="s">
        <v>35</v>
      </c>
      <c r="I361" s="36" t="s">
        <v>41</v>
      </c>
      <c r="J361" s="36" t="s">
        <v>34</v>
      </c>
      <c r="K361" s="36" t="s">
        <v>35</v>
      </c>
      <c r="L361" s="36" t="s">
        <v>868</v>
      </c>
      <c r="M361" s="36">
        <v>31.0</v>
      </c>
      <c r="N361" s="36"/>
      <c r="O361" s="45">
        <v>46108.0</v>
      </c>
      <c r="P361" s="34">
        <v>46114.0</v>
      </c>
      <c r="Q361" s="34"/>
      <c r="R361" s="34"/>
      <c r="S361" s="34"/>
    </row>
    <row r="362" ht="15.75" hidden="1" customHeight="1">
      <c r="B362" s="34">
        <v>46108.0</v>
      </c>
      <c r="C362" s="36">
        <v>7570.0</v>
      </c>
      <c r="D362" s="36">
        <v>1.0</v>
      </c>
      <c r="E362" s="38">
        <v>405.0</v>
      </c>
      <c r="F362" s="38">
        <f t="shared" si="2"/>
        <v>405</v>
      </c>
      <c r="G362" s="36" t="s">
        <v>1904</v>
      </c>
      <c r="H362" s="36" t="s">
        <v>1905</v>
      </c>
      <c r="I362" s="36" t="s">
        <v>174</v>
      </c>
      <c r="J362" s="36" t="s">
        <v>175</v>
      </c>
      <c r="K362" s="36" t="s">
        <v>35</v>
      </c>
      <c r="L362" s="36" t="s">
        <v>279</v>
      </c>
      <c r="M362" s="36">
        <v>31.0</v>
      </c>
      <c r="N362" s="36"/>
      <c r="O362" s="36"/>
      <c r="P362" s="34"/>
      <c r="Q362" s="34"/>
      <c r="R362" s="34"/>
      <c r="S362" s="34"/>
    </row>
    <row r="363" ht="15.75" hidden="1" customHeight="1">
      <c r="B363" s="34">
        <v>46108.0</v>
      </c>
      <c r="C363" s="36">
        <v>912451.0</v>
      </c>
      <c r="D363" s="36">
        <v>200.0</v>
      </c>
      <c r="E363" s="38">
        <v>149.9</v>
      </c>
      <c r="F363" s="38">
        <f t="shared" si="2"/>
        <v>29980</v>
      </c>
      <c r="G363" s="36" t="s">
        <v>1909</v>
      </c>
      <c r="H363" s="36">
        <v>60856.0</v>
      </c>
      <c r="I363" s="36" t="s">
        <v>59</v>
      </c>
      <c r="J363" s="36" t="s">
        <v>34</v>
      </c>
      <c r="K363" s="36" t="s">
        <v>35</v>
      </c>
      <c r="L363" s="36" t="s">
        <v>43</v>
      </c>
      <c r="M363" s="36">
        <v>31.0</v>
      </c>
      <c r="N363" s="36"/>
      <c r="O363" s="45">
        <v>46118.0</v>
      </c>
      <c r="P363" s="34"/>
      <c r="Q363" s="34">
        <v>46138.0</v>
      </c>
      <c r="R363" s="34">
        <v>46168.0</v>
      </c>
      <c r="S363" s="35"/>
    </row>
    <row r="364" ht="15.75" hidden="1" customHeight="1">
      <c r="B364" s="34">
        <v>46108.0</v>
      </c>
      <c r="C364" s="36" t="s">
        <v>35</v>
      </c>
      <c r="D364" s="36">
        <v>1.0</v>
      </c>
      <c r="E364" s="38">
        <v>1700.0</v>
      </c>
      <c r="F364" s="38">
        <f t="shared" si="2"/>
        <v>1700</v>
      </c>
      <c r="G364" s="36" t="s">
        <v>1913</v>
      </c>
      <c r="H364" s="36" t="s">
        <v>35</v>
      </c>
      <c r="I364" s="36" t="s">
        <v>59</v>
      </c>
      <c r="J364" s="36" t="s">
        <v>40</v>
      </c>
      <c r="K364" s="36" t="s">
        <v>35</v>
      </c>
      <c r="L364" s="36" t="s">
        <v>1914</v>
      </c>
      <c r="M364" s="36">
        <v>31.0</v>
      </c>
      <c r="N364" s="36"/>
      <c r="O364" s="36"/>
      <c r="P364" s="34"/>
      <c r="Q364" s="34"/>
      <c r="R364" s="34"/>
      <c r="S364" s="34"/>
    </row>
    <row r="365" ht="15.75" hidden="1" customHeight="1">
      <c r="B365" s="34">
        <v>46108.0</v>
      </c>
      <c r="C365" s="36" t="s">
        <v>35</v>
      </c>
      <c r="D365" s="36">
        <v>200.0</v>
      </c>
      <c r="E365" s="38">
        <v>152.0</v>
      </c>
      <c r="F365" s="38">
        <f t="shared" si="2"/>
        <v>30400</v>
      </c>
      <c r="G365" s="35" t="s">
        <v>135</v>
      </c>
      <c r="H365" s="35" t="s">
        <v>35</v>
      </c>
      <c r="I365" s="36" t="s">
        <v>59</v>
      </c>
      <c r="J365" s="36" t="s">
        <v>34</v>
      </c>
      <c r="K365" s="36" t="s">
        <v>35</v>
      </c>
      <c r="L365" s="36" t="s">
        <v>132</v>
      </c>
      <c r="M365" s="36">
        <v>31.0</v>
      </c>
      <c r="N365" s="36"/>
      <c r="O365" s="36"/>
      <c r="P365" s="34"/>
      <c r="Q365" s="34"/>
      <c r="R365" s="34"/>
      <c r="S365" s="34"/>
    </row>
    <row r="366" ht="15.75" hidden="1" customHeight="1">
      <c r="B366" s="34">
        <v>46108.0</v>
      </c>
      <c r="C366" s="36" t="s">
        <v>35</v>
      </c>
      <c r="D366" s="36">
        <v>300.0</v>
      </c>
      <c r="E366" s="38">
        <v>152.0</v>
      </c>
      <c r="F366" s="38">
        <f t="shared" si="2"/>
        <v>45600</v>
      </c>
      <c r="G366" s="35" t="s">
        <v>135</v>
      </c>
      <c r="H366" s="35" t="s">
        <v>35</v>
      </c>
      <c r="I366" s="36" t="s">
        <v>59</v>
      </c>
      <c r="J366" s="36" t="s">
        <v>40</v>
      </c>
      <c r="K366" s="36" t="s">
        <v>35</v>
      </c>
      <c r="L366" s="36" t="s">
        <v>132</v>
      </c>
      <c r="M366" s="36">
        <v>31.0</v>
      </c>
      <c r="N366" s="36"/>
      <c r="O366" s="36"/>
      <c r="P366" s="34"/>
      <c r="Q366" s="34"/>
      <c r="R366" s="34"/>
      <c r="S366" s="34"/>
    </row>
    <row r="367" ht="15.75" hidden="1" customHeight="1">
      <c r="B367" s="34">
        <v>46108.0</v>
      </c>
      <c r="C367" s="36" t="s">
        <v>35</v>
      </c>
      <c r="D367" s="36">
        <v>180.0</v>
      </c>
      <c r="E367" s="38">
        <v>180.0</v>
      </c>
      <c r="F367" s="38">
        <f t="shared" si="2"/>
        <v>32400</v>
      </c>
      <c r="G367" s="35" t="s">
        <v>1130</v>
      </c>
      <c r="H367" s="35" t="s">
        <v>35</v>
      </c>
      <c r="I367" s="36" t="s">
        <v>59</v>
      </c>
      <c r="J367" s="36" t="s">
        <v>40</v>
      </c>
      <c r="K367" s="36" t="s">
        <v>35</v>
      </c>
      <c r="L367" s="36" t="s">
        <v>132</v>
      </c>
      <c r="M367" s="36">
        <v>31.0</v>
      </c>
      <c r="N367" s="36"/>
      <c r="O367" s="36"/>
      <c r="P367" s="34"/>
      <c r="Q367" s="34"/>
      <c r="R367" s="34"/>
      <c r="S367" s="34"/>
    </row>
    <row r="368" ht="15.75" hidden="1" customHeight="1">
      <c r="B368" s="34">
        <v>46108.0</v>
      </c>
      <c r="C368" s="36" t="s">
        <v>35</v>
      </c>
      <c r="D368" s="36">
        <v>100.0</v>
      </c>
      <c r="E368" s="38">
        <v>215.0</v>
      </c>
      <c r="F368" s="38">
        <f t="shared" si="2"/>
        <v>21500</v>
      </c>
      <c r="G368" s="35" t="s">
        <v>1124</v>
      </c>
      <c r="H368" s="35" t="s">
        <v>35</v>
      </c>
      <c r="I368" s="36" t="s">
        <v>59</v>
      </c>
      <c r="J368" s="36" t="s">
        <v>40</v>
      </c>
      <c r="K368" s="36" t="s">
        <v>35</v>
      </c>
      <c r="L368" s="36" t="s">
        <v>132</v>
      </c>
      <c r="M368" s="36">
        <v>31.0</v>
      </c>
      <c r="N368" s="36"/>
      <c r="O368" s="36"/>
      <c r="P368" s="34"/>
      <c r="Q368" s="34"/>
      <c r="R368" s="34"/>
      <c r="S368" s="34"/>
    </row>
    <row r="369" ht="15.75" hidden="1" customHeight="1">
      <c r="B369" s="34">
        <v>46108.0</v>
      </c>
      <c r="C369" s="36" t="s">
        <v>35</v>
      </c>
      <c r="D369" s="36">
        <v>50.0</v>
      </c>
      <c r="E369" s="38">
        <v>215.0</v>
      </c>
      <c r="F369" s="38">
        <f t="shared" si="2"/>
        <v>10750</v>
      </c>
      <c r="G369" s="35" t="s">
        <v>1124</v>
      </c>
      <c r="H369" s="35" t="s">
        <v>35</v>
      </c>
      <c r="I369" s="36" t="s">
        <v>59</v>
      </c>
      <c r="J369" s="36" t="s">
        <v>34</v>
      </c>
      <c r="K369" s="36" t="s">
        <v>35</v>
      </c>
      <c r="L369" s="36" t="s">
        <v>132</v>
      </c>
      <c r="M369" s="36">
        <v>31.0</v>
      </c>
      <c r="N369" s="36"/>
      <c r="O369" s="36"/>
      <c r="P369" s="34"/>
      <c r="Q369" s="34"/>
      <c r="R369" s="34"/>
      <c r="S369" s="34"/>
    </row>
    <row r="370" ht="15.75" hidden="1" customHeight="1">
      <c r="B370" s="34">
        <v>46108.0</v>
      </c>
      <c r="C370" s="36">
        <v>912499.0</v>
      </c>
      <c r="D370" s="36">
        <v>200.0</v>
      </c>
      <c r="E370" s="38">
        <v>128.66</v>
      </c>
      <c r="F370" s="38">
        <f t="shared" si="2"/>
        <v>25732</v>
      </c>
      <c r="G370" s="36" t="s">
        <v>1926</v>
      </c>
      <c r="H370" s="36">
        <v>67811.0</v>
      </c>
      <c r="I370" s="36" t="s">
        <v>77</v>
      </c>
      <c r="J370" s="36" t="s">
        <v>175</v>
      </c>
      <c r="K370" s="36" t="s">
        <v>35</v>
      </c>
      <c r="L370" s="36" t="s">
        <v>43</v>
      </c>
      <c r="M370" s="36">
        <v>31.0</v>
      </c>
      <c r="N370" s="36"/>
      <c r="O370" s="36"/>
      <c r="P370" s="34"/>
      <c r="Q370" s="34">
        <v>46138.0</v>
      </c>
      <c r="R370" s="34">
        <v>46168.0</v>
      </c>
      <c r="S370" s="35"/>
    </row>
    <row r="371" ht="15.75" hidden="1" customHeight="1">
      <c r="B371" s="34">
        <v>46108.0</v>
      </c>
      <c r="C371" s="36" t="s">
        <v>35</v>
      </c>
      <c r="D371" s="36">
        <v>100.0</v>
      </c>
      <c r="E371" s="38">
        <v>124.0</v>
      </c>
      <c r="F371" s="38">
        <f t="shared" si="2"/>
        <v>12400</v>
      </c>
      <c r="G371" s="36" t="s">
        <v>1930</v>
      </c>
      <c r="H371" s="36" t="s">
        <v>35</v>
      </c>
      <c r="I371" s="36" t="s">
        <v>41</v>
      </c>
      <c r="J371" s="36" t="s">
        <v>34</v>
      </c>
      <c r="K371" s="36" t="s">
        <v>35</v>
      </c>
      <c r="L371" s="36" t="s">
        <v>810</v>
      </c>
      <c r="M371" s="36">
        <v>31.0</v>
      </c>
      <c r="N371" s="36"/>
      <c r="O371" s="36"/>
      <c r="P371" s="34"/>
      <c r="Q371" s="34"/>
      <c r="R371" s="34"/>
      <c r="S371" s="34"/>
    </row>
    <row r="372" ht="15.75" hidden="1" customHeight="1">
      <c r="B372" s="34">
        <v>46108.0</v>
      </c>
      <c r="C372" s="59">
        <v>784352.0</v>
      </c>
      <c r="D372" s="36">
        <v>97.0</v>
      </c>
      <c r="E372" s="38">
        <v>228.769</v>
      </c>
      <c r="F372" s="38">
        <f t="shared" si="2"/>
        <v>22190.593</v>
      </c>
      <c r="G372" s="36" t="s">
        <v>1933</v>
      </c>
      <c r="H372" s="36" t="s">
        <v>1934</v>
      </c>
      <c r="I372" s="36" t="s">
        <v>41</v>
      </c>
      <c r="J372" s="36" t="s">
        <v>40</v>
      </c>
      <c r="K372" s="36" t="s">
        <v>35</v>
      </c>
      <c r="L372" s="36" t="s">
        <v>68</v>
      </c>
      <c r="M372" s="36">
        <v>31.0</v>
      </c>
      <c r="N372" s="36"/>
      <c r="O372" s="36"/>
      <c r="P372" s="34"/>
      <c r="Q372" s="34"/>
      <c r="R372" s="34"/>
      <c r="S372" s="34"/>
    </row>
    <row r="373" ht="15.75" hidden="1" customHeight="1">
      <c r="B373" s="34">
        <v>46108.0</v>
      </c>
      <c r="C373" s="36">
        <v>5275.0</v>
      </c>
      <c r="D373" s="36">
        <v>500.0</v>
      </c>
      <c r="E373" s="38">
        <v>58.0</v>
      </c>
      <c r="F373" s="38">
        <f t="shared" si="2"/>
        <v>29000</v>
      </c>
      <c r="G373" s="36" t="s">
        <v>1936</v>
      </c>
      <c r="H373" s="36" t="s">
        <v>1769</v>
      </c>
      <c r="I373" s="36" t="s">
        <v>59</v>
      </c>
      <c r="J373" s="36" t="s">
        <v>34</v>
      </c>
      <c r="K373" s="36" t="s">
        <v>35</v>
      </c>
      <c r="L373" s="36" t="s">
        <v>87</v>
      </c>
      <c r="M373" s="36">
        <v>31.0</v>
      </c>
      <c r="N373" s="36"/>
      <c r="O373" s="45">
        <v>46118.0</v>
      </c>
      <c r="P373" s="34"/>
      <c r="Q373" s="34"/>
      <c r="R373" s="34"/>
      <c r="S373" s="34"/>
    </row>
    <row r="374" ht="15.75" hidden="1" customHeight="1">
      <c r="B374" s="34">
        <v>46108.0</v>
      </c>
      <c r="C374" s="36">
        <v>5275.0</v>
      </c>
      <c r="D374" s="36">
        <v>1000.0</v>
      </c>
      <c r="E374" s="38">
        <v>81.0</v>
      </c>
      <c r="F374" s="38">
        <f t="shared" si="2"/>
        <v>81000</v>
      </c>
      <c r="G374" s="36" t="s">
        <v>1939</v>
      </c>
      <c r="H374" s="36" t="s">
        <v>1151</v>
      </c>
      <c r="I374" s="36" t="s">
        <v>59</v>
      </c>
      <c r="J374" s="36" t="s">
        <v>40</v>
      </c>
      <c r="K374" s="36" t="s">
        <v>35</v>
      </c>
      <c r="L374" s="36" t="s">
        <v>87</v>
      </c>
      <c r="M374" s="36">
        <v>31.0</v>
      </c>
      <c r="N374" s="36"/>
      <c r="O374" s="45">
        <v>46120.0</v>
      </c>
      <c r="P374" s="34"/>
      <c r="Q374" s="34"/>
      <c r="R374" s="34"/>
      <c r="S374" s="34"/>
    </row>
    <row r="375" ht="15.75" hidden="1" customHeight="1">
      <c r="B375" s="34">
        <v>46108.0</v>
      </c>
      <c r="C375" s="36">
        <v>5275.0</v>
      </c>
      <c r="D375" s="36">
        <v>20.0</v>
      </c>
      <c r="E375" s="38">
        <v>1050.0</v>
      </c>
      <c r="F375" s="38">
        <f t="shared" si="2"/>
        <v>21000</v>
      </c>
      <c r="G375" s="36" t="s">
        <v>1944</v>
      </c>
      <c r="H375" s="36" t="s">
        <v>1945</v>
      </c>
      <c r="I375" s="36" t="s">
        <v>59</v>
      </c>
      <c r="J375" s="36" t="s">
        <v>40</v>
      </c>
      <c r="K375" s="36" t="s">
        <v>35</v>
      </c>
      <c r="L375" s="36" t="s">
        <v>87</v>
      </c>
      <c r="M375" s="36">
        <v>31.0</v>
      </c>
      <c r="N375" s="36"/>
      <c r="O375" s="45">
        <v>46120.0</v>
      </c>
      <c r="P375" s="34"/>
      <c r="Q375" s="34"/>
      <c r="R375" s="34"/>
      <c r="S375" s="34"/>
    </row>
    <row r="376" ht="15.75" hidden="1" customHeight="1">
      <c r="B376" s="34">
        <v>46108.0</v>
      </c>
      <c r="C376" s="36">
        <v>5275.0</v>
      </c>
      <c r="D376" s="36">
        <v>20.0</v>
      </c>
      <c r="E376" s="38">
        <v>1150.0</v>
      </c>
      <c r="F376" s="38">
        <f t="shared" si="2"/>
        <v>23000</v>
      </c>
      <c r="G376" s="36" t="s">
        <v>1951</v>
      </c>
      <c r="H376" s="36" t="s">
        <v>1952</v>
      </c>
      <c r="I376" s="36" t="s">
        <v>59</v>
      </c>
      <c r="J376" s="36" t="s">
        <v>40</v>
      </c>
      <c r="K376" s="36" t="s">
        <v>35</v>
      </c>
      <c r="L376" s="36" t="s">
        <v>87</v>
      </c>
      <c r="M376" s="36">
        <v>31.0</v>
      </c>
      <c r="N376" s="36"/>
      <c r="O376" s="45">
        <v>46120.0</v>
      </c>
      <c r="P376" s="34"/>
      <c r="Q376" s="34"/>
      <c r="R376" s="34"/>
      <c r="S376" s="34"/>
    </row>
    <row r="377" ht="15.75" hidden="1" customHeight="1">
      <c r="B377" s="34">
        <v>46108.0</v>
      </c>
      <c r="C377" s="36">
        <v>5275.0</v>
      </c>
      <c r="D377" s="36">
        <v>10.0</v>
      </c>
      <c r="E377" s="38">
        <v>1050.0</v>
      </c>
      <c r="F377" s="38">
        <f t="shared" si="2"/>
        <v>10500</v>
      </c>
      <c r="G377" s="36" t="s">
        <v>1956</v>
      </c>
      <c r="H377" s="36" t="s">
        <v>1958</v>
      </c>
      <c r="I377" s="36" t="s">
        <v>59</v>
      </c>
      <c r="J377" s="36" t="s">
        <v>40</v>
      </c>
      <c r="K377" s="36" t="s">
        <v>35</v>
      </c>
      <c r="L377" s="36" t="s">
        <v>87</v>
      </c>
      <c r="M377" s="36">
        <v>31.0</v>
      </c>
      <c r="N377" s="36"/>
      <c r="O377" s="45">
        <v>46120.0</v>
      </c>
      <c r="P377" s="34"/>
      <c r="Q377" s="34"/>
      <c r="R377" s="34"/>
      <c r="S377" s="34"/>
    </row>
    <row r="378" ht="15.75" hidden="1" customHeight="1">
      <c r="B378" s="34">
        <v>46108.0</v>
      </c>
      <c r="C378" s="36">
        <v>10089.0</v>
      </c>
      <c r="D378" s="36">
        <v>50.0</v>
      </c>
      <c r="E378" s="38">
        <v>37.107</v>
      </c>
      <c r="F378" s="38">
        <f t="shared" si="2"/>
        <v>1855.35</v>
      </c>
      <c r="G378" s="36" t="s">
        <v>1961</v>
      </c>
      <c r="H378" s="36" t="s">
        <v>1962</v>
      </c>
      <c r="I378" s="36" t="s">
        <v>41</v>
      </c>
      <c r="J378" s="36" t="s">
        <v>34</v>
      </c>
      <c r="K378" s="36" t="s">
        <v>35</v>
      </c>
      <c r="L378" s="36" t="s">
        <v>210</v>
      </c>
      <c r="M378" s="36">
        <v>31.0</v>
      </c>
      <c r="N378" s="36"/>
      <c r="O378" s="45">
        <v>46118.0</v>
      </c>
      <c r="P378" s="34"/>
      <c r="Q378" s="34"/>
      <c r="R378" s="34"/>
      <c r="S378" s="34"/>
    </row>
    <row r="379" ht="15.75" hidden="1" customHeight="1">
      <c r="B379" s="34">
        <v>46108.0</v>
      </c>
      <c r="C379" s="36">
        <v>10089.0</v>
      </c>
      <c r="D379" s="36">
        <v>50.0</v>
      </c>
      <c r="E379" s="38">
        <v>31.806</v>
      </c>
      <c r="F379" s="38">
        <f t="shared" si="2"/>
        <v>1590.3</v>
      </c>
      <c r="G379" s="36" t="s">
        <v>1968</v>
      </c>
      <c r="H379" s="36" t="s">
        <v>1969</v>
      </c>
      <c r="I379" s="36" t="s">
        <v>41</v>
      </c>
      <c r="J379" s="36" t="s">
        <v>34</v>
      </c>
      <c r="K379" s="36" t="s">
        <v>35</v>
      </c>
      <c r="L379" s="36" t="s">
        <v>210</v>
      </c>
      <c r="M379" s="36">
        <v>31.0</v>
      </c>
      <c r="N379" s="36"/>
      <c r="O379" s="45">
        <v>46118.0</v>
      </c>
      <c r="P379" s="34"/>
      <c r="Q379" s="34"/>
      <c r="R379" s="34"/>
      <c r="S379" s="34"/>
    </row>
    <row r="380" ht="15.75" hidden="1" customHeight="1">
      <c r="B380" s="34">
        <v>46108.0</v>
      </c>
      <c r="C380" s="36">
        <v>10089.0</v>
      </c>
      <c r="D380" s="36">
        <v>50.0</v>
      </c>
      <c r="E380" s="38">
        <v>45.942</v>
      </c>
      <c r="F380" s="38">
        <f t="shared" si="2"/>
        <v>2297.1</v>
      </c>
      <c r="G380" s="36" t="s">
        <v>1973</v>
      </c>
      <c r="H380" s="36" t="s">
        <v>1974</v>
      </c>
      <c r="I380" s="36" t="s">
        <v>41</v>
      </c>
      <c r="J380" s="36" t="s">
        <v>34</v>
      </c>
      <c r="K380" s="36" t="s">
        <v>35</v>
      </c>
      <c r="L380" s="36" t="s">
        <v>210</v>
      </c>
      <c r="M380" s="36">
        <v>31.0</v>
      </c>
      <c r="N380" s="36"/>
      <c r="O380" s="45">
        <v>46118.0</v>
      </c>
      <c r="P380" s="34"/>
      <c r="Q380" s="34"/>
      <c r="R380" s="34"/>
      <c r="S380" s="34"/>
    </row>
    <row r="381" ht="15.75" hidden="1" customHeight="1">
      <c r="B381" s="34">
        <v>46108.0</v>
      </c>
      <c r="C381" s="36">
        <v>10089.0</v>
      </c>
      <c r="D381" s="36">
        <v>100.0</v>
      </c>
      <c r="E381" s="38">
        <v>29.156</v>
      </c>
      <c r="F381" s="38">
        <f t="shared" si="2"/>
        <v>2915.6</v>
      </c>
      <c r="G381" s="36" t="s">
        <v>1975</v>
      </c>
      <c r="H381" s="36" t="s">
        <v>1976</v>
      </c>
      <c r="I381" s="36" t="s">
        <v>41</v>
      </c>
      <c r="J381" s="36" t="s">
        <v>34</v>
      </c>
      <c r="K381" s="36" t="s">
        <v>35</v>
      </c>
      <c r="L381" s="36" t="s">
        <v>210</v>
      </c>
      <c r="M381" s="36">
        <v>31.0</v>
      </c>
      <c r="N381" s="36"/>
      <c r="O381" s="45">
        <v>46118.0</v>
      </c>
      <c r="P381" s="34"/>
      <c r="Q381" s="34"/>
      <c r="R381" s="34"/>
      <c r="S381" s="34"/>
    </row>
    <row r="382" ht="15.75" hidden="1" customHeight="1">
      <c r="B382" s="34">
        <v>46108.0</v>
      </c>
      <c r="C382" s="36">
        <v>10089.0</v>
      </c>
      <c r="D382" s="36">
        <v>32.0</v>
      </c>
      <c r="E382" s="38">
        <v>23.994</v>
      </c>
      <c r="F382" s="38">
        <f t="shared" si="2"/>
        <v>767.808</v>
      </c>
      <c r="G382" s="36" t="s">
        <v>1669</v>
      </c>
      <c r="H382" s="36" t="s">
        <v>1671</v>
      </c>
      <c r="I382" s="36" t="s">
        <v>41</v>
      </c>
      <c r="J382" s="36" t="s">
        <v>34</v>
      </c>
      <c r="K382" s="36" t="s">
        <v>35</v>
      </c>
      <c r="L382" s="36" t="s">
        <v>210</v>
      </c>
      <c r="M382" s="36">
        <v>31.0</v>
      </c>
      <c r="N382" s="36"/>
      <c r="O382" s="45">
        <v>46118.0</v>
      </c>
      <c r="P382" s="34"/>
      <c r="Q382" s="34"/>
      <c r="R382" s="34"/>
      <c r="S382" s="34"/>
    </row>
    <row r="383" ht="15.75" hidden="1" customHeight="1">
      <c r="B383" s="34">
        <v>46108.0</v>
      </c>
      <c r="C383" s="36">
        <v>10089.0</v>
      </c>
      <c r="D383" s="36">
        <v>100.0</v>
      </c>
      <c r="E383" s="38">
        <v>6.696</v>
      </c>
      <c r="F383" s="38">
        <f t="shared" si="2"/>
        <v>669.6</v>
      </c>
      <c r="G383" s="36" t="s">
        <v>1980</v>
      </c>
      <c r="H383" s="36" t="s">
        <v>1981</v>
      </c>
      <c r="I383" s="36" t="s">
        <v>41</v>
      </c>
      <c r="J383" s="36" t="s">
        <v>34</v>
      </c>
      <c r="K383" s="36" t="s">
        <v>35</v>
      </c>
      <c r="L383" s="36" t="s">
        <v>210</v>
      </c>
      <c r="M383" s="36">
        <v>31.0</v>
      </c>
      <c r="N383" s="36"/>
      <c r="O383" s="45">
        <v>46118.0</v>
      </c>
      <c r="P383" s="34"/>
      <c r="Q383" s="34"/>
      <c r="R383" s="34"/>
      <c r="S383" s="34"/>
    </row>
    <row r="384" ht="15.75" hidden="1" customHeight="1">
      <c r="B384" s="34">
        <v>46111.0</v>
      </c>
      <c r="C384" s="36">
        <v>7665.0</v>
      </c>
      <c r="D384" s="36">
        <v>300.0</v>
      </c>
      <c r="E384" s="38">
        <v>5.31</v>
      </c>
      <c r="F384" s="38">
        <f t="shared" si="2"/>
        <v>1593</v>
      </c>
      <c r="G384" s="36" t="s">
        <v>1038</v>
      </c>
      <c r="H384" s="36" t="s">
        <v>1984</v>
      </c>
      <c r="I384" s="36" t="s">
        <v>59</v>
      </c>
      <c r="J384" s="36" t="s">
        <v>34</v>
      </c>
      <c r="K384" s="36" t="s">
        <v>35</v>
      </c>
      <c r="L384" s="36" t="s">
        <v>279</v>
      </c>
      <c r="M384" s="36">
        <v>31.0</v>
      </c>
      <c r="N384" s="36"/>
      <c r="O384" s="45">
        <v>46111.0</v>
      </c>
      <c r="P384" s="34"/>
      <c r="Q384" s="34"/>
      <c r="R384" s="34"/>
      <c r="S384" s="34"/>
    </row>
    <row r="385" ht="15.75" hidden="1" customHeight="1">
      <c r="B385" s="34">
        <v>46111.0</v>
      </c>
      <c r="C385" s="36">
        <v>7665.0</v>
      </c>
      <c r="D385" s="36">
        <v>100.0</v>
      </c>
      <c r="E385" s="38">
        <v>18.0</v>
      </c>
      <c r="F385" s="38">
        <f t="shared" si="2"/>
        <v>1800</v>
      </c>
      <c r="G385" s="36" t="s">
        <v>1986</v>
      </c>
      <c r="H385" s="36" t="s">
        <v>1987</v>
      </c>
      <c r="I385" s="36" t="s">
        <v>59</v>
      </c>
      <c r="J385" s="36" t="s">
        <v>34</v>
      </c>
      <c r="K385" s="36" t="s">
        <v>35</v>
      </c>
      <c r="L385" s="36" t="s">
        <v>279</v>
      </c>
      <c r="M385" s="36">
        <v>31.0</v>
      </c>
      <c r="N385" s="36"/>
      <c r="O385" s="45">
        <v>46111.0</v>
      </c>
      <c r="P385" s="34"/>
      <c r="Q385" s="34"/>
      <c r="R385" s="34"/>
      <c r="S385" s="34"/>
    </row>
    <row r="386" ht="15.75" hidden="1" customHeight="1">
      <c r="B386" s="34">
        <v>46111.0</v>
      </c>
      <c r="C386" s="36">
        <v>7665.0</v>
      </c>
      <c r="D386" s="36">
        <v>44.0</v>
      </c>
      <c r="E386" s="38">
        <v>32.4</v>
      </c>
      <c r="F386" s="38">
        <f t="shared" si="2"/>
        <v>1425.6</v>
      </c>
      <c r="G386" s="36" t="s">
        <v>1988</v>
      </c>
      <c r="H386" s="36" t="s">
        <v>1989</v>
      </c>
      <c r="I386" s="36" t="s">
        <v>59</v>
      </c>
      <c r="J386" s="36" t="s">
        <v>34</v>
      </c>
      <c r="K386" s="36" t="s">
        <v>35</v>
      </c>
      <c r="L386" s="36" t="s">
        <v>279</v>
      </c>
      <c r="M386" s="36">
        <v>31.0</v>
      </c>
      <c r="N386" s="36"/>
      <c r="O386" s="45">
        <v>46111.0</v>
      </c>
      <c r="P386" s="34"/>
      <c r="Q386" s="34"/>
      <c r="R386" s="34"/>
      <c r="S386" s="34"/>
    </row>
    <row r="387" ht="15.75" hidden="1" customHeight="1">
      <c r="B387" s="34">
        <v>46111.0</v>
      </c>
      <c r="C387" s="36">
        <v>7665.0</v>
      </c>
      <c r="D387" s="36">
        <v>80.0</v>
      </c>
      <c r="E387" s="38">
        <v>27.0</v>
      </c>
      <c r="F387" s="38">
        <f t="shared" si="2"/>
        <v>2160</v>
      </c>
      <c r="G387" s="36" t="s">
        <v>1990</v>
      </c>
      <c r="H387" s="36" t="s">
        <v>1991</v>
      </c>
      <c r="I387" s="36" t="s">
        <v>59</v>
      </c>
      <c r="J387" s="36" t="s">
        <v>34</v>
      </c>
      <c r="K387" s="36" t="s">
        <v>35</v>
      </c>
      <c r="L387" s="36" t="s">
        <v>279</v>
      </c>
      <c r="M387" s="36">
        <v>31.0</v>
      </c>
      <c r="N387" s="36"/>
      <c r="O387" s="45">
        <v>46111.0</v>
      </c>
      <c r="P387" s="34"/>
      <c r="Q387" s="34"/>
      <c r="R387" s="34"/>
      <c r="S387" s="34"/>
    </row>
    <row r="388" ht="15.75" hidden="1" customHeight="1">
      <c r="B388" s="34">
        <v>46111.0</v>
      </c>
      <c r="C388" s="36">
        <v>7665.0</v>
      </c>
      <c r="D388" s="36">
        <v>50.0</v>
      </c>
      <c r="E388" s="38">
        <v>10.8</v>
      </c>
      <c r="F388" s="38">
        <f t="shared" si="2"/>
        <v>540</v>
      </c>
      <c r="G388" s="36" t="s">
        <v>1994</v>
      </c>
      <c r="H388" s="36" t="s">
        <v>1995</v>
      </c>
      <c r="I388" s="36" t="s">
        <v>59</v>
      </c>
      <c r="J388" s="36" t="s">
        <v>34</v>
      </c>
      <c r="K388" s="36" t="s">
        <v>35</v>
      </c>
      <c r="L388" s="36" t="s">
        <v>279</v>
      </c>
      <c r="M388" s="36">
        <v>31.0</v>
      </c>
      <c r="N388" s="36"/>
      <c r="O388" s="45">
        <v>46111.0</v>
      </c>
      <c r="P388" s="34"/>
      <c r="Q388" s="34"/>
      <c r="R388" s="34"/>
      <c r="S388" s="34"/>
    </row>
    <row r="389" ht="15.75" hidden="1" customHeight="1">
      <c r="B389" s="34">
        <v>46111.0</v>
      </c>
      <c r="C389" s="36">
        <v>7665.0</v>
      </c>
      <c r="D389" s="36">
        <v>10.0</v>
      </c>
      <c r="E389" s="38">
        <v>153.0</v>
      </c>
      <c r="F389" s="38">
        <f t="shared" si="2"/>
        <v>1530</v>
      </c>
      <c r="G389" s="36" t="s">
        <v>1997</v>
      </c>
      <c r="H389" s="36" t="s">
        <v>1998</v>
      </c>
      <c r="I389" s="36" t="s">
        <v>59</v>
      </c>
      <c r="J389" s="36" t="s">
        <v>34</v>
      </c>
      <c r="K389" s="36" t="s">
        <v>35</v>
      </c>
      <c r="L389" s="36" t="s">
        <v>279</v>
      </c>
      <c r="M389" s="36">
        <v>31.0</v>
      </c>
      <c r="N389" s="36"/>
      <c r="O389" s="45">
        <v>46111.0</v>
      </c>
      <c r="P389" s="34"/>
      <c r="Q389" s="34"/>
      <c r="R389" s="34"/>
      <c r="S389" s="34"/>
    </row>
    <row r="390" ht="15.75" hidden="1" customHeight="1">
      <c r="B390" s="34">
        <v>46111.0</v>
      </c>
      <c r="C390" s="36">
        <v>11070.0</v>
      </c>
      <c r="D390" s="36">
        <v>5.0</v>
      </c>
      <c r="E390" s="38">
        <v>219.9</v>
      </c>
      <c r="F390" s="38">
        <f t="shared" si="2"/>
        <v>1099.5</v>
      </c>
      <c r="G390" s="36" t="s">
        <v>1940</v>
      </c>
      <c r="H390" s="36" t="s">
        <v>1999</v>
      </c>
      <c r="I390" s="36" t="s">
        <v>32</v>
      </c>
      <c r="J390" s="36" t="s">
        <v>34</v>
      </c>
      <c r="K390" s="36" t="s">
        <v>35</v>
      </c>
      <c r="L390" s="36" t="s">
        <v>96</v>
      </c>
      <c r="M390" s="36">
        <v>1.0</v>
      </c>
      <c r="N390" s="36"/>
      <c r="O390" s="45">
        <v>46121.0</v>
      </c>
      <c r="P390" s="34"/>
      <c r="Q390" s="34"/>
      <c r="R390" s="34"/>
      <c r="S390" s="34"/>
    </row>
    <row r="391" ht="15.75" hidden="1" customHeight="1">
      <c r="B391" s="34">
        <v>46111.0</v>
      </c>
      <c r="C391" s="36">
        <v>11070.0</v>
      </c>
      <c r="D391" s="36">
        <v>6.0</v>
      </c>
      <c r="E391" s="38">
        <v>269.9</v>
      </c>
      <c r="F391" s="38">
        <f t="shared" si="2"/>
        <v>1619.4</v>
      </c>
      <c r="G391" s="36" t="s">
        <v>2002</v>
      </c>
      <c r="H391" s="36" t="s">
        <v>2004</v>
      </c>
      <c r="I391" s="36" t="s">
        <v>32</v>
      </c>
      <c r="J391" s="36" t="s">
        <v>34</v>
      </c>
      <c r="K391" s="36" t="s">
        <v>35</v>
      </c>
      <c r="L391" s="36" t="s">
        <v>96</v>
      </c>
      <c r="M391" s="36">
        <v>1.0</v>
      </c>
      <c r="N391" s="36"/>
      <c r="O391" s="45">
        <v>46121.0</v>
      </c>
      <c r="P391" s="34"/>
      <c r="Q391" s="34"/>
      <c r="R391" s="34"/>
      <c r="S391" s="34"/>
    </row>
    <row r="392" ht="15.75" hidden="1" customHeight="1">
      <c r="B392" s="34">
        <v>46111.0</v>
      </c>
      <c r="C392" s="36">
        <v>11070.0</v>
      </c>
      <c r="D392" s="36">
        <v>10.0</v>
      </c>
      <c r="E392" s="38">
        <v>89.9</v>
      </c>
      <c r="F392" s="38">
        <f t="shared" si="2"/>
        <v>899</v>
      </c>
      <c r="G392" s="36" t="s">
        <v>207</v>
      </c>
      <c r="H392" s="36" t="s">
        <v>208</v>
      </c>
      <c r="I392" s="36" t="s">
        <v>32</v>
      </c>
      <c r="J392" s="36" t="s">
        <v>34</v>
      </c>
      <c r="K392" s="36" t="s">
        <v>35</v>
      </c>
      <c r="L392" s="36" t="s">
        <v>96</v>
      </c>
      <c r="M392" s="36">
        <v>1.0</v>
      </c>
      <c r="N392" s="36"/>
      <c r="O392" s="45">
        <v>46121.0</v>
      </c>
      <c r="P392" s="34"/>
      <c r="Q392" s="34"/>
      <c r="R392" s="34"/>
      <c r="S392" s="34"/>
    </row>
    <row r="393" ht="15.75" hidden="1" customHeight="1">
      <c r="B393" s="34">
        <v>46111.0</v>
      </c>
      <c r="C393" s="36" t="s">
        <v>35</v>
      </c>
      <c r="D393" s="36">
        <v>1.0</v>
      </c>
      <c r="E393" s="38">
        <v>7650.0</v>
      </c>
      <c r="F393" s="38">
        <f t="shared" si="2"/>
        <v>7650</v>
      </c>
      <c r="G393" s="36" t="s">
        <v>1762</v>
      </c>
      <c r="H393" s="36" t="s">
        <v>35</v>
      </c>
      <c r="I393" s="36" t="s">
        <v>221</v>
      </c>
      <c r="J393" s="36" t="s">
        <v>34</v>
      </c>
      <c r="K393" s="36" t="s">
        <v>35</v>
      </c>
      <c r="L393" s="36" t="s">
        <v>35</v>
      </c>
      <c r="M393" s="36">
        <v>31.0</v>
      </c>
      <c r="N393" s="36"/>
      <c r="O393" s="36"/>
      <c r="P393" s="34"/>
      <c r="Q393" s="34"/>
      <c r="R393" s="34"/>
      <c r="S393" s="34"/>
    </row>
    <row r="394" ht="15.75" hidden="1" customHeight="1">
      <c r="B394" s="34">
        <v>46111.0</v>
      </c>
      <c r="C394" s="36" t="s">
        <v>35</v>
      </c>
      <c r="D394" s="36">
        <v>10.0</v>
      </c>
      <c r="E394" s="38">
        <v>610.0</v>
      </c>
      <c r="F394" s="38">
        <f t="shared" si="2"/>
        <v>6100</v>
      </c>
      <c r="G394" s="36" t="s">
        <v>2006</v>
      </c>
      <c r="H394" s="36" t="s">
        <v>35</v>
      </c>
      <c r="I394" s="36" t="s">
        <v>174</v>
      </c>
      <c r="J394" s="36" t="s">
        <v>175</v>
      </c>
      <c r="K394" s="36" t="s">
        <v>35</v>
      </c>
      <c r="L394" s="36" t="s">
        <v>314</v>
      </c>
      <c r="M394" s="36">
        <v>31.0</v>
      </c>
      <c r="N394" s="36"/>
      <c r="O394" s="45">
        <v>46120.0</v>
      </c>
      <c r="P394" s="34"/>
      <c r="Q394" s="34"/>
      <c r="R394" s="34"/>
      <c r="S394" s="34"/>
    </row>
    <row r="395" ht="15.75" hidden="1" customHeight="1">
      <c r="B395" s="34">
        <v>46111.0</v>
      </c>
      <c r="C395" s="36">
        <v>7724.0</v>
      </c>
      <c r="D395" s="36">
        <v>4.0</v>
      </c>
      <c r="E395" s="38">
        <v>405.0</v>
      </c>
      <c r="F395" s="38">
        <f t="shared" si="2"/>
        <v>1620</v>
      </c>
      <c r="G395" s="36" t="s">
        <v>1904</v>
      </c>
      <c r="H395" s="36" t="s">
        <v>1905</v>
      </c>
      <c r="I395" s="36" t="s">
        <v>174</v>
      </c>
      <c r="J395" s="36" t="s">
        <v>175</v>
      </c>
      <c r="K395" s="36" t="s">
        <v>35</v>
      </c>
      <c r="L395" s="36" t="s">
        <v>279</v>
      </c>
      <c r="M395" s="36">
        <v>31.0</v>
      </c>
      <c r="N395" s="36"/>
      <c r="O395" s="45">
        <v>46118.0</v>
      </c>
      <c r="P395" s="34"/>
      <c r="Q395" s="34"/>
      <c r="R395" s="34"/>
      <c r="S395" s="34"/>
    </row>
    <row r="396" ht="15.75" hidden="1" customHeight="1">
      <c r="B396" s="34">
        <v>46111.0</v>
      </c>
      <c r="C396" s="36">
        <v>912653.0</v>
      </c>
      <c r="D396" s="36">
        <v>1000.0</v>
      </c>
      <c r="E396" s="38">
        <v>71.0</v>
      </c>
      <c r="F396" s="38">
        <f t="shared" si="2"/>
        <v>71000</v>
      </c>
      <c r="G396" s="36" t="s">
        <v>2011</v>
      </c>
      <c r="H396" s="36">
        <v>65576.0</v>
      </c>
      <c r="I396" s="36" t="s">
        <v>41</v>
      </c>
      <c r="J396" s="36" t="s">
        <v>40</v>
      </c>
      <c r="K396" s="36" t="s">
        <v>35</v>
      </c>
      <c r="L396" s="36" t="s">
        <v>43</v>
      </c>
      <c r="M396" s="36">
        <v>31.0</v>
      </c>
      <c r="N396" s="36"/>
      <c r="O396" s="36"/>
      <c r="P396" s="34"/>
      <c r="Q396" s="34"/>
      <c r="R396" s="34"/>
      <c r="S396" s="34"/>
    </row>
    <row r="397" ht="15.75" hidden="1" customHeight="1">
      <c r="B397" s="34">
        <v>46111.0</v>
      </c>
      <c r="C397" s="36">
        <v>7738.0</v>
      </c>
      <c r="D397" s="36">
        <v>4.0</v>
      </c>
      <c r="E397" s="38">
        <v>378.0</v>
      </c>
      <c r="F397" s="38">
        <f t="shared" si="2"/>
        <v>1512</v>
      </c>
      <c r="G397" s="36" t="s">
        <v>1891</v>
      </c>
      <c r="H397" s="36" t="s">
        <v>1892</v>
      </c>
      <c r="I397" s="36" t="s">
        <v>221</v>
      </c>
      <c r="J397" s="36" t="s">
        <v>34</v>
      </c>
      <c r="K397" s="36" t="s">
        <v>35</v>
      </c>
      <c r="L397" s="36" t="s">
        <v>279</v>
      </c>
      <c r="M397" s="36">
        <v>31.0</v>
      </c>
      <c r="N397" s="36"/>
      <c r="O397" s="45">
        <v>46118.0</v>
      </c>
      <c r="P397" s="34"/>
      <c r="Q397" s="34"/>
      <c r="R397" s="34"/>
      <c r="S397" s="34"/>
    </row>
    <row r="398" ht="15.75" hidden="1" customHeight="1">
      <c r="B398" s="34">
        <v>46111.0</v>
      </c>
      <c r="C398" s="36">
        <v>5363.0</v>
      </c>
      <c r="D398" s="36">
        <v>32.0</v>
      </c>
      <c r="E398" s="38">
        <v>378.0</v>
      </c>
      <c r="F398" s="38">
        <f t="shared" si="2"/>
        <v>12096</v>
      </c>
      <c r="G398" s="36" t="s">
        <v>2020</v>
      </c>
      <c r="H398" s="36" t="s">
        <v>2021</v>
      </c>
      <c r="I398" s="36" t="s">
        <v>32</v>
      </c>
      <c r="J398" s="36" t="s">
        <v>34</v>
      </c>
      <c r="K398" s="36" t="s">
        <v>35</v>
      </c>
      <c r="L398" s="36" t="s">
        <v>340</v>
      </c>
      <c r="M398" s="36">
        <v>31.0</v>
      </c>
      <c r="N398" s="36"/>
      <c r="O398" s="45">
        <v>46111.0</v>
      </c>
      <c r="P398" s="34"/>
      <c r="Q398" s="34"/>
      <c r="R398" s="34"/>
      <c r="S398" s="34"/>
    </row>
    <row r="399" ht="15.75" hidden="1" customHeight="1">
      <c r="B399" s="34">
        <v>46111.0</v>
      </c>
      <c r="C399" s="36">
        <v>5363.0</v>
      </c>
      <c r="D399" s="36">
        <v>30.0</v>
      </c>
      <c r="E399" s="38">
        <v>165.0</v>
      </c>
      <c r="F399" s="38">
        <f t="shared" si="2"/>
        <v>4950</v>
      </c>
      <c r="G399" s="36" t="s">
        <v>2025</v>
      </c>
      <c r="H399" s="36" t="s">
        <v>2026</v>
      </c>
      <c r="I399" s="36" t="s">
        <v>32</v>
      </c>
      <c r="J399" s="36" t="s">
        <v>34</v>
      </c>
      <c r="K399" s="36" t="s">
        <v>35</v>
      </c>
      <c r="L399" s="36" t="s">
        <v>340</v>
      </c>
      <c r="M399" s="36">
        <v>31.0</v>
      </c>
      <c r="N399" s="36"/>
      <c r="O399" s="45">
        <v>46111.0</v>
      </c>
      <c r="P399" s="34"/>
      <c r="Q399" s="34"/>
      <c r="R399" s="34"/>
      <c r="S399" s="34"/>
    </row>
    <row r="400" ht="15.75" hidden="1" customHeight="1">
      <c r="B400" s="34">
        <v>46111.0</v>
      </c>
      <c r="C400" s="36">
        <v>1571.0</v>
      </c>
      <c r="D400" s="36">
        <v>6.0</v>
      </c>
      <c r="E400" s="38">
        <v>424.0</v>
      </c>
      <c r="F400" s="38">
        <f t="shared" si="2"/>
        <v>2544</v>
      </c>
      <c r="G400" s="36" t="s">
        <v>2031</v>
      </c>
      <c r="H400" s="36" t="s">
        <v>2032</v>
      </c>
      <c r="I400" s="36" t="s">
        <v>59</v>
      </c>
      <c r="J400" s="36" t="s">
        <v>34</v>
      </c>
      <c r="K400" s="36" t="s">
        <v>35</v>
      </c>
      <c r="L400" s="36" t="s">
        <v>151</v>
      </c>
      <c r="M400" s="36">
        <v>31.0</v>
      </c>
      <c r="N400" s="36"/>
      <c r="O400" s="36"/>
      <c r="P400" s="34"/>
      <c r="Q400" s="34"/>
      <c r="R400" s="34"/>
      <c r="S400" s="34"/>
    </row>
    <row r="401" ht="15.75" hidden="1" customHeight="1">
      <c r="B401" s="34">
        <v>46111.0</v>
      </c>
      <c r="C401" s="36">
        <v>1572.0</v>
      </c>
      <c r="D401" s="36">
        <v>2.0</v>
      </c>
      <c r="E401" s="38">
        <v>1922.4</v>
      </c>
      <c r="F401" s="38">
        <f t="shared" si="2"/>
        <v>3844.8</v>
      </c>
      <c r="G401" s="36" t="s">
        <v>1682</v>
      </c>
      <c r="H401" s="36" t="s">
        <v>788</v>
      </c>
      <c r="I401" s="36" t="s">
        <v>240</v>
      </c>
      <c r="J401" s="36" t="s">
        <v>34</v>
      </c>
      <c r="K401" s="36" t="s">
        <v>35</v>
      </c>
      <c r="L401" s="36" t="s">
        <v>151</v>
      </c>
      <c r="M401" s="36">
        <v>31.0</v>
      </c>
      <c r="N401" s="36"/>
      <c r="O401" s="45">
        <v>46113.0</v>
      </c>
      <c r="P401" s="34"/>
      <c r="Q401" s="34"/>
      <c r="R401" s="34"/>
      <c r="S401" s="34"/>
    </row>
    <row r="402" ht="15.75" hidden="1" customHeight="1">
      <c r="B402" s="34">
        <v>46111.0</v>
      </c>
      <c r="C402" s="36">
        <v>5339.0</v>
      </c>
      <c r="D402" s="36">
        <v>20.0</v>
      </c>
      <c r="E402" s="38">
        <v>198.0</v>
      </c>
      <c r="F402" s="38">
        <f t="shared" si="2"/>
        <v>3960</v>
      </c>
      <c r="G402" s="36" t="s">
        <v>2037</v>
      </c>
      <c r="H402" s="36" t="s">
        <v>296</v>
      </c>
      <c r="I402" s="36" t="s">
        <v>59</v>
      </c>
      <c r="J402" s="36" t="s">
        <v>34</v>
      </c>
      <c r="K402" s="36" t="s">
        <v>35</v>
      </c>
      <c r="L402" s="36" t="s">
        <v>87</v>
      </c>
      <c r="M402" s="36">
        <v>31.0</v>
      </c>
      <c r="N402" s="36"/>
      <c r="O402" s="45">
        <v>46112.0</v>
      </c>
      <c r="P402" s="34"/>
      <c r="Q402" s="34"/>
      <c r="R402" s="34"/>
      <c r="S402" s="34"/>
    </row>
    <row r="403" ht="15.75" hidden="1" customHeight="1">
      <c r="B403" s="34">
        <v>46111.0</v>
      </c>
      <c r="C403" s="36">
        <v>5339.0</v>
      </c>
      <c r="D403" s="36">
        <v>20.0</v>
      </c>
      <c r="E403" s="38">
        <v>216.0</v>
      </c>
      <c r="F403" s="38">
        <f t="shared" si="2"/>
        <v>4320</v>
      </c>
      <c r="G403" s="36" t="s">
        <v>2042</v>
      </c>
      <c r="H403" s="36" t="s">
        <v>304</v>
      </c>
      <c r="I403" s="36" t="s">
        <v>59</v>
      </c>
      <c r="J403" s="36" t="s">
        <v>34</v>
      </c>
      <c r="K403" s="36" t="s">
        <v>35</v>
      </c>
      <c r="L403" s="36" t="s">
        <v>87</v>
      </c>
      <c r="M403" s="36">
        <v>31.0</v>
      </c>
      <c r="N403" s="36"/>
      <c r="O403" s="45">
        <v>46112.0</v>
      </c>
      <c r="P403" s="34"/>
      <c r="Q403" s="34"/>
      <c r="R403" s="34"/>
      <c r="S403" s="34"/>
    </row>
    <row r="404" ht="15.75" hidden="1" customHeight="1">
      <c r="B404" s="34">
        <v>46111.0</v>
      </c>
      <c r="C404" s="36">
        <v>3512586.0</v>
      </c>
      <c r="D404" s="36">
        <v>8.0</v>
      </c>
      <c r="E404" s="38">
        <v>1855.14</v>
      </c>
      <c r="F404" s="38">
        <f t="shared" si="2"/>
        <v>14841.12</v>
      </c>
      <c r="G404" s="36" t="s">
        <v>2046</v>
      </c>
      <c r="H404" s="36" t="s">
        <v>35</v>
      </c>
      <c r="I404" s="36" t="s">
        <v>673</v>
      </c>
      <c r="J404" s="36" t="s">
        <v>175</v>
      </c>
      <c r="K404" s="36" t="s">
        <v>35</v>
      </c>
      <c r="L404" s="36" t="s">
        <v>2047</v>
      </c>
      <c r="M404" s="36">
        <v>31.0</v>
      </c>
      <c r="N404" s="36"/>
      <c r="O404" s="45">
        <v>46114.0</v>
      </c>
      <c r="P404" s="34"/>
      <c r="Q404" s="34"/>
      <c r="R404" s="34"/>
      <c r="S404" s="34"/>
    </row>
    <row r="405" ht="15.75" hidden="1" customHeight="1">
      <c r="B405" s="34">
        <v>46111.0</v>
      </c>
      <c r="C405" s="36">
        <v>3925.0</v>
      </c>
      <c r="D405" s="36">
        <v>40.0</v>
      </c>
      <c r="E405" s="38">
        <v>342.0</v>
      </c>
      <c r="F405" s="38">
        <f t="shared" si="2"/>
        <v>13680</v>
      </c>
      <c r="G405" s="36" t="s">
        <v>774</v>
      </c>
      <c r="H405" s="36" t="s">
        <v>775</v>
      </c>
      <c r="I405" s="36" t="s">
        <v>174</v>
      </c>
      <c r="J405" s="36" t="s">
        <v>175</v>
      </c>
      <c r="K405" s="36" t="s">
        <v>35</v>
      </c>
      <c r="L405" s="36" t="s">
        <v>46</v>
      </c>
      <c r="M405" s="36">
        <v>31.0</v>
      </c>
      <c r="N405" s="36"/>
      <c r="O405" s="45">
        <v>46114.0</v>
      </c>
      <c r="P405" s="34"/>
      <c r="Q405" s="34"/>
      <c r="R405" s="34"/>
      <c r="S405" s="34"/>
    </row>
    <row r="406" ht="15.75" hidden="1" customHeight="1">
      <c r="B406" s="34">
        <v>46111.0</v>
      </c>
      <c r="C406" s="36">
        <v>3925.0</v>
      </c>
      <c r="D406" s="36">
        <v>40.0</v>
      </c>
      <c r="E406" s="38">
        <v>171.0</v>
      </c>
      <c r="F406" s="38">
        <f t="shared" si="2"/>
        <v>6840</v>
      </c>
      <c r="G406" s="36" t="s">
        <v>2051</v>
      </c>
      <c r="H406" s="36" t="s">
        <v>2052</v>
      </c>
      <c r="I406" s="36" t="s">
        <v>174</v>
      </c>
      <c r="J406" s="36" t="s">
        <v>175</v>
      </c>
      <c r="K406" s="36" t="s">
        <v>35</v>
      </c>
      <c r="L406" s="36" t="s">
        <v>46</v>
      </c>
      <c r="M406" s="36">
        <v>31.0</v>
      </c>
      <c r="N406" s="36"/>
      <c r="O406" s="45">
        <v>46114.0</v>
      </c>
      <c r="P406" s="34"/>
      <c r="Q406" s="34"/>
      <c r="R406" s="34"/>
      <c r="S406" s="34"/>
    </row>
    <row r="407" ht="15.75" hidden="1" customHeight="1">
      <c r="B407" s="34">
        <v>46111.0</v>
      </c>
      <c r="C407" s="36">
        <v>6084.0</v>
      </c>
      <c r="D407" s="36">
        <v>99.0</v>
      </c>
      <c r="E407" s="38">
        <v>355.0</v>
      </c>
      <c r="F407" s="38">
        <f t="shared" si="2"/>
        <v>35145</v>
      </c>
      <c r="G407" s="36" t="s">
        <v>2058</v>
      </c>
      <c r="H407" s="36">
        <v>1005.0</v>
      </c>
      <c r="I407" s="36" t="s">
        <v>59</v>
      </c>
      <c r="J407" s="36" t="s">
        <v>34</v>
      </c>
      <c r="K407" s="36" t="s">
        <v>35</v>
      </c>
      <c r="L407" s="36" t="s">
        <v>868</v>
      </c>
      <c r="M407" s="36">
        <v>31.0</v>
      </c>
      <c r="N407" s="36"/>
      <c r="O407" s="45">
        <v>46112.0</v>
      </c>
      <c r="P407" s="34"/>
      <c r="Q407" s="34"/>
      <c r="R407" s="34"/>
      <c r="S407" s="34"/>
    </row>
    <row r="408" ht="15.75" hidden="1" customHeight="1">
      <c r="B408" s="34">
        <v>46111.0</v>
      </c>
      <c r="C408" s="36">
        <v>6084.0</v>
      </c>
      <c r="D408" s="36">
        <v>1.0</v>
      </c>
      <c r="E408" s="38">
        <v>335.0</v>
      </c>
      <c r="F408" s="38">
        <f t="shared" si="2"/>
        <v>335</v>
      </c>
      <c r="G408" s="36" t="s">
        <v>2062</v>
      </c>
      <c r="H408" s="36">
        <v>1103.0</v>
      </c>
      <c r="I408" s="36" t="s">
        <v>59</v>
      </c>
      <c r="J408" s="36" t="s">
        <v>34</v>
      </c>
      <c r="K408" s="36" t="s">
        <v>35</v>
      </c>
      <c r="L408" s="36" t="s">
        <v>868</v>
      </c>
      <c r="M408" s="36">
        <v>31.0</v>
      </c>
      <c r="N408" s="36"/>
      <c r="O408" s="36"/>
      <c r="P408" s="34"/>
      <c r="Q408" s="34"/>
      <c r="R408" s="34"/>
      <c r="S408" s="34"/>
    </row>
    <row r="409" ht="15.75" hidden="1" customHeight="1">
      <c r="B409" s="34">
        <v>46112.0</v>
      </c>
      <c r="C409" s="36">
        <v>3961.0</v>
      </c>
      <c r="D409" s="36">
        <v>200.0</v>
      </c>
      <c r="E409" s="38">
        <v>7.2</v>
      </c>
      <c r="F409" s="38">
        <f t="shared" si="2"/>
        <v>1440</v>
      </c>
      <c r="G409" s="36" t="s">
        <v>2064</v>
      </c>
      <c r="H409" s="36" t="s">
        <v>2065</v>
      </c>
      <c r="I409" s="36" t="s">
        <v>41</v>
      </c>
      <c r="J409" s="36" t="s">
        <v>34</v>
      </c>
      <c r="K409" s="36" t="s">
        <v>35</v>
      </c>
      <c r="L409" s="36" t="s">
        <v>62</v>
      </c>
      <c r="M409" s="36">
        <v>31.0</v>
      </c>
      <c r="N409" s="36"/>
      <c r="O409" s="45">
        <v>46112.0</v>
      </c>
      <c r="P409" s="34"/>
      <c r="Q409" s="34"/>
      <c r="R409" s="34"/>
      <c r="S409" s="34"/>
    </row>
    <row r="410" ht="15.75" hidden="1" customHeight="1">
      <c r="B410" s="34">
        <v>46112.0</v>
      </c>
      <c r="C410" s="36">
        <v>5449.0</v>
      </c>
      <c r="D410" s="36">
        <v>8.0</v>
      </c>
      <c r="E410" s="38">
        <v>351.54</v>
      </c>
      <c r="F410" s="38">
        <f t="shared" si="2"/>
        <v>2812.32</v>
      </c>
      <c r="G410" s="36" t="s">
        <v>2020</v>
      </c>
      <c r="H410" s="36" t="s">
        <v>2021</v>
      </c>
      <c r="I410" s="36" t="s">
        <v>32</v>
      </c>
      <c r="J410" s="36" t="s">
        <v>34</v>
      </c>
      <c r="K410" s="36" t="s">
        <v>35</v>
      </c>
      <c r="L410" s="36" t="s">
        <v>340</v>
      </c>
      <c r="M410" s="36">
        <v>31.0</v>
      </c>
      <c r="N410" s="36"/>
      <c r="O410" s="45">
        <v>46112.0</v>
      </c>
      <c r="P410" s="34"/>
      <c r="Q410" s="34"/>
      <c r="R410" s="34"/>
      <c r="S410" s="34"/>
    </row>
    <row r="411" ht="15.75" hidden="1" customHeight="1">
      <c r="B411" s="34">
        <v>46112.0</v>
      </c>
      <c r="C411" s="36" t="s">
        <v>35</v>
      </c>
      <c r="D411" s="36">
        <v>100.0</v>
      </c>
      <c r="E411" s="38">
        <v>360.0</v>
      </c>
      <c r="F411" s="38">
        <f t="shared" si="2"/>
        <v>36000</v>
      </c>
      <c r="G411" s="36" t="s">
        <v>2069</v>
      </c>
      <c r="H411" s="36" t="s">
        <v>35</v>
      </c>
      <c r="I411" s="36" t="s">
        <v>41</v>
      </c>
      <c r="J411" s="36" t="s">
        <v>40</v>
      </c>
      <c r="K411" s="36" t="s">
        <v>35</v>
      </c>
      <c r="L411" s="36" t="s">
        <v>799</v>
      </c>
      <c r="M411" s="36">
        <v>31.0</v>
      </c>
      <c r="N411" s="36"/>
      <c r="O411" s="36"/>
      <c r="P411" s="34"/>
      <c r="Q411" s="34"/>
      <c r="R411" s="34"/>
      <c r="S411" s="34"/>
    </row>
    <row r="412" ht="15.75" hidden="1" customHeight="1">
      <c r="B412" s="34">
        <v>46112.0</v>
      </c>
      <c r="C412" s="69" t="s">
        <v>2072</v>
      </c>
      <c r="D412" s="36">
        <v>350.0</v>
      </c>
      <c r="E412" s="38">
        <v>16.8</v>
      </c>
      <c r="F412" s="38">
        <f t="shared" si="2"/>
        <v>5880</v>
      </c>
      <c r="G412" s="36" t="s">
        <v>1719</v>
      </c>
      <c r="H412" s="36" t="s">
        <v>1720</v>
      </c>
      <c r="I412" s="36" t="s">
        <v>41</v>
      </c>
      <c r="J412" s="36" t="s">
        <v>34</v>
      </c>
      <c r="K412" s="36" t="s">
        <v>35</v>
      </c>
      <c r="L412" s="36" t="s">
        <v>160</v>
      </c>
      <c r="M412" s="36">
        <v>1.0</v>
      </c>
      <c r="N412" s="36"/>
      <c r="O412" s="45">
        <v>46120.0</v>
      </c>
      <c r="P412" s="34"/>
      <c r="Q412" s="34"/>
      <c r="R412" s="34"/>
      <c r="S412" s="34"/>
    </row>
    <row r="413" ht="15.75" hidden="1" customHeight="1">
      <c r="B413" s="34">
        <v>46112.0</v>
      </c>
      <c r="C413" s="36">
        <v>913260.0</v>
      </c>
      <c r="D413" s="36">
        <v>100.0</v>
      </c>
      <c r="E413" s="38">
        <v>325.0</v>
      </c>
      <c r="F413" s="38">
        <f t="shared" si="2"/>
        <v>32500</v>
      </c>
      <c r="G413" s="36" t="s">
        <v>2074</v>
      </c>
      <c r="H413" s="36">
        <v>53003.0</v>
      </c>
      <c r="I413" s="36" t="s">
        <v>174</v>
      </c>
      <c r="J413" s="36" t="s">
        <v>175</v>
      </c>
      <c r="K413" s="36" t="s">
        <v>35</v>
      </c>
      <c r="L413" s="36" t="s">
        <v>43</v>
      </c>
      <c r="M413" s="36">
        <v>31.0</v>
      </c>
      <c r="N413" s="36"/>
      <c r="O413" s="36"/>
      <c r="P413" s="34"/>
      <c r="Q413" s="34">
        <v>46142.0</v>
      </c>
      <c r="R413" s="34">
        <v>46172.0</v>
      </c>
      <c r="S413" s="35"/>
    </row>
    <row r="414" ht="15.75" hidden="1" customHeight="1">
      <c r="B414" s="34">
        <v>46112.0</v>
      </c>
      <c r="C414" s="36" t="s">
        <v>35</v>
      </c>
      <c r="D414" s="36">
        <v>1.0</v>
      </c>
      <c r="E414" s="38">
        <v>7950.0</v>
      </c>
      <c r="F414" s="38">
        <f t="shared" si="2"/>
        <v>7950</v>
      </c>
      <c r="G414" s="36" t="s">
        <v>2077</v>
      </c>
      <c r="H414" s="36" t="s">
        <v>35</v>
      </c>
      <c r="I414" s="36" t="s">
        <v>221</v>
      </c>
      <c r="J414" s="36" t="s">
        <v>34</v>
      </c>
      <c r="K414" s="36" t="s">
        <v>35</v>
      </c>
      <c r="L414" s="36" t="s">
        <v>35</v>
      </c>
      <c r="M414" s="36">
        <v>31.0</v>
      </c>
      <c r="N414" s="36"/>
      <c r="O414" s="36"/>
      <c r="P414" s="34"/>
      <c r="Q414" s="34"/>
      <c r="R414" s="34"/>
      <c r="S414" s="34"/>
    </row>
    <row r="415" ht="15.75" hidden="1" customHeight="1">
      <c r="B415" s="34">
        <v>46112.0</v>
      </c>
      <c r="C415" s="36">
        <v>102202.0</v>
      </c>
      <c r="D415" s="36">
        <v>1000.0</v>
      </c>
      <c r="E415" s="38">
        <v>125.4718</v>
      </c>
      <c r="F415" s="38">
        <f t="shared" si="2"/>
        <v>125471.8</v>
      </c>
      <c r="G415" s="36" t="s">
        <v>2081</v>
      </c>
      <c r="H415" s="36">
        <v>16544.0</v>
      </c>
      <c r="I415" s="36" t="s">
        <v>32</v>
      </c>
      <c r="J415" s="36" t="s">
        <v>34</v>
      </c>
      <c r="K415" s="36" t="s">
        <v>35</v>
      </c>
      <c r="L415" s="36" t="s">
        <v>68</v>
      </c>
      <c r="M415" s="36">
        <v>31.0</v>
      </c>
      <c r="N415" s="36"/>
      <c r="O415" s="36"/>
      <c r="P415" s="34"/>
      <c r="Q415" s="34"/>
      <c r="R415" s="34"/>
      <c r="S415" s="34"/>
    </row>
    <row r="416" ht="15.75" hidden="1" customHeight="1">
      <c r="B416" s="34">
        <v>46112.0</v>
      </c>
      <c r="C416" s="36">
        <v>54077.0</v>
      </c>
      <c r="D416" s="36">
        <v>500.0</v>
      </c>
      <c r="E416" s="38">
        <v>10.484</v>
      </c>
      <c r="F416" s="38">
        <f t="shared" si="2"/>
        <v>5242</v>
      </c>
      <c r="G416" s="36" t="s">
        <v>2084</v>
      </c>
      <c r="H416" s="36" t="s">
        <v>2085</v>
      </c>
      <c r="I416" s="36" t="s">
        <v>32</v>
      </c>
      <c r="J416" s="36" t="s">
        <v>40</v>
      </c>
      <c r="K416" s="36" t="s">
        <v>35</v>
      </c>
      <c r="L416" s="36" t="s">
        <v>2086</v>
      </c>
      <c r="M416" s="36">
        <v>31.0</v>
      </c>
      <c r="N416" s="36"/>
      <c r="O416" s="45">
        <v>46126.0</v>
      </c>
      <c r="P416" s="34"/>
      <c r="Q416" s="34"/>
      <c r="R416" s="34"/>
      <c r="S416" s="34"/>
    </row>
    <row r="417" ht="15.75" hidden="1" customHeight="1">
      <c r="B417" s="34">
        <v>46112.0</v>
      </c>
      <c r="C417" s="36">
        <v>54077.0</v>
      </c>
      <c r="D417" s="36">
        <v>400.0</v>
      </c>
      <c r="E417" s="38">
        <v>12.3447</v>
      </c>
      <c r="F417" s="38">
        <f t="shared" si="2"/>
        <v>4937.88</v>
      </c>
      <c r="G417" s="36" t="s">
        <v>2089</v>
      </c>
      <c r="H417" s="36" t="s">
        <v>2090</v>
      </c>
      <c r="I417" s="36" t="s">
        <v>32</v>
      </c>
      <c r="J417" s="36" t="s">
        <v>40</v>
      </c>
      <c r="K417" s="36" t="s">
        <v>35</v>
      </c>
      <c r="L417" s="36" t="s">
        <v>2086</v>
      </c>
      <c r="M417" s="36">
        <v>31.0</v>
      </c>
      <c r="N417" s="36"/>
      <c r="O417" s="45">
        <v>46126.0</v>
      </c>
      <c r="P417" s="34"/>
      <c r="Q417" s="34"/>
      <c r="R417" s="34"/>
      <c r="S417" s="34"/>
    </row>
    <row r="418" ht="15.75" hidden="1" customHeight="1">
      <c r="B418" s="34">
        <v>46112.0</v>
      </c>
      <c r="C418" s="36">
        <v>54077.0</v>
      </c>
      <c r="D418" s="36">
        <v>900.0</v>
      </c>
      <c r="E418" s="38">
        <v>12.452</v>
      </c>
      <c r="F418" s="38">
        <f t="shared" si="2"/>
        <v>11206.8</v>
      </c>
      <c r="G418" s="36" t="s">
        <v>2092</v>
      </c>
      <c r="H418" s="36" t="s">
        <v>2093</v>
      </c>
      <c r="I418" s="36" t="s">
        <v>32</v>
      </c>
      <c r="J418" s="36" t="s">
        <v>40</v>
      </c>
      <c r="K418" s="36" t="s">
        <v>35</v>
      </c>
      <c r="L418" s="36" t="s">
        <v>2086</v>
      </c>
      <c r="M418" s="36">
        <v>31.0</v>
      </c>
      <c r="N418" s="36"/>
      <c r="O418" s="45">
        <v>46126.0</v>
      </c>
      <c r="P418" s="34"/>
      <c r="Q418" s="34"/>
      <c r="R418" s="34"/>
      <c r="S418" s="34"/>
    </row>
    <row r="419" ht="15.75" hidden="1" customHeight="1">
      <c r="B419" s="34">
        <v>46113.0</v>
      </c>
      <c r="C419" s="36">
        <v>912963.0</v>
      </c>
      <c r="D419" s="36">
        <v>1000.0</v>
      </c>
      <c r="E419" s="38">
        <v>149.9</v>
      </c>
      <c r="F419" s="38">
        <f t="shared" si="2"/>
        <v>149900</v>
      </c>
      <c r="G419" s="36" t="s">
        <v>1909</v>
      </c>
      <c r="H419" s="36">
        <v>60856.0</v>
      </c>
      <c r="I419" s="36" t="s">
        <v>59</v>
      </c>
      <c r="J419" s="36" t="s">
        <v>34</v>
      </c>
      <c r="K419" s="36" t="s">
        <v>35</v>
      </c>
      <c r="L419" s="36" t="s">
        <v>43</v>
      </c>
      <c r="M419" s="36">
        <v>31.0</v>
      </c>
      <c r="N419" s="36"/>
      <c r="O419" s="36" t="s">
        <v>2096</v>
      </c>
      <c r="P419" s="34"/>
      <c r="Q419" s="34">
        <v>46143.0</v>
      </c>
      <c r="R419" s="34">
        <v>46173.0</v>
      </c>
      <c r="S419" s="35"/>
    </row>
    <row r="420" ht="15.75" hidden="1" customHeight="1">
      <c r="B420" s="34">
        <v>46113.0</v>
      </c>
      <c r="C420" s="36">
        <v>1018.0</v>
      </c>
      <c r="D420" s="36">
        <v>50.0</v>
      </c>
      <c r="E420" s="38">
        <v>152.0</v>
      </c>
      <c r="F420" s="38">
        <f t="shared" si="2"/>
        <v>7600</v>
      </c>
      <c r="G420" s="35" t="s">
        <v>135</v>
      </c>
      <c r="H420" s="35" t="s">
        <v>35</v>
      </c>
      <c r="I420" s="36" t="s">
        <v>41</v>
      </c>
      <c r="J420" s="36" t="s">
        <v>34</v>
      </c>
      <c r="K420" s="36" t="s">
        <v>35</v>
      </c>
      <c r="L420" s="36" t="s">
        <v>132</v>
      </c>
      <c r="M420" s="36">
        <v>31.0</v>
      </c>
      <c r="N420" s="45">
        <v>46113.0</v>
      </c>
      <c r="O420" s="36"/>
      <c r="P420" s="34"/>
      <c r="Q420" s="34"/>
      <c r="R420" s="34"/>
      <c r="S420" s="34"/>
    </row>
    <row r="421" ht="15.75" hidden="1" customHeight="1">
      <c r="B421" s="34">
        <v>46113.0</v>
      </c>
      <c r="C421" s="69" t="s">
        <v>2098</v>
      </c>
      <c r="D421" s="36">
        <v>2000.0</v>
      </c>
      <c r="E421" s="38">
        <v>11.0</v>
      </c>
      <c r="F421" s="38">
        <f t="shared" si="2"/>
        <v>22000</v>
      </c>
      <c r="G421" s="36" t="s">
        <v>2100</v>
      </c>
      <c r="H421" s="36" t="s">
        <v>2102</v>
      </c>
      <c r="I421" s="36" t="s">
        <v>59</v>
      </c>
      <c r="J421" s="36" t="s">
        <v>34</v>
      </c>
      <c r="K421" s="36" t="s">
        <v>35</v>
      </c>
      <c r="L421" s="36" t="s">
        <v>160</v>
      </c>
      <c r="M421" s="36">
        <v>31.0</v>
      </c>
      <c r="N421" s="36"/>
      <c r="O421" s="45">
        <v>46113.0</v>
      </c>
      <c r="P421" s="34"/>
      <c r="Q421" s="34"/>
      <c r="R421" s="34"/>
      <c r="S421" s="34"/>
    </row>
    <row r="422" ht="15.75" hidden="1" customHeight="1">
      <c r="B422" s="34">
        <v>46113.0</v>
      </c>
      <c r="C422" s="36">
        <v>1.4436748E7</v>
      </c>
      <c r="D422" s="36">
        <v>1.0</v>
      </c>
      <c r="E422" s="38">
        <v>389.0</v>
      </c>
      <c r="F422" s="38">
        <f t="shared" si="2"/>
        <v>389</v>
      </c>
      <c r="G422" s="36" t="s">
        <v>2105</v>
      </c>
      <c r="H422" s="36">
        <v>47226.0</v>
      </c>
      <c r="I422" s="36" t="s">
        <v>2106</v>
      </c>
      <c r="J422" s="36" t="s">
        <v>2108</v>
      </c>
      <c r="K422" s="36" t="s">
        <v>35</v>
      </c>
      <c r="L422" s="36" t="s">
        <v>2109</v>
      </c>
      <c r="M422" s="36">
        <v>1.0</v>
      </c>
      <c r="N422" s="36"/>
      <c r="O422" s="45">
        <v>46118.0</v>
      </c>
      <c r="P422" s="34"/>
      <c r="Q422" s="34"/>
      <c r="R422" s="34"/>
      <c r="S422" s="34"/>
    </row>
    <row r="423" ht="15.75" hidden="1" customHeight="1">
      <c r="B423" s="34">
        <v>46113.0</v>
      </c>
      <c r="C423" s="36" t="s">
        <v>35</v>
      </c>
      <c r="D423" s="36">
        <v>469.0</v>
      </c>
      <c r="E423" s="38">
        <v>127.0</v>
      </c>
      <c r="F423" s="38">
        <f t="shared" si="2"/>
        <v>59563</v>
      </c>
      <c r="G423" s="36" t="s">
        <v>2113</v>
      </c>
      <c r="H423" s="36" t="s">
        <v>35</v>
      </c>
      <c r="I423" s="36" t="s">
        <v>41</v>
      </c>
      <c r="J423" s="36" t="s">
        <v>34</v>
      </c>
      <c r="K423" s="36" t="s">
        <v>35</v>
      </c>
      <c r="L423" s="36" t="s">
        <v>810</v>
      </c>
      <c r="M423" s="36">
        <v>31.0</v>
      </c>
      <c r="N423" s="45">
        <v>46119.0</v>
      </c>
      <c r="O423" s="36"/>
      <c r="P423" s="34"/>
      <c r="Q423" s="34"/>
      <c r="R423" s="34"/>
      <c r="S423" s="34"/>
    </row>
    <row r="424" ht="15.75" hidden="1" customHeight="1">
      <c r="B424" s="45">
        <v>46113.0</v>
      </c>
      <c r="C424" s="59">
        <v>44705.0</v>
      </c>
      <c r="D424" s="36">
        <v>2.0</v>
      </c>
      <c r="E424" s="38">
        <v>120.0</v>
      </c>
      <c r="F424" s="38">
        <f t="shared" si="2"/>
        <v>240</v>
      </c>
      <c r="G424" s="36" t="s">
        <v>2115</v>
      </c>
      <c r="H424" s="36">
        <v>9.04016908E8</v>
      </c>
      <c r="I424" s="36" t="s">
        <v>2106</v>
      </c>
      <c r="J424" s="36" t="s">
        <v>2108</v>
      </c>
      <c r="K424" s="36" t="s">
        <v>35</v>
      </c>
      <c r="L424" s="36" t="s">
        <v>2117</v>
      </c>
      <c r="M424" s="36">
        <v>1.0</v>
      </c>
      <c r="N424" s="36"/>
      <c r="O424" s="36"/>
      <c r="P424" s="34"/>
      <c r="Q424" s="34"/>
      <c r="R424" s="34"/>
      <c r="S424" s="34"/>
    </row>
    <row r="425" ht="15.75" hidden="1" customHeight="1">
      <c r="B425" s="34">
        <v>46113.0</v>
      </c>
      <c r="C425" s="46" t="s">
        <v>2118</v>
      </c>
      <c r="D425" s="36">
        <v>30.0</v>
      </c>
      <c r="E425" s="38">
        <v>198.0</v>
      </c>
      <c r="F425" s="38">
        <f t="shared" si="2"/>
        <v>5940</v>
      </c>
      <c r="G425" s="36" t="s">
        <v>2121</v>
      </c>
      <c r="H425" s="36" t="s">
        <v>296</v>
      </c>
      <c r="I425" s="36" t="s">
        <v>41</v>
      </c>
      <c r="J425" s="36" t="s">
        <v>34</v>
      </c>
      <c r="K425" s="36" t="s">
        <v>35</v>
      </c>
      <c r="L425" s="36" t="s">
        <v>87</v>
      </c>
      <c r="M425" s="36">
        <v>31.0</v>
      </c>
      <c r="N425" s="36"/>
      <c r="O425" s="45">
        <v>46119.0</v>
      </c>
      <c r="P425" s="34"/>
      <c r="Q425" s="34"/>
      <c r="R425" s="34"/>
      <c r="S425" s="34"/>
    </row>
    <row r="426" ht="15.75" hidden="1" customHeight="1">
      <c r="B426" s="34">
        <v>46113.0</v>
      </c>
      <c r="C426" s="46" t="s">
        <v>2118</v>
      </c>
      <c r="D426" s="36">
        <v>20.0</v>
      </c>
      <c r="E426" s="38">
        <v>216.0</v>
      </c>
      <c r="F426" s="38">
        <f t="shared" si="2"/>
        <v>4320</v>
      </c>
      <c r="G426" s="36" t="s">
        <v>2125</v>
      </c>
      <c r="H426" s="36" t="s">
        <v>304</v>
      </c>
      <c r="I426" s="36" t="s">
        <v>41</v>
      </c>
      <c r="J426" s="36" t="s">
        <v>40</v>
      </c>
      <c r="K426" s="36" t="s">
        <v>35</v>
      </c>
      <c r="L426" s="36" t="s">
        <v>87</v>
      </c>
      <c r="M426" s="36">
        <v>31.0</v>
      </c>
      <c r="N426" s="36"/>
      <c r="O426" s="45">
        <v>46119.0</v>
      </c>
      <c r="P426" s="34"/>
      <c r="Q426" s="34"/>
      <c r="R426" s="34"/>
      <c r="S426" s="34"/>
    </row>
    <row r="427" ht="15.75" hidden="1" customHeight="1">
      <c r="B427" s="34">
        <v>46113.0</v>
      </c>
      <c r="C427" s="36">
        <v>10648.0</v>
      </c>
      <c r="D427" s="36">
        <v>24.0</v>
      </c>
      <c r="E427" s="38">
        <v>268.77</v>
      </c>
      <c r="F427" s="38">
        <f t="shared" si="2"/>
        <v>6450.48</v>
      </c>
      <c r="G427" s="36" t="s">
        <v>2128</v>
      </c>
      <c r="H427" s="36" t="s">
        <v>2129</v>
      </c>
      <c r="I427" s="36" t="s">
        <v>32</v>
      </c>
      <c r="J427" s="36" t="s">
        <v>34</v>
      </c>
      <c r="K427" s="36" t="s">
        <v>1460</v>
      </c>
      <c r="L427" s="36" t="s">
        <v>210</v>
      </c>
      <c r="M427" s="36">
        <v>31.0</v>
      </c>
      <c r="N427" s="36"/>
      <c r="O427" s="45">
        <v>46118.0</v>
      </c>
      <c r="P427" s="34"/>
      <c r="Q427" s="34"/>
      <c r="R427" s="34"/>
      <c r="S427" s="34"/>
    </row>
    <row r="428" ht="15.75" hidden="1" customHeight="1">
      <c r="B428" s="34">
        <v>46113.0</v>
      </c>
      <c r="C428" s="36">
        <v>10649.0</v>
      </c>
      <c r="D428" s="36">
        <v>12.0</v>
      </c>
      <c r="E428" s="38">
        <v>268.77</v>
      </c>
      <c r="F428" s="38">
        <f t="shared" si="2"/>
        <v>3225.24</v>
      </c>
      <c r="G428" s="36" t="s">
        <v>2128</v>
      </c>
      <c r="H428" s="36" t="s">
        <v>2129</v>
      </c>
      <c r="I428" s="36" t="s">
        <v>32</v>
      </c>
      <c r="J428" s="36" t="s">
        <v>34</v>
      </c>
      <c r="K428" s="36" t="s">
        <v>1460</v>
      </c>
      <c r="L428" s="36" t="s">
        <v>210</v>
      </c>
      <c r="M428" s="36">
        <v>31.0</v>
      </c>
      <c r="N428" s="36"/>
      <c r="O428" s="45">
        <v>46118.0</v>
      </c>
      <c r="P428" s="34"/>
      <c r="Q428" s="34"/>
      <c r="R428" s="34"/>
      <c r="S428" s="34"/>
    </row>
    <row r="429" ht="15.75" hidden="1" customHeight="1">
      <c r="B429" s="34">
        <v>46114.0</v>
      </c>
      <c r="C429" s="36">
        <v>85005.0</v>
      </c>
      <c r="D429" s="36">
        <v>500.0</v>
      </c>
      <c r="E429" s="38">
        <v>18.0</v>
      </c>
      <c r="F429" s="38">
        <f t="shared" si="2"/>
        <v>9000</v>
      </c>
      <c r="G429" s="36" t="s">
        <v>2133</v>
      </c>
      <c r="H429" s="36" t="s">
        <v>35</v>
      </c>
      <c r="I429" s="36" t="s">
        <v>32</v>
      </c>
      <c r="J429" s="36" t="s">
        <v>34</v>
      </c>
      <c r="K429" s="36" t="s">
        <v>35</v>
      </c>
      <c r="L429" s="36" t="s">
        <v>1250</v>
      </c>
      <c r="M429" s="36">
        <v>31.0</v>
      </c>
      <c r="N429" s="36"/>
      <c r="O429" s="45">
        <v>46114.0</v>
      </c>
      <c r="P429" s="34"/>
      <c r="Q429" s="34"/>
      <c r="R429" s="34"/>
      <c r="S429" s="34"/>
    </row>
    <row r="430" ht="15.75" hidden="1" customHeight="1">
      <c r="B430" s="34">
        <v>46114.0</v>
      </c>
      <c r="C430" s="36" t="s">
        <v>35</v>
      </c>
      <c r="D430" s="36">
        <v>1.0</v>
      </c>
      <c r="E430" s="38">
        <v>750.0</v>
      </c>
      <c r="F430" s="38">
        <f t="shared" si="2"/>
        <v>750</v>
      </c>
      <c r="G430" s="36" t="s">
        <v>2134</v>
      </c>
      <c r="H430" s="36">
        <v>2.3400196E7</v>
      </c>
      <c r="I430" s="36" t="s">
        <v>32</v>
      </c>
      <c r="J430" s="36" t="s">
        <v>34</v>
      </c>
      <c r="K430" s="36" t="s">
        <v>35</v>
      </c>
      <c r="L430" s="36" t="s">
        <v>2135</v>
      </c>
      <c r="M430" s="36">
        <v>31.0</v>
      </c>
      <c r="N430" s="36"/>
      <c r="O430" s="36"/>
      <c r="P430" s="34"/>
      <c r="Q430" s="34"/>
      <c r="R430" s="34"/>
      <c r="S430" s="34"/>
    </row>
    <row r="431" ht="15.75" hidden="1" customHeight="1">
      <c r="B431" s="34">
        <v>46114.0</v>
      </c>
      <c r="C431" s="36">
        <v>50583.0</v>
      </c>
      <c r="D431" s="36">
        <v>30.0</v>
      </c>
      <c r="E431" s="38">
        <v>335.0</v>
      </c>
      <c r="F431" s="38">
        <f t="shared" si="2"/>
        <v>10050</v>
      </c>
      <c r="G431" s="36" t="s">
        <v>1865</v>
      </c>
      <c r="H431" s="36" t="s">
        <v>35</v>
      </c>
      <c r="I431" s="36" t="s">
        <v>59</v>
      </c>
      <c r="J431" s="36" t="s">
        <v>34</v>
      </c>
      <c r="K431" s="36" t="s">
        <v>35</v>
      </c>
      <c r="L431" s="36" t="s">
        <v>868</v>
      </c>
      <c r="M431" s="36">
        <v>31.0</v>
      </c>
      <c r="N431" s="36"/>
      <c r="O431" s="45">
        <v>46118.0</v>
      </c>
      <c r="P431" s="34"/>
      <c r="Q431" s="34"/>
      <c r="R431" s="34"/>
      <c r="S431" s="34"/>
    </row>
    <row r="432" ht="15.75" hidden="1" customHeight="1">
      <c r="B432" s="34">
        <v>46114.0</v>
      </c>
      <c r="C432" s="36">
        <v>50583.0</v>
      </c>
      <c r="D432" s="36">
        <v>50.0</v>
      </c>
      <c r="E432" s="38">
        <v>335.0</v>
      </c>
      <c r="F432" s="38">
        <f t="shared" si="2"/>
        <v>16750</v>
      </c>
      <c r="G432" s="36" t="s">
        <v>1865</v>
      </c>
      <c r="H432" s="36" t="s">
        <v>35</v>
      </c>
      <c r="I432" s="36" t="s">
        <v>59</v>
      </c>
      <c r="J432" s="36" t="s">
        <v>40</v>
      </c>
      <c r="K432" s="36" t="s">
        <v>35</v>
      </c>
      <c r="L432" s="36" t="s">
        <v>868</v>
      </c>
      <c r="M432" s="36">
        <v>31.0</v>
      </c>
      <c r="N432" s="36"/>
      <c r="O432" s="45">
        <v>46118.0</v>
      </c>
      <c r="P432" s="34"/>
      <c r="Q432" s="34"/>
      <c r="R432" s="34"/>
      <c r="S432" s="34"/>
    </row>
    <row r="433" ht="15.75" hidden="1" customHeight="1">
      <c r="B433" s="34">
        <v>46114.0</v>
      </c>
      <c r="C433" s="36">
        <v>4102.0</v>
      </c>
      <c r="D433" s="36">
        <v>45.0</v>
      </c>
      <c r="E433" s="38">
        <v>34.2</v>
      </c>
      <c r="F433" s="38">
        <f t="shared" si="2"/>
        <v>1539</v>
      </c>
      <c r="G433" s="36" t="s">
        <v>2141</v>
      </c>
      <c r="H433" s="36" t="s">
        <v>52</v>
      </c>
      <c r="I433" s="36" t="s">
        <v>174</v>
      </c>
      <c r="J433" s="36" t="s">
        <v>175</v>
      </c>
      <c r="K433" s="36" t="s">
        <v>35</v>
      </c>
      <c r="L433" s="36" t="s">
        <v>46</v>
      </c>
      <c r="M433" s="36">
        <v>31.0</v>
      </c>
      <c r="N433" s="36"/>
      <c r="O433" s="45">
        <v>46121.0</v>
      </c>
      <c r="P433" s="34"/>
      <c r="Q433" s="34"/>
      <c r="R433" s="34"/>
      <c r="S433" s="34"/>
    </row>
    <row r="434" ht="15.0" hidden="1" customHeight="1">
      <c r="B434" s="34">
        <v>46114.0</v>
      </c>
      <c r="C434" s="36">
        <v>4102.0</v>
      </c>
      <c r="D434" s="36">
        <v>15.0</v>
      </c>
      <c r="E434" s="38">
        <v>34.2</v>
      </c>
      <c r="F434" s="38">
        <f t="shared" si="2"/>
        <v>513</v>
      </c>
      <c r="G434" s="36" t="s">
        <v>2141</v>
      </c>
      <c r="H434" s="36" t="s">
        <v>52</v>
      </c>
      <c r="I434" s="36" t="s">
        <v>174</v>
      </c>
      <c r="J434" s="36" t="s">
        <v>40</v>
      </c>
      <c r="K434" s="36" t="s">
        <v>35</v>
      </c>
      <c r="L434" s="36" t="s">
        <v>46</v>
      </c>
      <c r="M434" s="36">
        <v>31.0</v>
      </c>
      <c r="N434" s="36"/>
      <c r="O434" s="45">
        <v>46121.0</v>
      </c>
      <c r="P434" s="34"/>
      <c r="Q434" s="34"/>
      <c r="R434" s="34"/>
      <c r="S434" s="34"/>
    </row>
    <row r="435" ht="15.75" hidden="1" customHeight="1">
      <c r="B435" s="34">
        <v>46114.0</v>
      </c>
      <c r="C435" s="36">
        <v>8103.0</v>
      </c>
      <c r="D435" s="36">
        <v>30.0</v>
      </c>
      <c r="E435" s="38">
        <v>15.3</v>
      </c>
      <c r="F435" s="38">
        <f t="shared" si="2"/>
        <v>459</v>
      </c>
      <c r="G435" s="36" t="s">
        <v>2145</v>
      </c>
      <c r="H435" s="36" t="s">
        <v>2146</v>
      </c>
      <c r="I435" s="36" t="s">
        <v>174</v>
      </c>
      <c r="J435" s="36" t="s">
        <v>175</v>
      </c>
      <c r="K435" s="36" t="s">
        <v>35</v>
      </c>
      <c r="L435" s="36" t="s">
        <v>279</v>
      </c>
      <c r="M435" s="36">
        <v>31.0</v>
      </c>
      <c r="N435" s="36"/>
      <c r="O435" s="45">
        <v>46121.0</v>
      </c>
      <c r="P435" s="34"/>
      <c r="Q435" s="34"/>
      <c r="R435" s="34"/>
      <c r="S435" s="34"/>
    </row>
    <row r="436" ht="15.75" hidden="1" customHeight="1">
      <c r="B436" s="34">
        <v>46114.0</v>
      </c>
      <c r="C436" s="36">
        <v>8103.0</v>
      </c>
      <c r="D436" s="36">
        <v>10.0</v>
      </c>
      <c r="E436" s="38">
        <v>15.3</v>
      </c>
      <c r="F436" s="38">
        <f t="shared" si="2"/>
        <v>153</v>
      </c>
      <c r="G436" s="36" t="s">
        <v>2145</v>
      </c>
      <c r="H436" s="36" t="s">
        <v>2146</v>
      </c>
      <c r="I436" s="36" t="s">
        <v>174</v>
      </c>
      <c r="J436" s="36" t="s">
        <v>40</v>
      </c>
      <c r="K436" s="36" t="s">
        <v>35</v>
      </c>
      <c r="L436" s="36" t="s">
        <v>279</v>
      </c>
      <c r="M436" s="36">
        <v>31.0</v>
      </c>
      <c r="N436" s="36"/>
      <c r="O436" s="45">
        <v>46121.0</v>
      </c>
      <c r="P436" s="34"/>
      <c r="Q436" s="34"/>
      <c r="R436" s="34"/>
      <c r="S436" s="34"/>
    </row>
    <row r="437" ht="15.75" hidden="1" customHeight="1">
      <c r="B437" s="34">
        <v>46114.0</v>
      </c>
      <c r="C437" s="36">
        <v>4110.0</v>
      </c>
      <c r="D437" s="36">
        <v>40.0</v>
      </c>
      <c r="E437" s="38">
        <v>342.0</v>
      </c>
      <c r="F437" s="38">
        <f t="shared" si="2"/>
        <v>13680</v>
      </c>
      <c r="G437" s="36" t="s">
        <v>774</v>
      </c>
      <c r="H437" s="36" t="s">
        <v>775</v>
      </c>
      <c r="I437" s="36" t="s">
        <v>41</v>
      </c>
      <c r="J437" s="36" t="s">
        <v>34</v>
      </c>
      <c r="K437" s="36" t="s">
        <v>35</v>
      </c>
      <c r="L437" s="36" t="s">
        <v>46</v>
      </c>
      <c r="M437" s="36">
        <v>1.0</v>
      </c>
      <c r="N437" s="36"/>
      <c r="O437" s="45">
        <v>46125.0</v>
      </c>
      <c r="P437" s="34"/>
      <c r="Q437" s="34"/>
      <c r="R437" s="34"/>
      <c r="S437" s="34"/>
    </row>
    <row r="438" ht="15.75" hidden="1" customHeight="1">
      <c r="B438" s="34">
        <v>46114.0</v>
      </c>
      <c r="C438" s="36">
        <v>1619.0</v>
      </c>
      <c r="D438" s="36">
        <v>1.0</v>
      </c>
      <c r="E438" s="38">
        <v>1500.0</v>
      </c>
      <c r="F438" s="38">
        <f t="shared" si="2"/>
        <v>1500</v>
      </c>
      <c r="G438" s="36" t="s">
        <v>2154</v>
      </c>
      <c r="H438" s="36" t="s">
        <v>35</v>
      </c>
      <c r="I438" s="36" t="s">
        <v>174</v>
      </c>
      <c r="J438" s="36" t="s">
        <v>175</v>
      </c>
      <c r="K438" s="36" t="s">
        <v>35</v>
      </c>
      <c r="L438" s="36" t="s">
        <v>2156</v>
      </c>
      <c r="M438" s="36">
        <v>31.0</v>
      </c>
      <c r="N438" s="36"/>
      <c r="O438" s="36"/>
      <c r="P438" s="34"/>
      <c r="Q438" s="34"/>
      <c r="R438" s="34"/>
      <c r="S438" s="34"/>
    </row>
    <row r="439" ht="15.75" hidden="1" customHeight="1">
      <c r="B439" s="34">
        <v>46114.0</v>
      </c>
      <c r="C439" s="36">
        <v>1619.0</v>
      </c>
      <c r="D439" s="36">
        <v>1.0</v>
      </c>
      <c r="E439" s="38">
        <v>8000.0</v>
      </c>
      <c r="F439" s="38">
        <f t="shared" si="2"/>
        <v>8000</v>
      </c>
      <c r="G439" s="36" t="s">
        <v>2157</v>
      </c>
      <c r="H439" s="36" t="s">
        <v>35</v>
      </c>
      <c r="I439" s="36" t="s">
        <v>174</v>
      </c>
      <c r="J439" s="36" t="s">
        <v>175</v>
      </c>
      <c r="K439" s="36" t="s">
        <v>35</v>
      </c>
      <c r="L439" s="36" t="s">
        <v>2156</v>
      </c>
      <c r="M439" s="36">
        <v>31.0</v>
      </c>
      <c r="N439" s="36"/>
      <c r="O439" s="36"/>
      <c r="P439" s="34"/>
      <c r="Q439" s="34"/>
      <c r="R439" s="34"/>
      <c r="S439" s="34"/>
    </row>
    <row r="440" ht="15.75" hidden="1" customHeight="1">
      <c r="B440" s="34">
        <v>46114.0</v>
      </c>
      <c r="C440" s="36">
        <v>1019.0</v>
      </c>
      <c r="D440" s="36">
        <v>340.0</v>
      </c>
      <c r="E440" s="38">
        <v>215.0</v>
      </c>
      <c r="F440" s="38">
        <f t="shared" si="2"/>
        <v>73100</v>
      </c>
      <c r="G440" s="36" t="s">
        <v>1772</v>
      </c>
      <c r="H440" s="36" t="s">
        <v>35</v>
      </c>
      <c r="I440" s="36" t="s">
        <v>41</v>
      </c>
      <c r="J440" s="36" t="s">
        <v>40</v>
      </c>
      <c r="K440" s="36" t="s">
        <v>35</v>
      </c>
      <c r="L440" s="36" t="s">
        <v>132</v>
      </c>
      <c r="M440" s="36">
        <v>31.0</v>
      </c>
      <c r="N440" s="36"/>
      <c r="O440" s="36"/>
      <c r="P440" s="34"/>
      <c r="Q440" s="34"/>
      <c r="R440" s="34"/>
      <c r="S440" s="34"/>
    </row>
    <row r="441" ht="15.75" hidden="1" customHeight="1">
      <c r="B441" s="34">
        <v>46114.0</v>
      </c>
      <c r="C441" s="36">
        <v>1020.0</v>
      </c>
      <c r="D441" s="36">
        <v>300.0</v>
      </c>
      <c r="E441" s="38">
        <v>215.0</v>
      </c>
      <c r="F441" s="38">
        <f t="shared" si="2"/>
        <v>64500</v>
      </c>
      <c r="G441" s="35" t="s">
        <v>1124</v>
      </c>
      <c r="H441" s="35" t="s">
        <v>35</v>
      </c>
      <c r="I441" s="36" t="s">
        <v>41</v>
      </c>
      <c r="J441" s="36" t="s">
        <v>40</v>
      </c>
      <c r="K441" s="36" t="s">
        <v>35</v>
      </c>
      <c r="L441" s="36" t="s">
        <v>132</v>
      </c>
      <c r="M441" s="36">
        <v>31.0</v>
      </c>
      <c r="N441" s="36"/>
      <c r="O441" s="36"/>
      <c r="P441" s="34"/>
      <c r="Q441" s="34"/>
      <c r="R441" s="34"/>
      <c r="S441" s="34"/>
    </row>
    <row r="442" ht="15.75" hidden="1" customHeight="1">
      <c r="B442" s="34">
        <v>46114.0</v>
      </c>
      <c r="C442" s="36">
        <v>1020.0</v>
      </c>
      <c r="D442" s="36">
        <v>200.0</v>
      </c>
      <c r="E442" s="38">
        <v>180.0</v>
      </c>
      <c r="F442" s="38">
        <f t="shared" si="2"/>
        <v>36000</v>
      </c>
      <c r="G442" s="35" t="s">
        <v>1130</v>
      </c>
      <c r="H442" s="35" t="s">
        <v>35</v>
      </c>
      <c r="I442" s="36" t="s">
        <v>41</v>
      </c>
      <c r="J442" s="36" t="s">
        <v>40</v>
      </c>
      <c r="K442" s="36" t="s">
        <v>35</v>
      </c>
      <c r="L442" s="36" t="s">
        <v>132</v>
      </c>
      <c r="M442" s="36">
        <v>31.0</v>
      </c>
      <c r="N442" s="36"/>
      <c r="O442" s="45">
        <v>46118.0</v>
      </c>
      <c r="P442" s="34"/>
      <c r="Q442" s="34"/>
      <c r="R442" s="34"/>
      <c r="S442" s="34"/>
    </row>
    <row r="443" ht="15.75" hidden="1" customHeight="1">
      <c r="B443" s="34">
        <v>46114.0</v>
      </c>
      <c r="C443" s="36">
        <v>913196.0</v>
      </c>
      <c r="D443" s="36">
        <v>1000.0</v>
      </c>
      <c r="E443" s="38">
        <v>135.0</v>
      </c>
      <c r="F443" s="38">
        <f t="shared" si="2"/>
        <v>135000</v>
      </c>
      <c r="G443" s="36" t="s">
        <v>1880</v>
      </c>
      <c r="H443" s="36">
        <v>57966.0</v>
      </c>
      <c r="I443" s="36" t="s">
        <v>41</v>
      </c>
      <c r="J443" s="36" t="s">
        <v>40</v>
      </c>
      <c r="K443" s="36" t="s">
        <v>35</v>
      </c>
      <c r="L443" s="36" t="s">
        <v>43</v>
      </c>
      <c r="M443" s="36">
        <v>31.0</v>
      </c>
      <c r="N443" s="36"/>
      <c r="O443" s="45">
        <v>46125.0</v>
      </c>
      <c r="P443" s="34"/>
      <c r="Q443" s="34"/>
      <c r="R443" s="34"/>
      <c r="S443" s="34"/>
    </row>
    <row r="444" ht="15.75" hidden="1" customHeight="1">
      <c r="B444" s="34">
        <v>46114.0</v>
      </c>
      <c r="C444" s="36">
        <v>913196.0</v>
      </c>
      <c r="D444" s="36">
        <v>500.0</v>
      </c>
      <c r="E444" s="38">
        <v>249.0</v>
      </c>
      <c r="F444" s="38">
        <f t="shared" si="2"/>
        <v>124500</v>
      </c>
      <c r="G444" s="36" t="s">
        <v>930</v>
      </c>
      <c r="H444" s="36">
        <v>64508.0</v>
      </c>
      <c r="I444" s="36" t="s">
        <v>41</v>
      </c>
      <c r="J444" s="36" t="s">
        <v>40</v>
      </c>
      <c r="K444" s="36" t="s">
        <v>35</v>
      </c>
      <c r="L444" s="36" t="s">
        <v>43</v>
      </c>
      <c r="M444" s="36">
        <v>31.0</v>
      </c>
      <c r="N444" s="36"/>
      <c r="O444" s="45">
        <v>46125.0</v>
      </c>
      <c r="P444" s="34"/>
      <c r="Q444" s="34"/>
      <c r="R444" s="34"/>
      <c r="S444" s="34"/>
    </row>
    <row r="445" ht="15.75" hidden="1" customHeight="1">
      <c r="B445" s="34">
        <v>46118.0</v>
      </c>
      <c r="C445" s="36">
        <v>10867.0</v>
      </c>
      <c r="D445" s="36">
        <v>60.0</v>
      </c>
      <c r="E445" s="38">
        <v>48.36</v>
      </c>
      <c r="F445" s="38">
        <f t="shared" si="2"/>
        <v>2901.6</v>
      </c>
      <c r="G445" s="36" t="s">
        <v>717</v>
      </c>
      <c r="H445" s="36" t="s">
        <v>718</v>
      </c>
      <c r="I445" s="36" t="s">
        <v>240</v>
      </c>
      <c r="J445" s="36" t="s">
        <v>34</v>
      </c>
      <c r="K445" s="36" t="s">
        <v>35</v>
      </c>
      <c r="L445" s="36" t="s">
        <v>2161</v>
      </c>
      <c r="M445" s="36">
        <v>31.0</v>
      </c>
      <c r="N445" s="36"/>
      <c r="O445" s="45">
        <v>46119.0</v>
      </c>
      <c r="P445" s="34"/>
      <c r="Q445" s="34"/>
      <c r="R445" s="34"/>
      <c r="S445" s="34"/>
    </row>
    <row r="446" ht="15.75" hidden="1" customHeight="1">
      <c r="B446" s="34">
        <v>46118.0</v>
      </c>
      <c r="C446" s="36">
        <v>3315.0</v>
      </c>
      <c r="D446" s="36">
        <v>30.0</v>
      </c>
      <c r="E446" s="38">
        <v>36.0</v>
      </c>
      <c r="F446" s="38">
        <f t="shared" si="2"/>
        <v>1080</v>
      </c>
      <c r="G446" s="36" t="s">
        <v>615</v>
      </c>
      <c r="H446" s="36" t="s">
        <v>908</v>
      </c>
      <c r="I446" s="36" t="s">
        <v>240</v>
      </c>
      <c r="J446" s="36" t="s">
        <v>34</v>
      </c>
      <c r="K446" s="36" t="s">
        <v>35</v>
      </c>
      <c r="L446" s="36" t="s">
        <v>241</v>
      </c>
      <c r="M446" s="36">
        <v>31.0</v>
      </c>
      <c r="N446" s="36"/>
      <c r="O446" s="36"/>
      <c r="P446" s="34"/>
      <c r="Q446" s="34"/>
      <c r="R446" s="34"/>
      <c r="S446" s="34"/>
    </row>
    <row r="447" ht="15.75" hidden="1" customHeight="1">
      <c r="B447" s="34">
        <v>46118.0</v>
      </c>
      <c r="C447" s="36">
        <v>4159.0</v>
      </c>
      <c r="D447" s="36">
        <v>3.0</v>
      </c>
      <c r="E447" s="38">
        <v>423.0</v>
      </c>
      <c r="F447" s="38">
        <f t="shared" si="2"/>
        <v>1269</v>
      </c>
      <c r="G447" s="36" t="s">
        <v>2165</v>
      </c>
      <c r="H447" s="36" t="s">
        <v>2167</v>
      </c>
      <c r="I447" s="36" t="s">
        <v>32</v>
      </c>
      <c r="J447" s="36" t="s">
        <v>34</v>
      </c>
      <c r="K447" s="36" t="s">
        <v>35</v>
      </c>
      <c r="L447" s="36" t="s">
        <v>62</v>
      </c>
      <c r="M447" s="36">
        <v>31.0</v>
      </c>
      <c r="N447" s="36"/>
      <c r="O447" s="45">
        <v>46126.0</v>
      </c>
      <c r="P447" s="34"/>
      <c r="Q447" s="34"/>
      <c r="R447" s="34"/>
      <c r="S447" s="34"/>
    </row>
    <row r="448" ht="15.75" hidden="1" customHeight="1">
      <c r="B448" s="34">
        <v>46118.0</v>
      </c>
      <c r="C448" s="36">
        <v>4159.0</v>
      </c>
      <c r="D448" s="36">
        <v>3.0</v>
      </c>
      <c r="E448" s="38">
        <v>423.0</v>
      </c>
      <c r="F448" s="38">
        <f t="shared" si="2"/>
        <v>1269</v>
      </c>
      <c r="G448" s="36" t="s">
        <v>2165</v>
      </c>
      <c r="H448" s="36" t="s">
        <v>2167</v>
      </c>
      <c r="I448" s="36" t="s">
        <v>32</v>
      </c>
      <c r="J448" s="36" t="s">
        <v>40</v>
      </c>
      <c r="K448" s="36" t="s">
        <v>35</v>
      </c>
      <c r="L448" s="36" t="s">
        <v>62</v>
      </c>
      <c r="M448" s="36">
        <v>31.0</v>
      </c>
      <c r="N448" s="36"/>
      <c r="O448" s="45">
        <v>46126.0</v>
      </c>
      <c r="P448" s="34"/>
      <c r="Q448" s="34"/>
      <c r="R448" s="34"/>
      <c r="S448" s="34"/>
    </row>
    <row r="449" ht="15.75" hidden="1" customHeight="1">
      <c r="B449" s="34">
        <v>46118.0</v>
      </c>
      <c r="C449" s="69" t="s">
        <v>2172</v>
      </c>
      <c r="D449" s="36">
        <v>160.0</v>
      </c>
      <c r="E449" s="38">
        <v>60.5</v>
      </c>
      <c r="F449" s="38">
        <f t="shared" si="2"/>
        <v>9680</v>
      </c>
      <c r="G449" s="36" t="s">
        <v>2173</v>
      </c>
      <c r="H449" s="36" t="s">
        <v>306</v>
      </c>
      <c r="I449" s="36" t="s">
        <v>32</v>
      </c>
      <c r="J449" s="36" t="s">
        <v>34</v>
      </c>
      <c r="K449" s="36" t="s">
        <v>35</v>
      </c>
      <c r="L449" s="36" t="s">
        <v>308</v>
      </c>
      <c r="M449" s="36">
        <v>31.0</v>
      </c>
      <c r="N449" s="36"/>
      <c r="O449" s="45">
        <v>46125.0</v>
      </c>
      <c r="P449" s="34"/>
      <c r="Q449" s="34"/>
      <c r="R449" s="34"/>
      <c r="S449" s="34"/>
    </row>
    <row r="450" ht="15.75" hidden="1" customHeight="1">
      <c r="B450" s="34">
        <v>46118.0</v>
      </c>
      <c r="C450" s="36" t="s">
        <v>35</v>
      </c>
      <c r="D450" s="36">
        <v>174.0</v>
      </c>
      <c r="E450" s="38">
        <v>500.0</v>
      </c>
      <c r="F450" s="38">
        <f t="shared" si="2"/>
        <v>87000</v>
      </c>
      <c r="G450" s="36" t="s">
        <v>2176</v>
      </c>
      <c r="H450" s="36" t="s">
        <v>35</v>
      </c>
      <c r="I450" s="36" t="s">
        <v>32</v>
      </c>
      <c r="J450" s="36" t="s">
        <v>34</v>
      </c>
      <c r="K450" s="36" t="s">
        <v>35</v>
      </c>
      <c r="L450" s="36" t="s">
        <v>314</v>
      </c>
      <c r="M450" s="36">
        <v>31.0</v>
      </c>
      <c r="N450" s="36"/>
      <c r="O450" s="45">
        <v>46120.0</v>
      </c>
      <c r="P450" s="34"/>
      <c r="Q450" s="34"/>
      <c r="R450" s="34"/>
      <c r="S450" s="34"/>
    </row>
    <row r="451" ht="15.75" hidden="1" customHeight="1">
      <c r="B451" s="34">
        <v>46118.0</v>
      </c>
      <c r="C451" s="36">
        <v>229.0</v>
      </c>
      <c r="D451" s="36">
        <v>40.0</v>
      </c>
      <c r="E451" s="38">
        <v>225.0</v>
      </c>
      <c r="F451" s="38">
        <f t="shared" si="2"/>
        <v>9000</v>
      </c>
      <c r="G451" s="36" t="s">
        <v>1136</v>
      </c>
      <c r="H451" s="36">
        <v>115.0</v>
      </c>
      <c r="I451" s="36" t="s">
        <v>32</v>
      </c>
      <c r="J451" s="36" t="s">
        <v>34</v>
      </c>
      <c r="K451" s="36" t="s">
        <v>35</v>
      </c>
      <c r="L451" s="36" t="s">
        <v>515</v>
      </c>
      <c r="M451" s="36">
        <v>31.0</v>
      </c>
      <c r="N451" s="36"/>
      <c r="O451" s="45">
        <v>46122.0</v>
      </c>
      <c r="P451" s="34"/>
      <c r="Q451" s="34"/>
      <c r="R451" s="34"/>
      <c r="S451" s="34"/>
    </row>
    <row r="452" ht="15.75" hidden="1" customHeight="1">
      <c r="B452" s="34">
        <v>46118.0</v>
      </c>
      <c r="C452" s="36" t="s">
        <v>35</v>
      </c>
      <c r="D452" s="36">
        <v>5.0</v>
      </c>
      <c r="E452" s="38">
        <v>130.0</v>
      </c>
      <c r="F452" s="38">
        <f t="shared" si="2"/>
        <v>650</v>
      </c>
      <c r="G452" s="36" t="s">
        <v>1567</v>
      </c>
      <c r="H452" s="36" t="s">
        <v>35</v>
      </c>
      <c r="I452" s="36" t="s">
        <v>673</v>
      </c>
      <c r="J452" s="36" t="s">
        <v>34</v>
      </c>
      <c r="K452" s="36" t="s">
        <v>35</v>
      </c>
      <c r="L452" s="36" t="s">
        <v>810</v>
      </c>
      <c r="M452" s="36">
        <v>31.0</v>
      </c>
      <c r="N452" s="36"/>
      <c r="O452" s="45">
        <v>46120.0</v>
      </c>
      <c r="P452" s="34"/>
      <c r="Q452" s="34"/>
      <c r="R452" s="34"/>
      <c r="S452" s="34"/>
    </row>
    <row r="453" ht="15.75" hidden="1" customHeight="1">
      <c r="B453" s="34">
        <v>46118.0</v>
      </c>
      <c r="C453" s="36" t="s">
        <v>35</v>
      </c>
      <c r="D453" s="36">
        <v>1.0</v>
      </c>
      <c r="E453" s="38">
        <v>1760.0</v>
      </c>
      <c r="F453" s="38">
        <f t="shared" si="2"/>
        <v>1760</v>
      </c>
      <c r="G453" s="36" t="s">
        <v>2180</v>
      </c>
      <c r="H453" s="36" t="s">
        <v>35</v>
      </c>
      <c r="I453" s="36" t="s">
        <v>221</v>
      </c>
      <c r="J453" s="36" t="s">
        <v>34</v>
      </c>
      <c r="K453" s="36" t="s">
        <v>35</v>
      </c>
      <c r="L453" s="36" t="s">
        <v>35</v>
      </c>
      <c r="M453" s="36">
        <v>31.0</v>
      </c>
      <c r="N453" s="36"/>
      <c r="O453" s="36"/>
      <c r="P453" s="34"/>
      <c r="Q453" s="34"/>
      <c r="R453" s="34"/>
      <c r="S453" s="34"/>
    </row>
    <row r="454" ht="15.75" hidden="1" customHeight="1">
      <c r="B454" s="34">
        <v>46118.0</v>
      </c>
      <c r="C454" s="36" t="s">
        <v>35</v>
      </c>
      <c r="D454" s="36">
        <v>2.0</v>
      </c>
      <c r="E454" s="38">
        <v>1921.76</v>
      </c>
      <c r="F454" s="38">
        <f t="shared" si="2"/>
        <v>3843.52</v>
      </c>
      <c r="G454" s="36" t="s">
        <v>2181</v>
      </c>
      <c r="H454" s="36" t="s">
        <v>35</v>
      </c>
      <c r="I454" s="36" t="s">
        <v>221</v>
      </c>
      <c r="J454" s="36" t="s">
        <v>34</v>
      </c>
      <c r="K454" s="36" t="s">
        <v>35</v>
      </c>
      <c r="L454" s="36" t="s">
        <v>1265</v>
      </c>
      <c r="M454" s="36">
        <v>31.0</v>
      </c>
      <c r="N454" s="36"/>
      <c r="O454" s="36"/>
      <c r="P454" s="34"/>
      <c r="Q454" s="34"/>
      <c r="R454" s="34"/>
      <c r="S454" s="34"/>
    </row>
    <row r="455" ht="15.75" hidden="1" customHeight="1">
      <c r="B455" s="34">
        <v>46118.0</v>
      </c>
      <c r="C455" s="36" t="s">
        <v>35</v>
      </c>
      <c r="D455" s="36">
        <v>2.0</v>
      </c>
      <c r="E455" s="38">
        <v>5399.0</v>
      </c>
      <c r="F455" s="38">
        <f t="shared" si="2"/>
        <v>10798</v>
      </c>
      <c r="G455" s="36" t="s">
        <v>2182</v>
      </c>
      <c r="H455" s="36" t="s">
        <v>35</v>
      </c>
      <c r="I455" s="36" t="s">
        <v>221</v>
      </c>
      <c r="J455" s="36" t="s">
        <v>34</v>
      </c>
      <c r="K455" s="36" t="s">
        <v>35</v>
      </c>
      <c r="L455" s="36" t="s">
        <v>1265</v>
      </c>
      <c r="M455" s="36">
        <v>31.0</v>
      </c>
      <c r="N455" s="36"/>
      <c r="O455" s="36"/>
      <c r="P455" s="34"/>
      <c r="Q455" s="34"/>
      <c r="R455" s="34"/>
      <c r="S455" s="34"/>
    </row>
    <row r="456" ht="15.75" hidden="1" customHeight="1">
      <c r="B456" s="34">
        <v>46118.0</v>
      </c>
      <c r="C456" s="36" t="s">
        <v>35</v>
      </c>
      <c r="D456" s="36">
        <v>2.0</v>
      </c>
      <c r="E456" s="38">
        <v>1293.0</v>
      </c>
      <c r="F456" s="38">
        <f t="shared" si="2"/>
        <v>2586</v>
      </c>
      <c r="G456" s="36" t="s">
        <v>2183</v>
      </c>
      <c r="H456" s="36" t="s">
        <v>35</v>
      </c>
      <c r="I456" s="36" t="s">
        <v>221</v>
      </c>
      <c r="J456" s="36" t="s">
        <v>34</v>
      </c>
      <c r="K456" s="36" t="s">
        <v>35</v>
      </c>
      <c r="L456" s="36" t="s">
        <v>1265</v>
      </c>
      <c r="M456" s="36">
        <v>31.0</v>
      </c>
      <c r="N456" s="36"/>
      <c r="O456" s="36"/>
      <c r="P456" s="34"/>
      <c r="Q456" s="34"/>
      <c r="R456" s="34"/>
      <c r="S456" s="34"/>
    </row>
    <row r="457" ht="15.75" hidden="1" customHeight="1">
      <c r="B457" s="34">
        <v>46118.0</v>
      </c>
      <c r="C457" s="36" t="s">
        <v>35</v>
      </c>
      <c r="D457" s="36">
        <v>5.0</v>
      </c>
      <c r="E457" s="38">
        <v>767.0</v>
      </c>
      <c r="F457" s="38">
        <f t="shared" si="2"/>
        <v>3835</v>
      </c>
      <c r="G457" s="36" t="s">
        <v>2185</v>
      </c>
      <c r="H457" s="36" t="s">
        <v>35</v>
      </c>
      <c r="I457" s="36" t="s">
        <v>221</v>
      </c>
      <c r="J457" s="36" t="s">
        <v>34</v>
      </c>
      <c r="K457" s="36" t="s">
        <v>35</v>
      </c>
      <c r="L457" s="36" t="s">
        <v>1265</v>
      </c>
      <c r="M457" s="36">
        <v>31.0</v>
      </c>
      <c r="N457" s="36"/>
      <c r="O457" s="36"/>
      <c r="P457" s="34"/>
      <c r="Q457" s="34"/>
      <c r="R457" s="34"/>
      <c r="S457" s="34"/>
    </row>
    <row r="458" ht="15.75" hidden="1" customHeight="1">
      <c r="B458" s="34">
        <v>46119.0</v>
      </c>
      <c r="C458" s="69" t="s">
        <v>1616</v>
      </c>
      <c r="D458" s="36">
        <v>1000.0</v>
      </c>
      <c r="E458" s="38">
        <v>82.0</v>
      </c>
      <c r="F458" s="38">
        <f t="shared" si="2"/>
        <v>82000</v>
      </c>
      <c r="G458" s="36" t="s">
        <v>2189</v>
      </c>
      <c r="H458" s="36" t="s">
        <v>2190</v>
      </c>
      <c r="I458" s="36" t="s">
        <v>41</v>
      </c>
      <c r="J458" s="36" t="s">
        <v>40</v>
      </c>
      <c r="K458" s="36" t="s">
        <v>35</v>
      </c>
      <c r="L458" s="36" t="s">
        <v>87</v>
      </c>
      <c r="M458" s="36">
        <v>31.0</v>
      </c>
      <c r="N458" s="36"/>
      <c r="O458" s="36"/>
      <c r="P458" s="34"/>
      <c r="Q458" s="34"/>
      <c r="R458" s="34"/>
      <c r="S458" s="34"/>
    </row>
    <row r="459" ht="15.75" hidden="1" customHeight="1">
      <c r="B459" s="34">
        <v>46119.0</v>
      </c>
      <c r="C459" s="36" t="s">
        <v>35</v>
      </c>
      <c r="D459" s="36">
        <v>50.0</v>
      </c>
      <c r="E459" s="38">
        <v>600.0</v>
      </c>
      <c r="F459" s="38">
        <f t="shared" si="2"/>
        <v>30000</v>
      </c>
      <c r="G459" s="36" t="s">
        <v>1211</v>
      </c>
      <c r="H459" s="36" t="s">
        <v>35</v>
      </c>
      <c r="I459" s="36" t="s">
        <v>41</v>
      </c>
      <c r="J459" s="36" t="s">
        <v>34</v>
      </c>
      <c r="K459" s="36" t="s">
        <v>35</v>
      </c>
      <c r="L459" s="36" t="s">
        <v>314</v>
      </c>
      <c r="M459" s="36">
        <v>31.0</v>
      </c>
      <c r="N459" s="36"/>
      <c r="O459" s="45">
        <v>46120.0</v>
      </c>
      <c r="P459" s="34"/>
      <c r="Q459" s="34"/>
      <c r="R459" s="34"/>
      <c r="S459" s="34"/>
    </row>
    <row r="460" ht="15.75" hidden="1" customHeight="1">
      <c r="B460" s="34">
        <v>46119.0</v>
      </c>
      <c r="C460" s="69" t="s">
        <v>2195</v>
      </c>
      <c r="D460" s="36">
        <v>200.0</v>
      </c>
      <c r="E460" s="38">
        <v>270.0</v>
      </c>
      <c r="F460" s="38">
        <f t="shared" si="2"/>
        <v>54000</v>
      </c>
      <c r="G460" s="36" t="s">
        <v>2196</v>
      </c>
      <c r="H460" s="36" t="s">
        <v>2197</v>
      </c>
      <c r="I460" s="36" t="s">
        <v>77</v>
      </c>
      <c r="J460" s="36" t="s">
        <v>79</v>
      </c>
      <c r="K460" s="36" t="s">
        <v>35</v>
      </c>
      <c r="L460" s="36" t="s">
        <v>87</v>
      </c>
      <c r="M460" s="36">
        <v>31.0</v>
      </c>
      <c r="N460" s="36"/>
      <c r="O460" s="36"/>
      <c r="P460" s="34"/>
      <c r="Q460" s="34"/>
      <c r="R460" s="34"/>
      <c r="S460" s="34"/>
    </row>
    <row r="461" ht="15.75" hidden="1" customHeight="1">
      <c r="B461" s="34">
        <v>46119.0</v>
      </c>
      <c r="C461" s="36">
        <v>30157.0</v>
      </c>
      <c r="D461" s="36">
        <v>1200.0</v>
      </c>
      <c r="E461" s="38">
        <v>5.2</v>
      </c>
      <c r="F461" s="38">
        <f t="shared" si="2"/>
        <v>6240</v>
      </c>
      <c r="G461" s="36" t="s">
        <v>2199</v>
      </c>
      <c r="H461" s="36" t="s">
        <v>2201</v>
      </c>
      <c r="I461" s="36" t="s">
        <v>59</v>
      </c>
      <c r="J461" s="36" t="s">
        <v>34</v>
      </c>
      <c r="K461" s="36" t="s">
        <v>35</v>
      </c>
      <c r="L461" s="36" t="s">
        <v>160</v>
      </c>
      <c r="M461" s="36">
        <v>31.0</v>
      </c>
      <c r="N461" s="36"/>
      <c r="O461" s="45">
        <v>46119.0</v>
      </c>
      <c r="P461" s="34"/>
      <c r="Q461" s="34"/>
      <c r="R461" s="34"/>
      <c r="S461" s="34"/>
    </row>
    <row r="462" ht="15.75" hidden="1" customHeight="1">
      <c r="B462" s="34">
        <v>46119.0</v>
      </c>
      <c r="C462" s="36" t="s">
        <v>35</v>
      </c>
      <c r="D462" s="36">
        <v>1.0</v>
      </c>
      <c r="E462" s="38">
        <v>8000.0</v>
      </c>
      <c r="F462" s="38">
        <f t="shared" si="2"/>
        <v>8000</v>
      </c>
      <c r="G462" s="36" t="s">
        <v>2204</v>
      </c>
      <c r="H462" s="36" t="s">
        <v>35</v>
      </c>
      <c r="I462" s="36" t="s">
        <v>221</v>
      </c>
      <c r="J462" s="36" t="s">
        <v>34</v>
      </c>
      <c r="K462" s="36" t="s">
        <v>35</v>
      </c>
      <c r="L462" s="36" t="s">
        <v>35</v>
      </c>
      <c r="M462" s="36">
        <v>31.0</v>
      </c>
      <c r="N462" s="36"/>
      <c r="O462" s="36"/>
      <c r="P462" s="34"/>
      <c r="Q462" s="34"/>
      <c r="R462" s="34"/>
      <c r="S462" s="34"/>
    </row>
    <row r="463" ht="15.75" hidden="1" customHeight="1">
      <c r="B463" s="34">
        <v>46119.0</v>
      </c>
      <c r="C463" s="36">
        <v>1469.0</v>
      </c>
      <c r="D463" s="36">
        <v>1.0</v>
      </c>
      <c r="E463" s="38">
        <v>5808.0</v>
      </c>
      <c r="F463" s="38">
        <f t="shared" si="2"/>
        <v>5808</v>
      </c>
      <c r="G463" s="36" t="s">
        <v>2210</v>
      </c>
      <c r="H463" s="36" t="s">
        <v>2211</v>
      </c>
      <c r="I463" s="36" t="s">
        <v>240</v>
      </c>
      <c r="J463" s="36" t="s">
        <v>34</v>
      </c>
      <c r="K463" s="36" t="s">
        <v>35</v>
      </c>
      <c r="L463" s="36" t="s">
        <v>2212</v>
      </c>
      <c r="M463" s="36">
        <v>31.0</v>
      </c>
      <c r="N463" s="36"/>
      <c r="O463" s="36"/>
      <c r="P463" s="34"/>
      <c r="Q463" s="34"/>
      <c r="R463" s="34"/>
      <c r="S463" s="34"/>
    </row>
    <row r="464" ht="15.75" hidden="1" customHeight="1">
      <c r="B464" s="34">
        <v>46119.0</v>
      </c>
      <c r="C464" s="36">
        <v>1469.0</v>
      </c>
      <c r="D464" s="36">
        <v>1.0</v>
      </c>
      <c r="E464" s="38">
        <v>5808.0</v>
      </c>
      <c r="F464" s="38">
        <f t="shared" si="2"/>
        <v>5808</v>
      </c>
      <c r="G464" s="36" t="s">
        <v>2210</v>
      </c>
      <c r="H464" s="36" t="s">
        <v>2211</v>
      </c>
      <c r="I464" s="36" t="s">
        <v>240</v>
      </c>
      <c r="J464" s="36" t="s">
        <v>183</v>
      </c>
      <c r="K464" s="36" t="s">
        <v>35</v>
      </c>
      <c r="L464" s="36" t="s">
        <v>2212</v>
      </c>
      <c r="M464" s="36">
        <v>31.0</v>
      </c>
      <c r="N464" s="36"/>
      <c r="O464" s="36"/>
      <c r="P464" s="34"/>
      <c r="Q464" s="34"/>
      <c r="R464" s="34"/>
      <c r="S464" s="34"/>
    </row>
    <row r="465" ht="15.75" hidden="1" customHeight="1">
      <c r="B465" s="34">
        <v>46119.0</v>
      </c>
      <c r="C465" s="69" t="s">
        <v>2215</v>
      </c>
      <c r="D465" s="36">
        <v>40.0</v>
      </c>
      <c r="E465" s="38">
        <v>260.0</v>
      </c>
      <c r="F465" s="38">
        <f t="shared" si="2"/>
        <v>10400</v>
      </c>
      <c r="G465" s="36" t="s">
        <v>2216</v>
      </c>
      <c r="H465" s="36" t="s">
        <v>287</v>
      </c>
      <c r="I465" s="36" t="s">
        <v>41</v>
      </c>
      <c r="J465" s="36" t="s">
        <v>34</v>
      </c>
      <c r="K465" s="36" t="s">
        <v>35</v>
      </c>
      <c r="L465" s="36" t="s">
        <v>87</v>
      </c>
      <c r="M465" s="36">
        <v>31.0</v>
      </c>
      <c r="N465" s="36"/>
      <c r="O465" s="36"/>
      <c r="P465" s="34"/>
      <c r="Q465" s="34"/>
      <c r="R465" s="34"/>
      <c r="S465" s="34"/>
    </row>
    <row r="466" ht="15.75" hidden="1" customHeight="1">
      <c r="B466" s="34">
        <v>46119.0</v>
      </c>
      <c r="C466" s="36" t="s">
        <v>35</v>
      </c>
      <c r="D466" s="36">
        <v>220.0</v>
      </c>
      <c r="E466" s="38">
        <v>500.0</v>
      </c>
      <c r="F466" s="38">
        <f t="shared" si="2"/>
        <v>110000</v>
      </c>
      <c r="G466" s="36" t="s">
        <v>2218</v>
      </c>
      <c r="H466" s="36" t="s">
        <v>35</v>
      </c>
      <c r="I466" s="36" t="s">
        <v>32</v>
      </c>
      <c r="J466" s="36" t="s">
        <v>34</v>
      </c>
      <c r="K466" s="36" t="s">
        <v>35</v>
      </c>
      <c r="L466" s="36" t="s">
        <v>314</v>
      </c>
      <c r="M466" s="36">
        <v>31.0</v>
      </c>
      <c r="N466" s="36"/>
      <c r="O466" s="45">
        <v>46120.0</v>
      </c>
      <c r="P466" s="34"/>
      <c r="Q466" s="34"/>
      <c r="R466" s="34"/>
      <c r="S466" s="34"/>
    </row>
    <row r="467" ht="15.75" hidden="1" customHeight="1">
      <c r="B467" s="34">
        <v>46119.0</v>
      </c>
      <c r="C467" s="69" t="s">
        <v>2219</v>
      </c>
      <c r="D467" s="36">
        <v>20.0</v>
      </c>
      <c r="E467" s="38">
        <v>85.0</v>
      </c>
      <c r="F467" s="38">
        <f t="shared" si="2"/>
        <v>1700</v>
      </c>
      <c r="G467" s="36" t="s">
        <v>2220</v>
      </c>
      <c r="H467" s="36" t="s">
        <v>2190</v>
      </c>
      <c r="I467" s="36" t="s">
        <v>59</v>
      </c>
      <c r="J467" s="36" t="s">
        <v>34</v>
      </c>
      <c r="K467" s="36" t="s">
        <v>35</v>
      </c>
      <c r="L467" s="36" t="s">
        <v>87</v>
      </c>
      <c r="M467" s="36">
        <v>31.0</v>
      </c>
      <c r="N467" s="36"/>
      <c r="O467" s="36"/>
      <c r="P467" s="34"/>
      <c r="Q467" s="34"/>
      <c r="R467" s="34"/>
      <c r="S467" s="34"/>
    </row>
    <row r="468" ht="15.75" hidden="1" customHeight="1">
      <c r="B468" s="34">
        <v>46119.0</v>
      </c>
      <c r="C468" s="46" t="s">
        <v>2221</v>
      </c>
      <c r="D468" s="36">
        <v>205.0</v>
      </c>
      <c r="E468" s="38">
        <v>60.4</v>
      </c>
      <c r="F468" s="38">
        <f t="shared" si="2"/>
        <v>12382</v>
      </c>
      <c r="G468" s="36" t="s">
        <v>2224</v>
      </c>
      <c r="H468" s="36" t="s">
        <v>2225</v>
      </c>
      <c r="I468" s="36" t="s">
        <v>300</v>
      </c>
      <c r="J468" s="36" t="s">
        <v>34</v>
      </c>
      <c r="K468" s="36" t="s">
        <v>35</v>
      </c>
      <c r="L468" s="36" t="s">
        <v>151</v>
      </c>
      <c r="M468" s="36">
        <v>31.0</v>
      </c>
      <c r="N468" s="36"/>
      <c r="O468" s="36"/>
      <c r="P468" s="34"/>
      <c r="Q468" s="34"/>
      <c r="R468" s="34"/>
      <c r="S468" s="34"/>
    </row>
    <row r="469" ht="15.75" hidden="1" customHeight="1">
      <c r="B469" s="34">
        <v>46119.0</v>
      </c>
      <c r="C469" s="46" t="s">
        <v>2221</v>
      </c>
      <c r="D469" s="36">
        <v>205.0</v>
      </c>
      <c r="E469" s="38">
        <v>10.0</v>
      </c>
      <c r="F469" s="38">
        <f t="shared" si="2"/>
        <v>2050</v>
      </c>
      <c r="G469" s="36" t="s">
        <v>2224</v>
      </c>
      <c r="H469" s="36" t="s">
        <v>2226</v>
      </c>
      <c r="I469" s="36" t="s">
        <v>300</v>
      </c>
      <c r="J469" s="36" t="s">
        <v>34</v>
      </c>
      <c r="K469" s="36" t="s">
        <v>35</v>
      </c>
      <c r="L469" s="36" t="s">
        <v>151</v>
      </c>
      <c r="M469" s="36">
        <v>31.0</v>
      </c>
      <c r="N469" s="36"/>
      <c r="O469" s="36"/>
      <c r="P469" s="34"/>
      <c r="Q469" s="34"/>
      <c r="R469" s="34"/>
      <c r="S469" s="34"/>
    </row>
    <row r="470" ht="15.75" hidden="1" customHeight="1">
      <c r="B470" s="34">
        <v>46120.0</v>
      </c>
      <c r="C470" s="36">
        <v>8004.0</v>
      </c>
      <c r="D470" s="36">
        <v>2.0</v>
      </c>
      <c r="E470" s="38">
        <v>690.12</v>
      </c>
      <c r="F470" s="38">
        <f t="shared" si="2"/>
        <v>1380.24</v>
      </c>
      <c r="G470" s="36" t="s">
        <v>2227</v>
      </c>
      <c r="H470" s="36" t="s">
        <v>2230</v>
      </c>
      <c r="I470" s="36" t="s">
        <v>41</v>
      </c>
      <c r="J470" s="36" t="s">
        <v>34</v>
      </c>
      <c r="K470" s="36" t="s">
        <v>35</v>
      </c>
      <c r="L470" s="36" t="s">
        <v>2232</v>
      </c>
      <c r="M470" s="36">
        <v>31.0</v>
      </c>
      <c r="N470" s="36"/>
      <c r="O470" s="36"/>
      <c r="P470" s="34"/>
      <c r="Q470" s="34"/>
      <c r="R470" s="34"/>
      <c r="S470" s="34"/>
    </row>
    <row r="471" ht="15.75" hidden="1" customHeight="1">
      <c r="B471" s="34">
        <v>46120.0</v>
      </c>
      <c r="C471" s="36">
        <v>8004.0</v>
      </c>
      <c r="D471" s="36">
        <v>2.0</v>
      </c>
      <c r="E471" s="38">
        <v>690.12</v>
      </c>
      <c r="F471" s="38">
        <f t="shared" si="2"/>
        <v>1380.24</v>
      </c>
      <c r="G471" s="36" t="s">
        <v>2227</v>
      </c>
      <c r="H471" s="36" t="s">
        <v>2230</v>
      </c>
      <c r="I471" s="36" t="s">
        <v>41</v>
      </c>
      <c r="J471" s="36" t="s">
        <v>40</v>
      </c>
      <c r="K471" s="36" t="s">
        <v>35</v>
      </c>
      <c r="L471" s="36" t="s">
        <v>2232</v>
      </c>
      <c r="M471" s="36">
        <v>31.0</v>
      </c>
      <c r="N471" s="36"/>
      <c r="O471" s="36"/>
      <c r="P471" s="34"/>
      <c r="Q471" s="34"/>
      <c r="R471" s="34"/>
      <c r="S471" s="34"/>
    </row>
    <row r="472" ht="15.75" hidden="1" customHeight="1">
      <c r="B472" s="34">
        <v>46120.0</v>
      </c>
      <c r="C472" s="36">
        <v>11920.0</v>
      </c>
      <c r="D472" s="36">
        <v>20.0</v>
      </c>
      <c r="E472" s="38">
        <v>43.9</v>
      </c>
      <c r="F472" s="38">
        <f t="shared" si="2"/>
        <v>878</v>
      </c>
      <c r="G472" s="36" t="s">
        <v>2235</v>
      </c>
      <c r="H472" s="36" t="s">
        <v>2236</v>
      </c>
      <c r="I472" s="36" t="s">
        <v>32</v>
      </c>
      <c r="J472" s="36" t="s">
        <v>34</v>
      </c>
      <c r="K472" s="36" t="s">
        <v>35</v>
      </c>
      <c r="L472" s="36" t="s">
        <v>96</v>
      </c>
      <c r="M472" s="36">
        <v>1.0</v>
      </c>
      <c r="N472" s="36"/>
      <c r="O472" s="45">
        <v>46122.0</v>
      </c>
      <c r="P472" s="34"/>
      <c r="Q472" s="34"/>
      <c r="R472" s="34"/>
      <c r="S472" s="34"/>
    </row>
    <row r="473" ht="15.75" hidden="1" customHeight="1">
      <c r="B473" s="34">
        <v>46120.0</v>
      </c>
      <c r="C473" s="36">
        <v>11937.0</v>
      </c>
      <c r="D473" s="36">
        <v>20.0</v>
      </c>
      <c r="E473" s="38">
        <v>79.9</v>
      </c>
      <c r="F473" s="38">
        <f t="shared" si="2"/>
        <v>1598</v>
      </c>
      <c r="G473" s="36" t="s">
        <v>416</v>
      </c>
      <c r="H473" s="36" t="s">
        <v>545</v>
      </c>
      <c r="I473" s="36" t="s">
        <v>32</v>
      </c>
      <c r="J473" s="36" t="s">
        <v>34</v>
      </c>
      <c r="K473" s="36" t="s">
        <v>35</v>
      </c>
      <c r="L473" s="36" t="s">
        <v>96</v>
      </c>
      <c r="M473" s="36">
        <v>1.0</v>
      </c>
      <c r="N473" s="36"/>
      <c r="O473" s="45">
        <v>46122.0</v>
      </c>
      <c r="P473" s="34"/>
      <c r="Q473" s="34"/>
      <c r="R473" s="34"/>
      <c r="S473" s="34"/>
    </row>
    <row r="474" ht="15.75" hidden="1" customHeight="1">
      <c r="B474" s="34">
        <v>46120.0</v>
      </c>
      <c r="C474" s="59">
        <v>786080.0</v>
      </c>
      <c r="D474" s="36">
        <v>163.0</v>
      </c>
      <c r="E474" s="38">
        <v>535.8196</v>
      </c>
      <c r="F474" s="38">
        <f t="shared" si="2"/>
        <v>87338.5948</v>
      </c>
      <c r="G474" s="36" t="s">
        <v>2243</v>
      </c>
      <c r="H474" s="36" t="s">
        <v>2244</v>
      </c>
      <c r="I474" s="36" t="s">
        <v>174</v>
      </c>
      <c r="J474" s="36" t="s">
        <v>175</v>
      </c>
      <c r="K474" s="36" t="s">
        <v>35</v>
      </c>
      <c r="L474" s="36" t="s">
        <v>68</v>
      </c>
      <c r="M474" s="36">
        <v>31.0</v>
      </c>
      <c r="N474" s="36"/>
      <c r="O474" s="44">
        <v>46134.0</v>
      </c>
      <c r="P474" s="34"/>
      <c r="Q474" s="34"/>
      <c r="R474" s="34"/>
      <c r="S474" s="34"/>
    </row>
    <row r="475" ht="15.75" hidden="1" customHeight="1">
      <c r="B475" s="34">
        <v>46120.0</v>
      </c>
      <c r="C475" s="36">
        <v>238667.0</v>
      </c>
      <c r="D475" s="36">
        <v>120.0</v>
      </c>
      <c r="E475" s="38">
        <v>31.25</v>
      </c>
      <c r="F475" s="38">
        <f t="shared" si="2"/>
        <v>3750</v>
      </c>
      <c r="G475" s="36" t="s">
        <v>2247</v>
      </c>
      <c r="H475" s="69" t="s">
        <v>2248</v>
      </c>
      <c r="I475" s="36" t="s">
        <v>300</v>
      </c>
      <c r="J475" s="36" t="s">
        <v>34</v>
      </c>
      <c r="K475" s="36" t="s">
        <v>35</v>
      </c>
      <c r="L475" s="36" t="s">
        <v>526</v>
      </c>
      <c r="M475" s="36">
        <v>31.0</v>
      </c>
      <c r="N475" s="36"/>
      <c r="O475" s="36"/>
      <c r="P475" s="34"/>
      <c r="Q475" s="34"/>
      <c r="R475" s="34"/>
      <c r="S475" s="34"/>
    </row>
    <row r="476" ht="15.75" hidden="1" customHeight="1">
      <c r="B476" s="34">
        <v>46120.0</v>
      </c>
      <c r="C476" s="36" t="s">
        <v>35</v>
      </c>
      <c r="D476" s="36">
        <v>1.0</v>
      </c>
      <c r="E476" s="38">
        <v>1100.0</v>
      </c>
      <c r="F476" s="38">
        <f t="shared" si="2"/>
        <v>1100</v>
      </c>
      <c r="G476" s="36" t="s">
        <v>2252</v>
      </c>
      <c r="H476" s="36" t="s">
        <v>35</v>
      </c>
      <c r="I476" s="36" t="s">
        <v>673</v>
      </c>
      <c r="J476" s="36" t="s">
        <v>175</v>
      </c>
      <c r="K476" s="36" t="s">
        <v>35</v>
      </c>
      <c r="L476" s="36" t="s">
        <v>810</v>
      </c>
      <c r="M476" s="36">
        <v>31.0</v>
      </c>
      <c r="N476" s="36"/>
      <c r="O476" s="36"/>
      <c r="P476" s="34"/>
      <c r="Q476" s="34"/>
      <c r="R476" s="34"/>
      <c r="S476" s="34"/>
    </row>
    <row r="477" ht="15.75" hidden="1" customHeight="1">
      <c r="B477" s="34">
        <v>46120.0</v>
      </c>
      <c r="C477" s="69" t="s">
        <v>2253</v>
      </c>
      <c r="D477" s="36">
        <v>966.0</v>
      </c>
      <c r="E477" s="38">
        <v>219.0</v>
      </c>
      <c r="F477" s="38">
        <f t="shared" si="2"/>
        <v>211554</v>
      </c>
      <c r="G477" s="36" t="s">
        <v>2254</v>
      </c>
      <c r="H477" s="36" t="s">
        <v>2255</v>
      </c>
      <c r="I477" s="36" t="s">
        <v>32</v>
      </c>
      <c r="J477" s="36" t="s">
        <v>40</v>
      </c>
      <c r="K477" s="36" t="s">
        <v>35</v>
      </c>
      <c r="L477" s="36" t="s">
        <v>2256</v>
      </c>
      <c r="M477" s="36">
        <v>31.0</v>
      </c>
      <c r="N477" s="36"/>
      <c r="O477" s="45">
        <v>46126.0</v>
      </c>
      <c r="P477" s="34"/>
      <c r="Q477" s="34"/>
      <c r="R477" s="34"/>
      <c r="S477" s="34"/>
    </row>
    <row r="478" ht="15.75" hidden="1" customHeight="1">
      <c r="B478" s="34">
        <v>46120.0</v>
      </c>
      <c r="C478" s="69" t="s">
        <v>2253</v>
      </c>
      <c r="D478" s="36">
        <v>200.0</v>
      </c>
      <c r="E478" s="38">
        <v>391.0</v>
      </c>
      <c r="F478" s="38">
        <f t="shared" si="2"/>
        <v>78200</v>
      </c>
      <c r="G478" s="36" t="s">
        <v>2258</v>
      </c>
      <c r="H478" s="36" t="s">
        <v>2259</v>
      </c>
      <c r="I478" s="36" t="s">
        <v>32</v>
      </c>
      <c r="J478" s="36" t="s">
        <v>40</v>
      </c>
      <c r="K478" s="36" t="s">
        <v>35</v>
      </c>
      <c r="L478" s="36" t="s">
        <v>2256</v>
      </c>
      <c r="M478" s="36">
        <v>31.0</v>
      </c>
      <c r="N478" s="36"/>
      <c r="O478" s="45">
        <v>46128.0</v>
      </c>
      <c r="P478" s="34"/>
      <c r="Q478" s="34"/>
      <c r="R478" s="34"/>
      <c r="S478" s="34"/>
    </row>
    <row r="479" ht="15.75" hidden="1" customHeight="1">
      <c r="B479" s="34">
        <v>46120.0</v>
      </c>
      <c r="C479" s="36" t="s">
        <v>35</v>
      </c>
      <c r="D479" s="36">
        <v>100.0</v>
      </c>
      <c r="E479" s="38">
        <v>120.0</v>
      </c>
      <c r="F479" s="38">
        <f t="shared" si="2"/>
        <v>12000</v>
      </c>
      <c r="G479" s="36" t="s">
        <v>2260</v>
      </c>
      <c r="H479" s="36" t="s">
        <v>35</v>
      </c>
      <c r="I479" s="36" t="s">
        <v>300</v>
      </c>
      <c r="J479" s="36" t="s">
        <v>34</v>
      </c>
      <c r="K479" s="36" t="s">
        <v>35</v>
      </c>
      <c r="L479" s="36" t="s">
        <v>799</v>
      </c>
      <c r="M479" s="36">
        <v>31.0</v>
      </c>
      <c r="N479" s="36"/>
      <c r="O479" s="45">
        <v>46121.0</v>
      </c>
      <c r="P479" s="34"/>
      <c r="Q479" s="34"/>
      <c r="R479" s="34"/>
      <c r="S479" s="34"/>
    </row>
    <row r="480" ht="15.75" hidden="1" customHeight="1">
      <c r="B480" s="34">
        <v>46121.0</v>
      </c>
      <c r="C480" s="36">
        <v>30201.0</v>
      </c>
      <c r="D480" s="36">
        <v>300.0</v>
      </c>
      <c r="E480" s="38">
        <v>5.2</v>
      </c>
      <c r="F480" s="38">
        <f t="shared" si="2"/>
        <v>1560</v>
      </c>
      <c r="G480" s="36" t="s">
        <v>2199</v>
      </c>
      <c r="H480" s="36" t="s">
        <v>2201</v>
      </c>
      <c r="I480" s="36" t="s">
        <v>41</v>
      </c>
      <c r="J480" s="36" t="s">
        <v>34</v>
      </c>
      <c r="K480" s="36" t="s">
        <v>35</v>
      </c>
      <c r="L480" s="36" t="s">
        <v>160</v>
      </c>
      <c r="M480" s="36">
        <v>1.0</v>
      </c>
      <c r="N480" s="36"/>
      <c r="O480" s="45">
        <v>46128.0</v>
      </c>
      <c r="P480" s="34"/>
      <c r="Q480" s="34"/>
      <c r="R480" s="34"/>
      <c r="S480" s="34"/>
    </row>
    <row r="481" ht="15.75" hidden="1" customHeight="1">
      <c r="B481" s="34">
        <v>46121.0</v>
      </c>
      <c r="C481" s="36">
        <v>12163.0</v>
      </c>
      <c r="D481" s="36">
        <v>30.0</v>
      </c>
      <c r="E481" s="38">
        <v>79.9</v>
      </c>
      <c r="F481" s="38">
        <f t="shared" si="2"/>
        <v>2397</v>
      </c>
      <c r="G481" s="36" t="s">
        <v>2262</v>
      </c>
      <c r="H481" s="36" t="s">
        <v>2263</v>
      </c>
      <c r="I481" s="36" t="s">
        <v>41</v>
      </c>
      <c r="J481" s="36" t="s">
        <v>34</v>
      </c>
      <c r="K481" s="36" t="s">
        <v>35</v>
      </c>
      <c r="L481" s="36" t="s">
        <v>96</v>
      </c>
      <c r="M481" s="36">
        <v>31.0</v>
      </c>
      <c r="N481" s="36"/>
      <c r="O481" s="45">
        <v>46122.0</v>
      </c>
      <c r="P481" s="34"/>
      <c r="Q481" s="34"/>
      <c r="R481" s="34"/>
      <c r="S481" s="34"/>
    </row>
    <row r="482" ht="15.75" hidden="1" customHeight="1">
      <c r="B482" s="34">
        <v>46121.0</v>
      </c>
      <c r="C482" s="36">
        <v>12163.0</v>
      </c>
      <c r="D482" s="36">
        <v>30.0</v>
      </c>
      <c r="E482" s="38">
        <v>89.9</v>
      </c>
      <c r="F482" s="38">
        <f t="shared" si="2"/>
        <v>2697</v>
      </c>
      <c r="G482" s="36" t="s">
        <v>918</v>
      </c>
      <c r="H482" s="36" t="s">
        <v>512</v>
      </c>
      <c r="I482" s="36" t="s">
        <v>41</v>
      </c>
      <c r="J482" s="36" t="s">
        <v>34</v>
      </c>
      <c r="K482" s="36" t="s">
        <v>35</v>
      </c>
      <c r="L482" s="36" t="s">
        <v>96</v>
      </c>
      <c r="M482" s="36">
        <v>31.0</v>
      </c>
      <c r="N482" s="36"/>
      <c r="O482" s="45">
        <v>46122.0</v>
      </c>
      <c r="P482" s="34"/>
      <c r="Q482" s="34"/>
      <c r="R482" s="34"/>
      <c r="S482" s="34"/>
    </row>
    <row r="483" ht="15.75" hidden="1" customHeight="1">
      <c r="B483" s="34">
        <v>46121.0</v>
      </c>
      <c r="C483" s="36">
        <v>12163.0</v>
      </c>
      <c r="D483" s="36">
        <v>100.0</v>
      </c>
      <c r="E483" s="38">
        <v>79.9</v>
      </c>
      <c r="F483" s="38">
        <f t="shared" si="2"/>
        <v>7990</v>
      </c>
      <c r="G483" s="36" t="s">
        <v>2270</v>
      </c>
      <c r="H483" s="36" t="s">
        <v>517</v>
      </c>
      <c r="I483" s="36" t="s">
        <v>41</v>
      </c>
      <c r="J483" s="36" t="s">
        <v>34</v>
      </c>
      <c r="K483" s="36" t="s">
        <v>35</v>
      </c>
      <c r="L483" s="36" t="s">
        <v>96</v>
      </c>
      <c r="M483" s="36">
        <v>31.0</v>
      </c>
      <c r="N483" s="36"/>
      <c r="O483" s="45">
        <v>46122.0</v>
      </c>
      <c r="P483" s="34"/>
      <c r="Q483" s="34"/>
      <c r="R483" s="34"/>
      <c r="S483" s="34"/>
    </row>
    <row r="484" ht="15.75" hidden="1" customHeight="1">
      <c r="B484" s="34">
        <v>46121.0</v>
      </c>
      <c r="C484" s="36">
        <v>12163.0</v>
      </c>
      <c r="D484" s="36">
        <v>40.0</v>
      </c>
      <c r="E484" s="38">
        <v>149.9</v>
      </c>
      <c r="F484" s="38">
        <f t="shared" si="2"/>
        <v>5996</v>
      </c>
      <c r="G484" s="36" t="s">
        <v>2273</v>
      </c>
      <c r="H484" s="36" t="s">
        <v>529</v>
      </c>
      <c r="I484" s="36" t="s">
        <v>41</v>
      </c>
      <c r="J484" s="36" t="s">
        <v>34</v>
      </c>
      <c r="K484" s="36" t="s">
        <v>35</v>
      </c>
      <c r="L484" s="36" t="s">
        <v>96</v>
      </c>
      <c r="M484" s="36">
        <v>31.0</v>
      </c>
      <c r="N484" s="36"/>
      <c r="O484" s="45">
        <v>46122.0</v>
      </c>
      <c r="P484" s="34"/>
      <c r="Q484" s="34"/>
      <c r="R484" s="34"/>
      <c r="S484" s="34"/>
    </row>
    <row r="485" ht="15.75" hidden="1" customHeight="1">
      <c r="B485" s="34">
        <v>46121.0</v>
      </c>
      <c r="C485" s="36">
        <v>12163.0</v>
      </c>
      <c r="D485" s="36">
        <v>60.0</v>
      </c>
      <c r="E485" s="38">
        <v>79.9</v>
      </c>
      <c r="F485" s="38">
        <f t="shared" si="2"/>
        <v>4794</v>
      </c>
      <c r="G485" s="36" t="s">
        <v>2276</v>
      </c>
      <c r="H485" s="36" t="s">
        <v>2277</v>
      </c>
      <c r="I485" s="36" t="s">
        <v>41</v>
      </c>
      <c r="J485" s="36" t="s">
        <v>34</v>
      </c>
      <c r="K485" s="36" t="s">
        <v>35</v>
      </c>
      <c r="L485" s="36" t="s">
        <v>96</v>
      </c>
      <c r="M485" s="36">
        <v>31.0</v>
      </c>
      <c r="N485" s="36"/>
      <c r="O485" s="45">
        <v>46122.0</v>
      </c>
      <c r="P485" s="34"/>
      <c r="Q485" s="34"/>
      <c r="R485" s="34"/>
      <c r="S485" s="34"/>
    </row>
    <row r="486" ht="15.75" hidden="1" customHeight="1">
      <c r="B486" s="34">
        <v>46121.0</v>
      </c>
      <c r="C486" s="36">
        <v>12163.0</v>
      </c>
      <c r="D486" s="36">
        <v>30.0</v>
      </c>
      <c r="E486" s="38">
        <v>129.9</v>
      </c>
      <c r="F486" s="38">
        <f t="shared" si="2"/>
        <v>3897</v>
      </c>
      <c r="G486" s="36" t="s">
        <v>2279</v>
      </c>
      <c r="H486" s="36" t="s">
        <v>523</v>
      </c>
      <c r="I486" s="36" t="s">
        <v>41</v>
      </c>
      <c r="J486" s="36" t="s">
        <v>34</v>
      </c>
      <c r="K486" s="36" t="s">
        <v>35</v>
      </c>
      <c r="L486" s="36" t="s">
        <v>96</v>
      </c>
      <c r="M486" s="36">
        <v>31.0</v>
      </c>
      <c r="N486" s="36"/>
      <c r="O486" s="45">
        <v>46122.0</v>
      </c>
      <c r="P486" s="34"/>
      <c r="Q486" s="34"/>
      <c r="R486" s="34"/>
      <c r="S486" s="34"/>
    </row>
    <row r="487" ht="15.75" hidden="1" customHeight="1">
      <c r="B487" s="34">
        <v>46121.0</v>
      </c>
      <c r="C487" s="36">
        <v>12163.0</v>
      </c>
      <c r="D487" s="36">
        <v>48.0</v>
      </c>
      <c r="E487" s="38">
        <v>67.9</v>
      </c>
      <c r="F487" s="38">
        <f t="shared" si="2"/>
        <v>3259.2</v>
      </c>
      <c r="G487" s="36" t="s">
        <v>2283</v>
      </c>
      <c r="H487" s="36" t="s">
        <v>2284</v>
      </c>
      <c r="I487" s="36" t="s">
        <v>41</v>
      </c>
      <c r="J487" s="36" t="s">
        <v>34</v>
      </c>
      <c r="K487" s="36" t="s">
        <v>35</v>
      </c>
      <c r="L487" s="36" t="s">
        <v>96</v>
      </c>
      <c r="M487" s="36">
        <v>31.0</v>
      </c>
      <c r="N487" s="36"/>
      <c r="O487" s="45">
        <v>46122.0</v>
      </c>
      <c r="P487" s="34"/>
      <c r="Q487" s="34"/>
      <c r="R487" s="34"/>
      <c r="S487" s="34"/>
    </row>
    <row r="488" ht="15.75" hidden="1" customHeight="1">
      <c r="B488" s="34">
        <v>46121.0</v>
      </c>
      <c r="C488" s="36">
        <v>12163.0</v>
      </c>
      <c r="D488" s="36">
        <v>2.0</v>
      </c>
      <c r="E488" s="38">
        <v>349.9</v>
      </c>
      <c r="F488" s="38">
        <f t="shared" si="2"/>
        <v>699.8</v>
      </c>
      <c r="G488" s="36" t="s">
        <v>537</v>
      </c>
      <c r="H488" s="36" t="s">
        <v>224</v>
      </c>
      <c r="I488" s="36" t="s">
        <v>41</v>
      </c>
      <c r="J488" s="36" t="s">
        <v>34</v>
      </c>
      <c r="K488" s="36" t="s">
        <v>35</v>
      </c>
      <c r="L488" s="36" t="s">
        <v>96</v>
      </c>
      <c r="M488" s="36">
        <v>31.0</v>
      </c>
      <c r="N488" s="36"/>
      <c r="O488" s="45">
        <v>46122.0</v>
      </c>
      <c r="P488" s="34"/>
      <c r="Q488" s="34"/>
      <c r="R488" s="34"/>
      <c r="S488" s="34"/>
    </row>
    <row r="489" ht="15.75" hidden="1" customHeight="1">
      <c r="B489" s="34">
        <v>46121.0</v>
      </c>
      <c r="C489" s="36">
        <v>12163.0</v>
      </c>
      <c r="D489" s="36">
        <v>6.0</v>
      </c>
      <c r="E489" s="38">
        <v>329.9</v>
      </c>
      <c r="F489" s="38">
        <f t="shared" si="2"/>
        <v>1979.4</v>
      </c>
      <c r="G489" s="36" t="s">
        <v>2290</v>
      </c>
      <c r="H489" s="36" t="s">
        <v>2187</v>
      </c>
      <c r="I489" s="36" t="s">
        <v>41</v>
      </c>
      <c r="J489" s="36" t="s">
        <v>34</v>
      </c>
      <c r="K489" s="36" t="s">
        <v>35</v>
      </c>
      <c r="L489" s="36" t="s">
        <v>96</v>
      </c>
      <c r="M489" s="36">
        <v>31.0</v>
      </c>
      <c r="N489" s="36"/>
      <c r="O489" s="45">
        <v>46122.0</v>
      </c>
      <c r="P489" s="34"/>
      <c r="Q489" s="34"/>
      <c r="R489" s="34"/>
      <c r="S489" s="34"/>
    </row>
    <row r="490" ht="15.75" hidden="1" customHeight="1">
      <c r="B490" s="34">
        <v>46121.0</v>
      </c>
      <c r="C490" s="36">
        <v>12163.0</v>
      </c>
      <c r="D490" s="36">
        <v>6.0</v>
      </c>
      <c r="E490" s="38">
        <v>139.9</v>
      </c>
      <c r="F490" s="38">
        <f t="shared" si="2"/>
        <v>839.4</v>
      </c>
      <c r="G490" s="36" t="s">
        <v>2295</v>
      </c>
      <c r="H490" s="36" t="s">
        <v>546</v>
      </c>
      <c r="I490" s="36" t="s">
        <v>41</v>
      </c>
      <c r="J490" s="36" t="s">
        <v>34</v>
      </c>
      <c r="K490" s="36" t="s">
        <v>35</v>
      </c>
      <c r="L490" s="36" t="s">
        <v>96</v>
      </c>
      <c r="M490" s="36">
        <v>31.0</v>
      </c>
      <c r="N490" s="36"/>
      <c r="O490" s="45">
        <v>46122.0</v>
      </c>
      <c r="P490" s="34"/>
      <c r="Q490" s="34"/>
      <c r="R490" s="34"/>
      <c r="S490" s="34"/>
    </row>
    <row r="491" ht="15.75" hidden="1" customHeight="1">
      <c r="B491" s="34">
        <v>46121.0</v>
      </c>
      <c r="C491" s="36" t="s">
        <v>35</v>
      </c>
      <c r="D491" s="36">
        <v>400.0</v>
      </c>
      <c r="E491" s="38">
        <v>85.0</v>
      </c>
      <c r="F491" s="38">
        <f t="shared" si="2"/>
        <v>34000</v>
      </c>
      <c r="G491" s="36" t="s">
        <v>2300</v>
      </c>
      <c r="H491" s="36" t="s">
        <v>35</v>
      </c>
      <c r="I491" s="36" t="s">
        <v>32</v>
      </c>
      <c r="J491" s="36" t="s">
        <v>34</v>
      </c>
      <c r="K491" s="36" t="s">
        <v>35</v>
      </c>
      <c r="L491" s="36" t="s">
        <v>799</v>
      </c>
      <c r="M491" s="36">
        <v>31.0</v>
      </c>
      <c r="N491" s="36"/>
      <c r="O491" s="36"/>
      <c r="P491" s="34"/>
      <c r="Q491" s="34"/>
      <c r="R491" s="34"/>
      <c r="S491" s="34"/>
    </row>
    <row r="492" ht="15.75" hidden="1" customHeight="1">
      <c r="B492" s="34">
        <v>46121.0</v>
      </c>
      <c r="C492" s="46" t="s">
        <v>2301</v>
      </c>
      <c r="D492" s="36">
        <v>140.0</v>
      </c>
      <c r="E492" s="38">
        <v>82.0</v>
      </c>
      <c r="F492" s="38">
        <f t="shared" si="2"/>
        <v>11480</v>
      </c>
      <c r="G492" s="36" t="s">
        <v>2304</v>
      </c>
      <c r="H492" s="36" t="s">
        <v>2190</v>
      </c>
      <c r="I492" s="36" t="s">
        <v>59</v>
      </c>
      <c r="J492" s="36" t="s">
        <v>34</v>
      </c>
      <c r="K492" s="36" t="s">
        <v>35</v>
      </c>
      <c r="L492" s="36" t="s">
        <v>87</v>
      </c>
      <c r="M492" s="36">
        <v>31.0</v>
      </c>
      <c r="N492" s="36"/>
      <c r="O492" s="45">
        <v>46121.0</v>
      </c>
      <c r="P492" s="34"/>
      <c r="Q492" s="34"/>
      <c r="R492" s="34"/>
      <c r="S492" s="34"/>
    </row>
    <row r="493" ht="15.75" hidden="1" customHeight="1">
      <c r="B493" s="34">
        <v>46121.0</v>
      </c>
      <c r="C493" s="36" t="s">
        <v>35</v>
      </c>
      <c r="D493" s="36">
        <v>14.0</v>
      </c>
      <c r="E493" s="38">
        <v>335.0</v>
      </c>
      <c r="F493" s="38">
        <f t="shared" si="2"/>
        <v>4690</v>
      </c>
      <c r="G493" s="36" t="s">
        <v>2305</v>
      </c>
      <c r="H493" s="36" t="s">
        <v>35</v>
      </c>
      <c r="I493" s="36" t="s">
        <v>221</v>
      </c>
      <c r="J493" s="36" t="s">
        <v>34</v>
      </c>
      <c r="K493" s="36" t="s">
        <v>35</v>
      </c>
      <c r="L493" s="36" t="s">
        <v>35</v>
      </c>
      <c r="M493" s="36">
        <v>31.0</v>
      </c>
      <c r="N493" s="36"/>
      <c r="O493" s="36"/>
      <c r="P493" s="34"/>
      <c r="Q493" s="34"/>
      <c r="R493" s="34"/>
      <c r="S493" s="34"/>
    </row>
    <row r="494" ht="15.75" hidden="1" customHeight="1">
      <c r="B494" s="34">
        <v>46121.0</v>
      </c>
      <c r="C494" s="36">
        <v>8088.0</v>
      </c>
      <c r="D494" s="36">
        <v>252.0</v>
      </c>
      <c r="E494" s="38">
        <v>85.0</v>
      </c>
      <c r="F494" s="38">
        <f t="shared" si="2"/>
        <v>21420</v>
      </c>
      <c r="G494" s="36" t="s">
        <v>2308</v>
      </c>
      <c r="H494" s="36" t="s">
        <v>2309</v>
      </c>
      <c r="I494" s="36" t="s">
        <v>32</v>
      </c>
      <c r="J494" s="36" t="s">
        <v>34</v>
      </c>
      <c r="K494" s="36" t="s">
        <v>35</v>
      </c>
      <c r="L494" s="36" t="s">
        <v>37</v>
      </c>
      <c r="M494" s="36">
        <v>31.0</v>
      </c>
      <c r="N494" s="36"/>
      <c r="O494" s="36"/>
      <c r="P494" s="34"/>
      <c r="Q494" s="34"/>
      <c r="R494" s="34"/>
      <c r="S494" s="34"/>
    </row>
    <row r="495" ht="15.75" hidden="1" customHeight="1">
      <c r="B495" s="34">
        <v>46121.0</v>
      </c>
      <c r="C495" s="36">
        <v>8088.0</v>
      </c>
      <c r="D495" s="36">
        <v>164.0</v>
      </c>
      <c r="E495" s="38">
        <v>85.0</v>
      </c>
      <c r="F495" s="38">
        <f t="shared" si="2"/>
        <v>13940</v>
      </c>
      <c r="G495" s="36" t="s">
        <v>2315</v>
      </c>
      <c r="H495" s="36" t="s">
        <v>2316</v>
      </c>
      <c r="I495" s="36" t="s">
        <v>32</v>
      </c>
      <c r="J495" s="36" t="s">
        <v>34</v>
      </c>
      <c r="K495" s="36" t="s">
        <v>35</v>
      </c>
      <c r="L495" s="36" t="s">
        <v>37</v>
      </c>
      <c r="M495" s="36">
        <v>31.0</v>
      </c>
      <c r="N495" s="36"/>
      <c r="O495" s="36"/>
      <c r="P495" s="34"/>
      <c r="Q495" s="34"/>
      <c r="R495" s="34"/>
      <c r="S495" s="34"/>
    </row>
    <row r="496" ht="15.75" hidden="1" customHeight="1">
      <c r="B496" s="34">
        <v>46121.0</v>
      </c>
      <c r="C496" s="36">
        <v>8088.0</v>
      </c>
      <c r="D496" s="36">
        <v>62.0</v>
      </c>
      <c r="E496" s="38">
        <v>85.0</v>
      </c>
      <c r="F496" s="38">
        <f t="shared" si="2"/>
        <v>5270</v>
      </c>
      <c r="G496" s="36" t="s">
        <v>2319</v>
      </c>
      <c r="H496" s="36" t="s">
        <v>2320</v>
      </c>
      <c r="I496" s="36" t="s">
        <v>32</v>
      </c>
      <c r="J496" s="36" t="s">
        <v>34</v>
      </c>
      <c r="K496" s="36" t="s">
        <v>35</v>
      </c>
      <c r="L496" s="36" t="s">
        <v>37</v>
      </c>
      <c r="M496" s="36">
        <v>31.0</v>
      </c>
      <c r="N496" s="36"/>
      <c r="O496" s="36"/>
      <c r="P496" s="34"/>
      <c r="Q496" s="34"/>
      <c r="R496" s="34"/>
      <c r="S496" s="34"/>
    </row>
    <row r="497" ht="15.75" hidden="1" customHeight="1">
      <c r="B497" s="34">
        <v>46122.0</v>
      </c>
      <c r="C497" s="36">
        <v>4372.0</v>
      </c>
      <c r="D497" s="36">
        <v>60.0</v>
      </c>
      <c r="E497" s="38">
        <v>207.0</v>
      </c>
      <c r="F497" s="38">
        <f t="shared" si="2"/>
        <v>12420</v>
      </c>
      <c r="G497" s="36" t="s">
        <v>2321</v>
      </c>
      <c r="H497" s="36" t="s">
        <v>2322</v>
      </c>
      <c r="I497" s="36" t="s">
        <v>59</v>
      </c>
      <c r="J497" s="36" t="s">
        <v>34</v>
      </c>
      <c r="K497" s="36" t="s">
        <v>35</v>
      </c>
      <c r="L497" s="36" t="s">
        <v>46</v>
      </c>
      <c r="M497" s="36">
        <v>31.0</v>
      </c>
      <c r="N497" s="36"/>
      <c r="O497" s="45">
        <v>46122.0</v>
      </c>
      <c r="P497" s="34"/>
      <c r="Q497" s="34"/>
      <c r="R497" s="34"/>
      <c r="S497" s="34"/>
    </row>
    <row r="498" ht="15.75" hidden="1" customHeight="1">
      <c r="B498" s="34">
        <v>46122.0</v>
      </c>
      <c r="C498" s="46" t="s">
        <v>2323</v>
      </c>
      <c r="D498" s="36">
        <v>600.0</v>
      </c>
      <c r="E498" s="38">
        <v>76.5</v>
      </c>
      <c r="F498" s="38">
        <f t="shared" si="2"/>
        <v>45900</v>
      </c>
      <c r="G498" s="36" t="s">
        <v>2326</v>
      </c>
      <c r="H498" s="36" t="s">
        <v>2327</v>
      </c>
      <c r="I498" s="36" t="s">
        <v>32</v>
      </c>
      <c r="J498" s="36" t="s">
        <v>34</v>
      </c>
      <c r="K498" s="36" t="s">
        <v>35</v>
      </c>
      <c r="L498" s="36" t="s">
        <v>151</v>
      </c>
      <c r="M498" s="36">
        <v>1.0</v>
      </c>
      <c r="N498" s="36"/>
      <c r="O498" s="45">
        <v>46127.0</v>
      </c>
      <c r="P498" s="34"/>
      <c r="Q498" s="34"/>
      <c r="R498" s="34"/>
      <c r="S498" s="34"/>
    </row>
    <row r="499" ht="15.75" hidden="1" customHeight="1">
      <c r="B499" s="34">
        <v>46122.0</v>
      </c>
      <c r="C499" s="46" t="s">
        <v>2323</v>
      </c>
      <c r="D499" s="36">
        <v>200.0</v>
      </c>
      <c r="E499" s="38">
        <v>76.5</v>
      </c>
      <c r="F499" s="38">
        <f t="shared" si="2"/>
        <v>15300</v>
      </c>
      <c r="G499" s="36" t="s">
        <v>2326</v>
      </c>
      <c r="H499" s="36" t="s">
        <v>2327</v>
      </c>
      <c r="I499" s="36" t="s">
        <v>32</v>
      </c>
      <c r="J499" s="36" t="s">
        <v>40</v>
      </c>
      <c r="K499" s="36" t="s">
        <v>35</v>
      </c>
      <c r="L499" s="36" t="s">
        <v>151</v>
      </c>
      <c r="M499" s="36">
        <v>1.0</v>
      </c>
      <c r="N499" s="36"/>
      <c r="O499" s="45">
        <v>46127.0</v>
      </c>
      <c r="P499" s="34"/>
      <c r="Q499" s="34"/>
      <c r="R499" s="34"/>
      <c r="S499" s="34"/>
    </row>
    <row r="500" ht="15.75" hidden="1" customHeight="1">
      <c r="B500" s="34">
        <v>46122.0</v>
      </c>
      <c r="C500" s="46" t="s">
        <v>2330</v>
      </c>
      <c r="D500" s="36">
        <v>70.0</v>
      </c>
      <c r="E500" s="38">
        <v>1030.0</v>
      </c>
      <c r="F500" s="38">
        <f t="shared" si="2"/>
        <v>72100</v>
      </c>
      <c r="G500" s="36" t="s">
        <v>2331</v>
      </c>
      <c r="H500" s="36" t="s">
        <v>2333</v>
      </c>
      <c r="I500" s="36" t="s">
        <v>32</v>
      </c>
      <c r="J500" s="36" t="s">
        <v>34</v>
      </c>
      <c r="K500" s="36" t="s">
        <v>35</v>
      </c>
      <c r="L500" s="36" t="s">
        <v>87</v>
      </c>
      <c r="M500" s="36">
        <v>1.0</v>
      </c>
      <c r="N500" s="36"/>
      <c r="O500" s="36"/>
      <c r="P500" s="34"/>
      <c r="Q500" s="34"/>
      <c r="R500" s="34"/>
      <c r="S500" s="34"/>
    </row>
    <row r="501" ht="15.75" hidden="1" customHeight="1">
      <c r="B501" s="34">
        <v>46122.0</v>
      </c>
      <c r="C501" s="59">
        <v>786444.0</v>
      </c>
      <c r="D501" s="36">
        <v>1000.0</v>
      </c>
      <c r="E501" s="38">
        <v>24.9989</v>
      </c>
      <c r="F501" s="38">
        <f t="shared" si="2"/>
        <v>24998.9</v>
      </c>
      <c r="G501" s="35" t="s">
        <v>1066</v>
      </c>
      <c r="H501" s="35">
        <v>16773.0</v>
      </c>
      <c r="I501" s="36" t="s">
        <v>41</v>
      </c>
      <c r="J501" s="35" t="s">
        <v>40</v>
      </c>
      <c r="K501" s="36" t="s">
        <v>35</v>
      </c>
      <c r="L501" s="35" t="s">
        <v>68</v>
      </c>
      <c r="M501" s="35">
        <v>31.0</v>
      </c>
      <c r="N501" s="36"/>
      <c r="O501" s="44">
        <v>46140.0</v>
      </c>
      <c r="P501" s="34"/>
      <c r="Q501" s="34"/>
      <c r="R501" s="34"/>
      <c r="S501" s="34"/>
    </row>
    <row r="502" ht="15.75" hidden="1" customHeight="1">
      <c r="B502" s="34">
        <v>46122.0</v>
      </c>
      <c r="C502" s="59">
        <v>786444.0</v>
      </c>
      <c r="D502" s="36">
        <v>7000.0</v>
      </c>
      <c r="E502" s="38">
        <v>10.9975</v>
      </c>
      <c r="F502" s="38">
        <f t="shared" si="2"/>
        <v>76982.5</v>
      </c>
      <c r="G502" s="35" t="s">
        <v>2338</v>
      </c>
      <c r="H502" s="35">
        <v>23543.0</v>
      </c>
      <c r="I502" s="36" t="s">
        <v>41</v>
      </c>
      <c r="J502" s="35" t="s">
        <v>40</v>
      </c>
      <c r="K502" s="36" t="s">
        <v>35</v>
      </c>
      <c r="L502" s="35" t="s">
        <v>68</v>
      </c>
      <c r="M502" s="35">
        <v>31.0</v>
      </c>
      <c r="N502" s="36"/>
      <c r="O502" s="44">
        <v>46140.0</v>
      </c>
      <c r="P502" s="34"/>
      <c r="Q502" s="34"/>
      <c r="R502" s="34"/>
      <c r="S502" s="34"/>
    </row>
    <row r="503" ht="15.75" hidden="1" customHeight="1">
      <c r="B503" s="34">
        <v>46122.0</v>
      </c>
      <c r="C503" s="59">
        <v>786444.0</v>
      </c>
      <c r="D503" s="36">
        <v>9000.0</v>
      </c>
      <c r="E503" s="38">
        <v>3.4977</v>
      </c>
      <c r="F503" s="38">
        <f t="shared" si="2"/>
        <v>31479.3</v>
      </c>
      <c r="G503" s="35" t="s">
        <v>2340</v>
      </c>
      <c r="H503" s="35">
        <v>23544.0</v>
      </c>
      <c r="I503" s="36" t="s">
        <v>41</v>
      </c>
      <c r="J503" s="35" t="s">
        <v>40</v>
      </c>
      <c r="K503" s="36" t="s">
        <v>35</v>
      </c>
      <c r="L503" s="35" t="s">
        <v>68</v>
      </c>
      <c r="M503" s="35">
        <v>31.0</v>
      </c>
      <c r="N503" s="36"/>
      <c r="O503" s="44">
        <v>46140.0</v>
      </c>
      <c r="P503" s="34"/>
      <c r="Q503" s="34"/>
      <c r="R503" s="34"/>
      <c r="S503" s="34"/>
    </row>
    <row r="504" ht="15.75" hidden="1" customHeight="1">
      <c r="B504" s="34">
        <v>46125.0</v>
      </c>
      <c r="C504" s="36">
        <v>914314.0</v>
      </c>
      <c r="D504" s="36">
        <v>3.0</v>
      </c>
      <c r="E504" s="38">
        <v>1907.85</v>
      </c>
      <c r="F504" s="38">
        <f t="shared" si="2"/>
        <v>5723.55</v>
      </c>
      <c r="G504" s="36" t="s">
        <v>2343</v>
      </c>
      <c r="H504" s="36">
        <v>62105.0</v>
      </c>
      <c r="I504" s="36" t="s">
        <v>673</v>
      </c>
      <c r="J504" s="36" t="s">
        <v>175</v>
      </c>
      <c r="K504" s="36" t="s">
        <v>35</v>
      </c>
      <c r="L504" s="36" t="s">
        <v>43</v>
      </c>
      <c r="M504" s="36">
        <v>31.0</v>
      </c>
      <c r="N504" s="36"/>
      <c r="O504" s="45">
        <v>46128.0</v>
      </c>
      <c r="P504" s="34"/>
      <c r="Q504" s="34">
        <v>46155.0</v>
      </c>
      <c r="R504" s="34">
        <v>46185.0</v>
      </c>
      <c r="S504" s="35"/>
    </row>
    <row r="505" ht="15.75" hidden="1" customHeight="1">
      <c r="B505" s="34">
        <v>46125.0</v>
      </c>
      <c r="C505" s="36">
        <v>4451.0</v>
      </c>
      <c r="D505" s="36">
        <v>3.0</v>
      </c>
      <c r="E505" s="38">
        <v>283.5</v>
      </c>
      <c r="F505" s="38">
        <f t="shared" si="2"/>
        <v>850.5</v>
      </c>
      <c r="G505" s="36" t="s">
        <v>2345</v>
      </c>
      <c r="H505" s="36" t="s">
        <v>149</v>
      </c>
      <c r="I505" s="36" t="s">
        <v>673</v>
      </c>
      <c r="J505" s="36" t="s">
        <v>175</v>
      </c>
      <c r="K505" s="36" t="s">
        <v>35</v>
      </c>
      <c r="L505" s="36" t="s">
        <v>46</v>
      </c>
      <c r="M505" s="36">
        <v>1.0</v>
      </c>
      <c r="N505" s="36"/>
      <c r="O505" s="45">
        <v>46128.0</v>
      </c>
      <c r="P505" s="34"/>
      <c r="Q505" s="34"/>
      <c r="R505" s="34"/>
      <c r="S505" s="34"/>
    </row>
    <row r="506" ht="15.75" hidden="1" customHeight="1">
      <c r="B506" s="34">
        <v>46125.0</v>
      </c>
      <c r="C506" s="36" t="s">
        <v>35</v>
      </c>
      <c r="D506" s="36">
        <v>1.0</v>
      </c>
      <c r="E506" s="38">
        <v>999.0</v>
      </c>
      <c r="F506" s="38">
        <f t="shared" si="2"/>
        <v>999</v>
      </c>
      <c r="G506" s="36" t="s">
        <v>2349</v>
      </c>
      <c r="H506" s="36" t="s">
        <v>35</v>
      </c>
      <c r="I506" s="36" t="s">
        <v>39</v>
      </c>
      <c r="J506" s="36" t="s">
        <v>2108</v>
      </c>
      <c r="K506" s="36" t="s">
        <v>35</v>
      </c>
      <c r="L506" s="36" t="s">
        <v>1265</v>
      </c>
      <c r="M506" s="36">
        <v>31.0</v>
      </c>
      <c r="N506" s="36"/>
      <c r="O506" s="36"/>
      <c r="P506" s="34"/>
      <c r="Q506" s="34"/>
      <c r="R506" s="34"/>
      <c r="S506" s="34"/>
    </row>
    <row r="507" ht="15.75" hidden="1" customHeight="1">
      <c r="B507" s="34">
        <v>46125.0</v>
      </c>
      <c r="C507" s="36">
        <v>2507941.0</v>
      </c>
      <c r="D507" s="36">
        <v>15.0</v>
      </c>
      <c r="E507" s="38">
        <v>290.409</v>
      </c>
      <c r="F507" s="38">
        <f t="shared" si="2"/>
        <v>4356.135</v>
      </c>
      <c r="G507" s="36" t="s">
        <v>2350</v>
      </c>
      <c r="H507" s="36" t="s">
        <v>2351</v>
      </c>
      <c r="I507" s="36" t="s">
        <v>41</v>
      </c>
      <c r="J507" s="36" t="s">
        <v>34</v>
      </c>
      <c r="K507" s="36" t="s">
        <v>35</v>
      </c>
      <c r="L507" s="36" t="s">
        <v>2352</v>
      </c>
      <c r="M507" s="36">
        <v>31.0</v>
      </c>
      <c r="N507" s="36"/>
      <c r="O507" s="45">
        <v>46128.0</v>
      </c>
      <c r="P507" s="34"/>
      <c r="Q507" s="34"/>
      <c r="R507" s="34"/>
      <c r="S507" s="34"/>
    </row>
    <row r="508" ht="15.75" hidden="1" customHeight="1">
      <c r="B508" s="34">
        <v>46125.0</v>
      </c>
      <c r="C508" s="36">
        <v>30355.0</v>
      </c>
      <c r="D508" s="36">
        <v>1000.0</v>
      </c>
      <c r="E508" s="38">
        <v>2.8</v>
      </c>
      <c r="F508" s="38">
        <f t="shared" si="2"/>
        <v>2800</v>
      </c>
      <c r="G508" s="36" t="s">
        <v>2353</v>
      </c>
      <c r="H508" s="36" t="s">
        <v>2354</v>
      </c>
      <c r="I508" s="36" t="s">
        <v>59</v>
      </c>
      <c r="J508" s="36" t="s">
        <v>34</v>
      </c>
      <c r="K508" s="36" t="s">
        <v>35</v>
      </c>
      <c r="L508" s="36" t="s">
        <v>160</v>
      </c>
      <c r="M508" s="36">
        <v>31.0</v>
      </c>
      <c r="N508" s="36"/>
      <c r="O508" s="45">
        <v>46125.0</v>
      </c>
      <c r="P508" s="34"/>
      <c r="Q508" s="34"/>
      <c r="R508" s="34"/>
      <c r="S508" s="34"/>
    </row>
    <row r="509" ht="15.75" hidden="1" customHeight="1">
      <c r="B509" s="34">
        <v>46125.0</v>
      </c>
      <c r="C509" s="36">
        <v>30355.0</v>
      </c>
      <c r="D509" s="36">
        <v>600.0</v>
      </c>
      <c r="E509" s="38">
        <v>5.2</v>
      </c>
      <c r="F509" s="38">
        <f t="shared" si="2"/>
        <v>3120</v>
      </c>
      <c r="G509" s="36" t="s">
        <v>2359</v>
      </c>
      <c r="H509" s="36" t="s">
        <v>2201</v>
      </c>
      <c r="I509" s="36" t="s">
        <v>59</v>
      </c>
      <c r="J509" s="36" t="s">
        <v>34</v>
      </c>
      <c r="K509" s="36" t="s">
        <v>35</v>
      </c>
      <c r="L509" s="36" t="s">
        <v>160</v>
      </c>
      <c r="M509" s="36">
        <v>31.0</v>
      </c>
      <c r="N509" s="36"/>
      <c r="O509" s="45">
        <v>46125.0</v>
      </c>
      <c r="P509" s="34"/>
      <c r="Q509" s="34"/>
      <c r="R509" s="34"/>
      <c r="S509" s="34"/>
    </row>
    <row r="510" ht="15.75" hidden="1" customHeight="1">
      <c r="B510" s="34">
        <v>46125.0</v>
      </c>
      <c r="C510" s="36">
        <v>12451.0</v>
      </c>
      <c r="D510" s="36">
        <v>48.0</v>
      </c>
      <c r="E510" s="38">
        <v>15.9</v>
      </c>
      <c r="F510" s="38">
        <f t="shared" si="2"/>
        <v>763.2</v>
      </c>
      <c r="G510" s="36" t="s">
        <v>2364</v>
      </c>
      <c r="H510" s="36" t="s">
        <v>2366</v>
      </c>
      <c r="I510" s="36" t="s">
        <v>41</v>
      </c>
      <c r="J510" s="36" t="s">
        <v>34</v>
      </c>
      <c r="K510" s="36" t="s">
        <v>35</v>
      </c>
      <c r="L510" s="36" t="s">
        <v>96</v>
      </c>
      <c r="M510" s="36">
        <v>31.0</v>
      </c>
      <c r="N510" s="36"/>
      <c r="O510" s="45">
        <v>46125.0</v>
      </c>
      <c r="P510" s="34"/>
      <c r="Q510" s="34"/>
      <c r="R510" s="34"/>
      <c r="S510" s="34"/>
    </row>
    <row r="511" ht="15.75" hidden="1" customHeight="1">
      <c r="B511" s="34">
        <v>46125.0</v>
      </c>
      <c r="C511" s="36">
        <v>12451.0</v>
      </c>
      <c r="D511" s="36">
        <v>100.0</v>
      </c>
      <c r="E511" s="38">
        <v>8.99</v>
      </c>
      <c r="F511" s="38">
        <f t="shared" si="2"/>
        <v>899</v>
      </c>
      <c r="G511" s="36" t="s">
        <v>2143</v>
      </c>
      <c r="H511" s="36" t="s">
        <v>2144</v>
      </c>
      <c r="I511" s="36" t="s">
        <v>41</v>
      </c>
      <c r="J511" s="36" t="s">
        <v>34</v>
      </c>
      <c r="K511" s="36" t="s">
        <v>35</v>
      </c>
      <c r="L511" s="36" t="s">
        <v>96</v>
      </c>
      <c r="M511" s="36">
        <v>31.0</v>
      </c>
      <c r="N511" s="36"/>
      <c r="O511" s="45">
        <v>46125.0</v>
      </c>
      <c r="P511" s="34"/>
      <c r="Q511" s="34"/>
      <c r="R511" s="34"/>
      <c r="S511" s="34"/>
    </row>
    <row r="512" ht="15.75" hidden="1" customHeight="1">
      <c r="B512" s="34">
        <v>46125.0</v>
      </c>
      <c r="C512" s="36">
        <v>12451.0</v>
      </c>
      <c r="D512" s="36">
        <v>20.0</v>
      </c>
      <c r="E512" s="38">
        <v>89.9</v>
      </c>
      <c r="F512" s="38">
        <f t="shared" si="2"/>
        <v>1798</v>
      </c>
      <c r="G512" s="36" t="s">
        <v>2372</v>
      </c>
      <c r="H512" s="36" t="s">
        <v>2373</v>
      </c>
      <c r="I512" s="36" t="s">
        <v>41</v>
      </c>
      <c r="J512" s="36" t="s">
        <v>34</v>
      </c>
      <c r="K512" s="36" t="s">
        <v>35</v>
      </c>
      <c r="L512" s="36" t="s">
        <v>96</v>
      </c>
      <c r="M512" s="36">
        <v>31.0</v>
      </c>
      <c r="N512" s="36"/>
      <c r="O512" s="45">
        <v>46125.0</v>
      </c>
      <c r="P512" s="34"/>
      <c r="Q512" s="34"/>
      <c r="R512" s="34"/>
      <c r="S512" s="34"/>
    </row>
    <row r="513" ht="15.75" hidden="1" customHeight="1">
      <c r="B513" s="34">
        <v>46125.0</v>
      </c>
      <c r="C513" s="36">
        <v>12451.0</v>
      </c>
      <c r="D513" s="36">
        <v>3.0</v>
      </c>
      <c r="E513" s="38">
        <v>289.9</v>
      </c>
      <c r="F513" s="38">
        <f t="shared" si="2"/>
        <v>869.7</v>
      </c>
      <c r="G513" s="36" t="s">
        <v>199</v>
      </c>
      <c r="H513" s="36" t="s">
        <v>200</v>
      </c>
      <c r="I513" s="36" t="s">
        <v>41</v>
      </c>
      <c r="J513" s="36" t="s">
        <v>34</v>
      </c>
      <c r="K513" s="36" t="s">
        <v>35</v>
      </c>
      <c r="L513" s="36" t="s">
        <v>96</v>
      </c>
      <c r="M513" s="36">
        <v>31.0</v>
      </c>
      <c r="N513" s="36"/>
      <c r="O513" s="45">
        <v>46125.0</v>
      </c>
      <c r="P513" s="34"/>
      <c r="Q513" s="34"/>
      <c r="R513" s="34"/>
      <c r="S513" s="34"/>
    </row>
    <row r="514" ht="15.75" hidden="1" customHeight="1">
      <c r="B514" s="34">
        <v>46125.0</v>
      </c>
      <c r="C514" s="36">
        <v>12451.0</v>
      </c>
      <c r="D514" s="36">
        <v>2.0</v>
      </c>
      <c r="E514" s="38">
        <v>139.9</v>
      </c>
      <c r="F514" s="38">
        <f t="shared" si="2"/>
        <v>279.8</v>
      </c>
      <c r="G514" s="36" t="s">
        <v>1361</v>
      </c>
      <c r="H514" s="36" t="s">
        <v>1363</v>
      </c>
      <c r="I514" s="36" t="s">
        <v>41</v>
      </c>
      <c r="J514" s="36" t="s">
        <v>34</v>
      </c>
      <c r="K514" s="36" t="s">
        <v>35</v>
      </c>
      <c r="L514" s="36" t="s">
        <v>96</v>
      </c>
      <c r="M514" s="36">
        <v>31.0</v>
      </c>
      <c r="N514" s="36"/>
      <c r="O514" s="45">
        <v>46125.0</v>
      </c>
      <c r="P514" s="34"/>
      <c r="Q514" s="34"/>
      <c r="R514" s="34"/>
      <c r="S514" s="34"/>
    </row>
    <row r="515" ht="15.75" hidden="1" customHeight="1">
      <c r="B515" s="34">
        <v>46125.0</v>
      </c>
      <c r="C515" s="36">
        <v>12451.0</v>
      </c>
      <c r="D515" s="36">
        <v>60.0</v>
      </c>
      <c r="E515" s="38">
        <v>34.9</v>
      </c>
      <c r="F515" s="38">
        <f t="shared" si="2"/>
        <v>2094</v>
      </c>
      <c r="G515" s="36" t="s">
        <v>2380</v>
      </c>
      <c r="H515" s="36" t="s">
        <v>855</v>
      </c>
      <c r="I515" s="36" t="s">
        <v>41</v>
      </c>
      <c r="J515" s="36" t="s">
        <v>34</v>
      </c>
      <c r="K515" s="36" t="s">
        <v>35</v>
      </c>
      <c r="L515" s="36" t="s">
        <v>96</v>
      </c>
      <c r="M515" s="36">
        <v>31.0</v>
      </c>
      <c r="N515" s="36"/>
      <c r="O515" s="45">
        <v>46125.0</v>
      </c>
      <c r="P515" s="34"/>
      <c r="Q515" s="34"/>
      <c r="R515" s="34"/>
      <c r="S515" s="34"/>
    </row>
    <row r="516" ht="15.75" hidden="1" customHeight="1">
      <c r="B516" s="34">
        <v>46125.0</v>
      </c>
      <c r="C516" s="36">
        <v>12451.0</v>
      </c>
      <c r="D516" s="36">
        <v>240.0</v>
      </c>
      <c r="E516" s="38">
        <v>8.9</v>
      </c>
      <c r="F516" s="38">
        <f t="shared" si="2"/>
        <v>2136</v>
      </c>
      <c r="G516" s="36" t="s">
        <v>2388</v>
      </c>
      <c r="H516" s="36" t="s">
        <v>2389</v>
      </c>
      <c r="I516" s="36" t="s">
        <v>41</v>
      </c>
      <c r="J516" s="36" t="s">
        <v>34</v>
      </c>
      <c r="K516" s="36" t="s">
        <v>35</v>
      </c>
      <c r="L516" s="36" t="s">
        <v>96</v>
      </c>
      <c r="M516" s="36">
        <v>31.0</v>
      </c>
      <c r="N516" s="36"/>
      <c r="O516" s="45">
        <v>46125.0</v>
      </c>
      <c r="P516" s="34"/>
      <c r="Q516" s="34"/>
      <c r="R516" s="34"/>
      <c r="S516" s="34"/>
    </row>
    <row r="517" ht="15.75" hidden="1" customHeight="1">
      <c r="B517" s="34">
        <v>46125.0</v>
      </c>
      <c r="C517" s="36">
        <v>12451.0</v>
      </c>
      <c r="D517" s="36">
        <v>50.0</v>
      </c>
      <c r="E517" s="38">
        <v>15.9</v>
      </c>
      <c r="F517" s="38">
        <f t="shared" si="2"/>
        <v>795</v>
      </c>
      <c r="G517" s="36" t="s">
        <v>2391</v>
      </c>
      <c r="H517" s="36" t="s">
        <v>2393</v>
      </c>
      <c r="I517" s="36" t="s">
        <v>41</v>
      </c>
      <c r="J517" s="36" t="s">
        <v>34</v>
      </c>
      <c r="K517" s="36" t="s">
        <v>35</v>
      </c>
      <c r="L517" s="36" t="s">
        <v>96</v>
      </c>
      <c r="M517" s="36">
        <v>31.0</v>
      </c>
      <c r="N517" s="36"/>
      <c r="O517" s="45">
        <v>46125.0</v>
      </c>
      <c r="P517" s="34"/>
      <c r="Q517" s="34"/>
      <c r="R517" s="34"/>
      <c r="S517" s="34"/>
    </row>
    <row r="518" ht="15.75" hidden="1" customHeight="1">
      <c r="B518" s="34">
        <v>46125.0</v>
      </c>
      <c r="C518" s="36">
        <v>12451.0</v>
      </c>
      <c r="D518" s="36">
        <v>20.0</v>
      </c>
      <c r="E518" s="38">
        <v>68.8</v>
      </c>
      <c r="F518" s="38">
        <f t="shared" si="2"/>
        <v>1376</v>
      </c>
      <c r="G518" s="36" t="s">
        <v>2283</v>
      </c>
      <c r="H518" s="36" t="s">
        <v>2396</v>
      </c>
      <c r="I518" s="36" t="s">
        <v>41</v>
      </c>
      <c r="J518" s="36" t="s">
        <v>34</v>
      </c>
      <c r="K518" s="36" t="s">
        <v>35</v>
      </c>
      <c r="L518" s="36" t="s">
        <v>96</v>
      </c>
      <c r="M518" s="36">
        <v>31.0</v>
      </c>
      <c r="N518" s="36"/>
      <c r="O518" s="45">
        <v>46125.0</v>
      </c>
      <c r="P518" s="34"/>
      <c r="Q518" s="34"/>
      <c r="R518" s="34"/>
      <c r="S518" s="34"/>
    </row>
    <row r="519" ht="15.75" hidden="1" customHeight="1">
      <c r="B519" s="34">
        <v>46125.0</v>
      </c>
      <c r="C519" s="36">
        <v>12451.0</v>
      </c>
      <c r="D519" s="36">
        <v>4.0</v>
      </c>
      <c r="E519" s="38">
        <v>229.9</v>
      </c>
      <c r="F519" s="38">
        <f t="shared" si="2"/>
        <v>919.6</v>
      </c>
      <c r="G519" s="36" t="s">
        <v>2401</v>
      </c>
      <c r="H519" s="36" t="s">
        <v>2402</v>
      </c>
      <c r="I519" s="36" t="s">
        <v>41</v>
      </c>
      <c r="J519" s="36" t="s">
        <v>34</v>
      </c>
      <c r="K519" s="36" t="s">
        <v>35</v>
      </c>
      <c r="L519" s="36" t="s">
        <v>96</v>
      </c>
      <c r="M519" s="36">
        <v>31.0</v>
      </c>
      <c r="N519" s="36"/>
      <c r="O519" s="45">
        <v>46125.0</v>
      </c>
      <c r="P519" s="34"/>
      <c r="Q519" s="34"/>
      <c r="R519" s="34"/>
      <c r="S519" s="34"/>
    </row>
    <row r="520" ht="15.75" hidden="1" customHeight="1">
      <c r="B520" s="34">
        <v>46125.0</v>
      </c>
      <c r="C520" s="36">
        <v>12451.0</v>
      </c>
      <c r="D520" s="36">
        <v>6.0</v>
      </c>
      <c r="E520" s="38">
        <v>259.9</v>
      </c>
      <c r="F520" s="38">
        <f t="shared" si="2"/>
        <v>1559.4</v>
      </c>
      <c r="G520" s="36" t="s">
        <v>2404</v>
      </c>
      <c r="H520" s="36" t="s">
        <v>2405</v>
      </c>
      <c r="I520" s="36" t="s">
        <v>41</v>
      </c>
      <c r="J520" s="36" t="s">
        <v>34</v>
      </c>
      <c r="K520" s="36" t="s">
        <v>35</v>
      </c>
      <c r="L520" s="36" t="s">
        <v>96</v>
      </c>
      <c r="M520" s="36">
        <v>31.0</v>
      </c>
      <c r="N520" s="36"/>
      <c r="O520" s="45">
        <v>46125.0</v>
      </c>
      <c r="P520" s="34"/>
      <c r="Q520" s="34"/>
      <c r="R520" s="34"/>
      <c r="S520" s="34"/>
    </row>
    <row r="521" ht="15.75" hidden="1" customHeight="1">
      <c r="B521" s="34">
        <v>46125.0</v>
      </c>
      <c r="C521" s="36">
        <v>12451.0</v>
      </c>
      <c r="D521" s="36">
        <v>5.0</v>
      </c>
      <c r="E521" s="38">
        <v>339.9</v>
      </c>
      <c r="F521" s="38">
        <f t="shared" si="2"/>
        <v>1699.5</v>
      </c>
      <c r="G521" s="36" t="s">
        <v>393</v>
      </c>
      <c r="H521" s="36" t="s">
        <v>396</v>
      </c>
      <c r="I521" s="36" t="s">
        <v>41</v>
      </c>
      <c r="J521" s="36" t="s">
        <v>34</v>
      </c>
      <c r="K521" s="36" t="s">
        <v>35</v>
      </c>
      <c r="L521" s="36" t="s">
        <v>96</v>
      </c>
      <c r="M521" s="36">
        <v>31.0</v>
      </c>
      <c r="N521" s="36"/>
      <c r="O521" s="45">
        <v>46125.0</v>
      </c>
      <c r="P521" s="34"/>
      <c r="Q521" s="34"/>
      <c r="R521" s="34"/>
      <c r="S521" s="34"/>
    </row>
    <row r="522" ht="15.75" hidden="1" customHeight="1">
      <c r="B522" s="34">
        <v>46125.0</v>
      </c>
      <c r="C522" s="36">
        <v>12451.0</v>
      </c>
      <c r="D522" s="36">
        <v>120.0</v>
      </c>
      <c r="E522" s="38">
        <v>8.9</v>
      </c>
      <c r="F522" s="38">
        <f t="shared" si="2"/>
        <v>1068</v>
      </c>
      <c r="G522" s="36" t="s">
        <v>2411</v>
      </c>
      <c r="H522" s="36" t="s">
        <v>2412</v>
      </c>
      <c r="I522" s="36" t="s">
        <v>41</v>
      </c>
      <c r="J522" s="36" t="s">
        <v>34</v>
      </c>
      <c r="K522" s="36" t="s">
        <v>35</v>
      </c>
      <c r="L522" s="36" t="s">
        <v>96</v>
      </c>
      <c r="M522" s="36">
        <v>31.0</v>
      </c>
      <c r="N522" s="36"/>
      <c r="O522" s="45">
        <v>46125.0</v>
      </c>
      <c r="P522" s="34"/>
      <c r="Q522" s="34"/>
      <c r="R522" s="34"/>
      <c r="S522" s="34"/>
    </row>
    <row r="523" ht="15.75" hidden="1" customHeight="1">
      <c r="B523" s="34">
        <v>46125.0</v>
      </c>
      <c r="C523" s="36">
        <v>12451.0</v>
      </c>
      <c r="D523" s="36">
        <v>96.0</v>
      </c>
      <c r="E523" s="38">
        <v>8.99</v>
      </c>
      <c r="F523" s="38">
        <f t="shared" si="2"/>
        <v>863.04</v>
      </c>
      <c r="G523" s="36" t="s">
        <v>1586</v>
      </c>
      <c r="H523" s="36" t="s">
        <v>1587</v>
      </c>
      <c r="I523" s="36" t="s">
        <v>41</v>
      </c>
      <c r="J523" s="36" t="s">
        <v>34</v>
      </c>
      <c r="K523" s="36" t="s">
        <v>35</v>
      </c>
      <c r="L523" s="36" t="s">
        <v>96</v>
      </c>
      <c r="M523" s="36">
        <v>31.0</v>
      </c>
      <c r="N523" s="36"/>
      <c r="O523" s="45">
        <v>46125.0</v>
      </c>
      <c r="P523" s="34"/>
      <c r="Q523" s="34"/>
      <c r="R523" s="34"/>
      <c r="S523" s="34"/>
    </row>
    <row r="524" ht="15.75" hidden="1" customHeight="1">
      <c r="B524" s="34">
        <v>46125.0</v>
      </c>
      <c r="C524" s="36">
        <v>12549.0</v>
      </c>
      <c r="D524" s="36">
        <v>6.0</v>
      </c>
      <c r="E524" s="38">
        <v>99.9</v>
      </c>
      <c r="F524" s="38">
        <f t="shared" si="2"/>
        <v>599.4</v>
      </c>
      <c r="G524" s="36" t="s">
        <v>2420</v>
      </c>
      <c r="H524" s="36" t="s">
        <v>216</v>
      </c>
      <c r="I524" s="36" t="s">
        <v>41</v>
      </c>
      <c r="J524" s="36" t="s">
        <v>34</v>
      </c>
      <c r="K524" s="36" t="s">
        <v>35</v>
      </c>
      <c r="L524" s="36" t="s">
        <v>96</v>
      </c>
      <c r="M524" s="36">
        <v>31.0</v>
      </c>
      <c r="N524" s="36"/>
      <c r="O524" s="36"/>
      <c r="P524" s="34"/>
      <c r="Q524" s="34"/>
      <c r="R524" s="34"/>
      <c r="S524" s="34"/>
    </row>
    <row r="525" ht="15.75" hidden="1" customHeight="1">
      <c r="B525" s="34">
        <v>46125.0</v>
      </c>
      <c r="C525" s="36">
        <v>12552.0</v>
      </c>
      <c r="D525" s="36">
        <v>4.0</v>
      </c>
      <c r="E525" s="38">
        <v>179.9</v>
      </c>
      <c r="F525" s="38">
        <f t="shared" si="2"/>
        <v>719.6</v>
      </c>
      <c r="G525" s="36" t="s">
        <v>2424</v>
      </c>
      <c r="H525" s="36" t="s">
        <v>2425</v>
      </c>
      <c r="I525" s="36" t="s">
        <v>41</v>
      </c>
      <c r="J525" s="36" t="s">
        <v>34</v>
      </c>
      <c r="K525" s="36" t="s">
        <v>35</v>
      </c>
      <c r="L525" s="36" t="s">
        <v>96</v>
      </c>
      <c r="M525" s="36">
        <v>31.0</v>
      </c>
      <c r="N525" s="36"/>
      <c r="O525" s="36"/>
      <c r="P525" s="34"/>
      <c r="Q525" s="34"/>
      <c r="R525" s="34"/>
      <c r="S525" s="34"/>
    </row>
    <row r="526" ht="15.75" hidden="1" customHeight="1">
      <c r="B526" s="34">
        <v>46125.0</v>
      </c>
      <c r="C526" s="36" t="s">
        <v>35</v>
      </c>
      <c r="D526" s="36">
        <v>400.0</v>
      </c>
      <c r="E526" s="38">
        <v>85.0</v>
      </c>
      <c r="F526" s="38">
        <f t="shared" si="2"/>
        <v>34000</v>
      </c>
      <c r="G526" s="36" t="s">
        <v>2168</v>
      </c>
      <c r="H526" s="36" t="s">
        <v>35</v>
      </c>
      <c r="I526" s="36" t="s">
        <v>32</v>
      </c>
      <c r="J526" s="36" t="s">
        <v>34</v>
      </c>
      <c r="K526" s="36" t="s">
        <v>35</v>
      </c>
      <c r="L526" s="36" t="s">
        <v>799</v>
      </c>
      <c r="M526" s="36">
        <v>31.0</v>
      </c>
      <c r="N526" s="36"/>
      <c r="O526" s="36"/>
      <c r="P526" s="34"/>
      <c r="Q526" s="34"/>
      <c r="R526" s="34"/>
      <c r="S526" s="34"/>
    </row>
    <row r="527" ht="15.75" hidden="1" customHeight="1">
      <c r="B527" s="33">
        <v>46125.0</v>
      </c>
      <c r="C527" s="36">
        <v>50634.0</v>
      </c>
      <c r="D527" s="35">
        <v>20.0</v>
      </c>
      <c r="E527" s="37">
        <v>280.0</v>
      </c>
      <c r="F527" s="38">
        <f t="shared" si="2"/>
        <v>5600</v>
      </c>
      <c r="G527" s="35" t="s">
        <v>2445</v>
      </c>
      <c r="H527" s="35" t="s">
        <v>35</v>
      </c>
      <c r="I527" s="35" t="s">
        <v>673</v>
      </c>
      <c r="J527" s="35" t="s">
        <v>175</v>
      </c>
      <c r="K527" s="36" t="s">
        <v>35</v>
      </c>
      <c r="L527" s="35" t="s">
        <v>868</v>
      </c>
      <c r="M527" s="35">
        <v>31.0</v>
      </c>
      <c r="N527" s="36"/>
      <c r="O527" s="44">
        <v>46139.0</v>
      </c>
      <c r="P527" s="34"/>
      <c r="Q527" s="34"/>
      <c r="R527" s="34"/>
      <c r="S527" s="34"/>
    </row>
    <row r="528" ht="15.75" hidden="1" customHeight="1">
      <c r="B528" s="34">
        <v>46126.0</v>
      </c>
      <c r="C528" s="36">
        <v>4467.0</v>
      </c>
      <c r="D528" s="36">
        <v>100.0</v>
      </c>
      <c r="E528" s="38">
        <v>52.2</v>
      </c>
      <c r="F528" s="38">
        <f t="shared" si="2"/>
        <v>5220</v>
      </c>
      <c r="G528" s="36" t="s">
        <v>453</v>
      </c>
      <c r="H528" s="36" t="s">
        <v>454</v>
      </c>
      <c r="I528" s="36" t="s">
        <v>41</v>
      </c>
      <c r="J528" s="36" t="s">
        <v>40</v>
      </c>
      <c r="K528" s="36" t="s">
        <v>35</v>
      </c>
      <c r="L528" s="36" t="s">
        <v>62</v>
      </c>
      <c r="M528" s="36">
        <v>1.0</v>
      </c>
      <c r="N528" s="36"/>
      <c r="O528" s="45">
        <v>46128.0</v>
      </c>
      <c r="P528" s="34"/>
      <c r="Q528" s="34"/>
      <c r="R528" s="34"/>
      <c r="S528" s="34"/>
    </row>
    <row r="529" ht="15.75" hidden="1" customHeight="1">
      <c r="B529" s="34">
        <v>46126.0</v>
      </c>
      <c r="C529" s="36" t="s">
        <v>35</v>
      </c>
      <c r="D529" s="36">
        <v>100.0</v>
      </c>
      <c r="E529" s="38">
        <v>345.0</v>
      </c>
      <c r="F529" s="38">
        <f t="shared" si="2"/>
        <v>34500</v>
      </c>
      <c r="G529" s="36" t="s">
        <v>2454</v>
      </c>
      <c r="H529" s="36" t="s">
        <v>35</v>
      </c>
      <c r="I529" s="36" t="s">
        <v>41</v>
      </c>
      <c r="J529" s="36" t="s">
        <v>40</v>
      </c>
      <c r="K529" s="36" t="s">
        <v>35</v>
      </c>
      <c r="L529" s="36" t="s">
        <v>799</v>
      </c>
      <c r="M529" s="36">
        <v>31.0</v>
      </c>
      <c r="N529" s="36"/>
      <c r="O529" s="36"/>
      <c r="P529" s="34"/>
      <c r="Q529" s="34"/>
      <c r="R529" s="34"/>
      <c r="S529" s="34"/>
    </row>
    <row r="530" ht="15.75" hidden="1" customHeight="1">
      <c r="B530" s="34">
        <v>46126.0</v>
      </c>
      <c r="C530" s="36">
        <v>30400.0</v>
      </c>
      <c r="D530" s="36">
        <v>600.0</v>
      </c>
      <c r="E530" s="38">
        <v>5.2</v>
      </c>
      <c r="F530" s="38">
        <f t="shared" si="2"/>
        <v>3120</v>
      </c>
      <c r="G530" s="36" t="s">
        <v>2359</v>
      </c>
      <c r="H530" s="36" t="s">
        <v>2201</v>
      </c>
      <c r="I530" s="36" t="s">
        <v>59</v>
      </c>
      <c r="J530" s="36" t="s">
        <v>34</v>
      </c>
      <c r="K530" s="36" t="s">
        <v>35</v>
      </c>
      <c r="L530" s="36" t="s">
        <v>160</v>
      </c>
      <c r="M530" s="36">
        <v>31.0</v>
      </c>
      <c r="N530" s="36"/>
      <c r="O530" s="45">
        <v>46126.0</v>
      </c>
      <c r="P530" s="34"/>
      <c r="Q530" s="34"/>
      <c r="R530" s="34"/>
      <c r="S530" s="34"/>
    </row>
    <row r="531" ht="15.75" hidden="1" customHeight="1">
      <c r="B531" s="34">
        <v>46126.0</v>
      </c>
      <c r="C531" s="36">
        <v>914463.0</v>
      </c>
      <c r="D531" s="36">
        <v>100.0</v>
      </c>
      <c r="E531" s="38">
        <v>149.9</v>
      </c>
      <c r="F531" s="38">
        <f t="shared" si="2"/>
        <v>14990</v>
      </c>
      <c r="G531" s="36" t="s">
        <v>1909</v>
      </c>
      <c r="H531" s="36">
        <v>60856.0</v>
      </c>
      <c r="I531" s="36" t="s">
        <v>41</v>
      </c>
      <c r="J531" s="36" t="s">
        <v>34</v>
      </c>
      <c r="K531" s="36" t="s">
        <v>35</v>
      </c>
      <c r="L531" s="36" t="s">
        <v>43</v>
      </c>
      <c r="M531" s="36">
        <v>31.0</v>
      </c>
      <c r="N531" s="36"/>
      <c r="O531" s="45">
        <v>46128.0</v>
      </c>
      <c r="P531" s="34"/>
      <c r="Q531" s="34"/>
      <c r="R531" s="34"/>
      <c r="S531" s="34"/>
    </row>
    <row r="532" ht="15.75" hidden="1" customHeight="1">
      <c r="B532" s="34">
        <v>46126.0</v>
      </c>
      <c r="C532" s="36">
        <v>914463.0</v>
      </c>
      <c r="D532" s="36">
        <v>100.0</v>
      </c>
      <c r="E532" s="38">
        <v>149.9</v>
      </c>
      <c r="F532" s="38">
        <f t="shared" si="2"/>
        <v>14990</v>
      </c>
      <c r="G532" s="36" t="s">
        <v>1909</v>
      </c>
      <c r="H532" s="36">
        <v>60856.0</v>
      </c>
      <c r="I532" s="36" t="s">
        <v>41</v>
      </c>
      <c r="J532" s="36" t="s">
        <v>40</v>
      </c>
      <c r="K532" s="36" t="s">
        <v>35</v>
      </c>
      <c r="L532" s="36" t="s">
        <v>43</v>
      </c>
      <c r="M532" s="36">
        <v>31.0</v>
      </c>
      <c r="N532" s="36"/>
      <c r="O532" s="45">
        <v>46128.0</v>
      </c>
      <c r="P532" s="34"/>
      <c r="Q532" s="34"/>
      <c r="R532" s="34"/>
      <c r="S532" s="34"/>
    </row>
    <row r="533" ht="15.75" hidden="1" customHeight="1">
      <c r="B533" s="34">
        <v>46126.0</v>
      </c>
      <c r="C533" s="36">
        <v>914463.0</v>
      </c>
      <c r="D533" s="36">
        <v>100.0</v>
      </c>
      <c r="E533" s="38">
        <v>149.9</v>
      </c>
      <c r="F533" s="38">
        <f t="shared" si="2"/>
        <v>14990</v>
      </c>
      <c r="G533" s="36" t="s">
        <v>1909</v>
      </c>
      <c r="H533" s="36">
        <v>60856.0</v>
      </c>
      <c r="I533" s="36" t="s">
        <v>59</v>
      </c>
      <c r="J533" s="36" t="s">
        <v>34</v>
      </c>
      <c r="K533" s="36" t="s">
        <v>35</v>
      </c>
      <c r="L533" s="36" t="s">
        <v>43</v>
      </c>
      <c r="M533" s="36">
        <v>31.0</v>
      </c>
      <c r="N533" s="36"/>
      <c r="O533" s="45">
        <v>46128.0</v>
      </c>
      <c r="P533" s="34"/>
      <c r="Q533" s="34"/>
      <c r="R533" s="34"/>
      <c r="S533" s="34"/>
    </row>
    <row r="534" ht="15.75" hidden="1" customHeight="1">
      <c r="B534" s="34">
        <v>46126.0</v>
      </c>
      <c r="C534" s="36" t="s">
        <v>35</v>
      </c>
      <c r="D534" s="36">
        <v>1.0</v>
      </c>
      <c r="E534" s="38">
        <v>7950.0</v>
      </c>
      <c r="F534" s="38">
        <f t="shared" si="2"/>
        <v>7950</v>
      </c>
      <c r="G534" s="36" t="s">
        <v>2476</v>
      </c>
      <c r="H534" s="36" t="s">
        <v>35</v>
      </c>
      <c r="I534" s="36" t="s">
        <v>221</v>
      </c>
      <c r="J534" s="36" t="s">
        <v>34</v>
      </c>
      <c r="K534" s="36" t="s">
        <v>35</v>
      </c>
      <c r="L534" s="36" t="s">
        <v>35</v>
      </c>
      <c r="M534" s="36">
        <v>31.0</v>
      </c>
      <c r="N534" s="36"/>
      <c r="O534" s="36"/>
      <c r="P534" s="34"/>
      <c r="Q534" s="34"/>
      <c r="R534" s="34"/>
      <c r="S534" s="34"/>
    </row>
    <row r="535" ht="15.0" hidden="1" customHeight="1">
      <c r="B535" s="34">
        <v>46126.0</v>
      </c>
      <c r="C535" s="36" t="s">
        <v>35</v>
      </c>
      <c r="D535" s="36">
        <v>10.0</v>
      </c>
      <c r="E535" s="38">
        <v>800.0</v>
      </c>
      <c r="F535" s="38">
        <f t="shared" si="2"/>
        <v>8000</v>
      </c>
      <c r="G535" s="36" t="s">
        <v>2478</v>
      </c>
      <c r="H535" s="36" t="s">
        <v>35</v>
      </c>
      <c r="I535" s="36" t="s">
        <v>41</v>
      </c>
      <c r="J535" s="36" t="s">
        <v>34</v>
      </c>
      <c r="K535" s="36" t="s">
        <v>35</v>
      </c>
      <c r="L535" s="36" t="s">
        <v>314</v>
      </c>
      <c r="M535" s="36">
        <v>31.0</v>
      </c>
      <c r="N535" s="36"/>
      <c r="O535" s="44">
        <v>46129.0</v>
      </c>
      <c r="P535" s="34"/>
      <c r="Q535" s="34"/>
      <c r="R535" s="34"/>
      <c r="S535" s="34"/>
    </row>
    <row r="536" ht="15.75" hidden="1" customHeight="1">
      <c r="B536" s="34">
        <v>46126.0</v>
      </c>
      <c r="C536" s="36" t="s">
        <v>35</v>
      </c>
      <c r="D536" s="36">
        <v>50.0</v>
      </c>
      <c r="E536" s="38">
        <v>400.0</v>
      </c>
      <c r="F536" s="38">
        <f t="shared" si="2"/>
        <v>20000</v>
      </c>
      <c r="G536" s="36" t="s">
        <v>2483</v>
      </c>
      <c r="H536" s="36" t="s">
        <v>35</v>
      </c>
      <c r="I536" s="36" t="s">
        <v>59</v>
      </c>
      <c r="J536" s="36" t="s">
        <v>34</v>
      </c>
      <c r="K536" s="36" t="s">
        <v>35</v>
      </c>
      <c r="L536" s="36" t="s">
        <v>314</v>
      </c>
      <c r="M536" s="36">
        <v>31.0</v>
      </c>
      <c r="N536" s="36"/>
      <c r="O536" s="45">
        <v>46127.0</v>
      </c>
      <c r="P536" s="34"/>
      <c r="Q536" s="34"/>
      <c r="R536" s="34"/>
      <c r="S536" s="34"/>
    </row>
    <row r="537" ht="15.75" hidden="1" customHeight="1">
      <c r="B537" s="34">
        <v>46127.0</v>
      </c>
      <c r="C537" s="36" t="s">
        <v>35</v>
      </c>
      <c r="D537" s="36">
        <v>10.0</v>
      </c>
      <c r="E537" s="38">
        <v>1100.0</v>
      </c>
      <c r="F537" s="38">
        <f t="shared" si="2"/>
        <v>11000</v>
      </c>
      <c r="G537" s="36" t="s">
        <v>2486</v>
      </c>
      <c r="H537" s="36" t="s">
        <v>2487</v>
      </c>
      <c r="I537" s="36" t="s">
        <v>41</v>
      </c>
      <c r="J537" s="36" t="s">
        <v>34</v>
      </c>
      <c r="K537" s="36" t="s">
        <v>35</v>
      </c>
      <c r="L537" s="36" t="s">
        <v>1785</v>
      </c>
      <c r="M537" s="36">
        <v>31.0</v>
      </c>
      <c r="N537" s="36"/>
      <c r="O537" s="45">
        <v>46127.0</v>
      </c>
      <c r="P537" s="34"/>
      <c r="Q537" s="34"/>
      <c r="R537" s="34"/>
      <c r="S537" s="34"/>
    </row>
    <row r="538" ht="15.75" hidden="1" customHeight="1">
      <c r="B538" s="34">
        <v>46127.0</v>
      </c>
      <c r="C538" s="36" t="s">
        <v>35</v>
      </c>
      <c r="D538" s="36">
        <v>5.0</v>
      </c>
      <c r="E538" s="38">
        <v>1100.0</v>
      </c>
      <c r="F538" s="38">
        <f t="shared" si="2"/>
        <v>5500</v>
      </c>
      <c r="G538" s="36" t="s">
        <v>2486</v>
      </c>
      <c r="H538" s="36" t="s">
        <v>2487</v>
      </c>
      <c r="I538" s="36" t="s">
        <v>59</v>
      </c>
      <c r="J538" s="36" t="s">
        <v>34</v>
      </c>
      <c r="K538" s="36" t="s">
        <v>35</v>
      </c>
      <c r="L538" s="36" t="s">
        <v>1785</v>
      </c>
      <c r="M538" s="36">
        <v>31.0</v>
      </c>
      <c r="N538" s="36"/>
      <c r="O538" s="45">
        <v>46128.0</v>
      </c>
      <c r="P538" s="34"/>
      <c r="Q538" s="34"/>
      <c r="R538" s="34"/>
      <c r="S538" s="34"/>
    </row>
    <row r="539" ht="15.75" hidden="1" customHeight="1">
      <c r="B539" s="34">
        <v>46127.0</v>
      </c>
      <c r="C539" s="46" t="s">
        <v>2493</v>
      </c>
      <c r="D539" s="36">
        <v>10.0</v>
      </c>
      <c r="E539" s="38">
        <v>211.5</v>
      </c>
      <c r="F539" s="38">
        <f t="shared" si="2"/>
        <v>2115</v>
      </c>
      <c r="G539" s="36" t="s">
        <v>786</v>
      </c>
      <c r="H539" s="36" t="s">
        <v>2494</v>
      </c>
      <c r="I539" s="36" t="s">
        <v>59</v>
      </c>
      <c r="J539" s="36" t="s">
        <v>34</v>
      </c>
      <c r="K539" s="36" t="s">
        <v>35</v>
      </c>
      <c r="L539" s="36" t="s">
        <v>151</v>
      </c>
      <c r="M539" s="36">
        <v>31.0</v>
      </c>
      <c r="N539" s="36"/>
      <c r="O539" s="45">
        <v>46127.0</v>
      </c>
      <c r="P539" s="34"/>
      <c r="Q539" s="34"/>
      <c r="R539" s="34"/>
      <c r="S539" s="34"/>
    </row>
    <row r="540" ht="15.75" hidden="1" customHeight="1">
      <c r="B540" s="45">
        <v>46127.0</v>
      </c>
      <c r="C540" s="36">
        <v>15016.0</v>
      </c>
      <c r="D540" s="36">
        <v>2.0</v>
      </c>
      <c r="E540" s="38">
        <v>951.75</v>
      </c>
      <c r="F540" s="38">
        <f t="shared" si="2"/>
        <v>1903.5</v>
      </c>
      <c r="G540" s="36" t="s">
        <v>2495</v>
      </c>
      <c r="H540" s="36" t="s">
        <v>2496</v>
      </c>
      <c r="I540" s="36" t="s">
        <v>41</v>
      </c>
      <c r="J540" s="36" t="s">
        <v>34</v>
      </c>
      <c r="K540" s="36" t="s">
        <v>35</v>
      </c>
      <c r="L540" s="36" t="s">
        <v>2232</v>
      </c>
      <c r="M540" s="36">
        <v>31.0</v>
      </c>
      <c r="N540" s="36"/>
      <c r="O540" s="44">
        <v>46129.0</v>
      </c>
      <c r="P540" s="34"/>
      <c r="Q540" s="34"/>
      <c r="R540" s="34"/>
      <c r="S540" s="34"/>
    </row>
    <row r="541" ht="15.75" hidden="1" customHeight="1">
      <c r="B541" s="34">
        <v>46127.0</v>
      </c>
      <c r="C541" s="46" t="s">
        <v>2501</v>
      </c>
      <c r="D541" s="36">
        <v>1.0</v>
      </c>
      <c r="E541" s="38">
        <v>3200.0</v>
      </c>
      <c r="F541" s="38">
        <f t="shared" si="2"/>
        <v>3200</v>
      </c>
      <c r="G541" s="36" t="s">
        <v>2502</v>
      </c>
      <c r="H541" s="36" t="s">
        <v>2503</v>
      </c>
      <c r="I541" s="36" t="s">
        <v>39</v>
      </c>
      <c r="J541" s="36" t="s">
        <v>183</v>
      </c>
      <c r="K541" s="36" t="s">
        <v>35</v>
      </c>
      <c r="L541" s="36" t="s">
        <v>151</v>
      </c>
      <c r="M541" s="36">
        <v>1.0</v>
      </c>
      <c r="N541" s="36"/>
      <c r="O541" s="44">
        <v>46129.0</v>
      </c>
      <c r="P541" s="34"/>
      <c r="Q541" s="34"/>
      <c r="R541" s="34"/>
      <c r="S541" s="34"/>
    </row>
    <row r="542" ht="15.75" hidden="1" customHeight="1">
      <c r="B542" s="34">
        <v>46127.0</v>
      </c>
      <c r="C542" s="36">
        <v>3730.0</v>
      </c>
      <c r="D542" s="36">
        <v>13.0</v>
      </c>
      <c r="E542" s="38">
        <v>90.0</v>
      </c>
      <c r="F542" s="38">
        <f t="shared" si="2"/>
        <v>1170</v>
      </c>
      <c r="G542" s="36" t="s">
        <v>919</v>
      </c>
      <c r="H542" s="36" t="s">
        <v>2234</v>
      </c>
      <c r="I542" s="36" t="s">
        <v>174</v>
      </c>
      <c r="J542" s="36" t="s">
        <v>175</v>
      </c>
      <c r="K542" s="36" t="s">
        <v>35</v>
      </c>
      <c r="L542" s="36" t="s">
        <v>241</v>
      </c>
      <c r="M542" s="36">
        <v>31.0</v>
      </c>
      <c r="N542" s="36"/>
      <c r="O542" s="44">
        <v>46139.0</v>
      </c>
      <c r="P542" s="34"/>
      <c r="Q542" s="34"/>
      <c r="R542" s="34"/>
      <c r="S542" s="34"/>
    </row>
    <row r="543" ht="15.75" hidden="1" customHeight="1">
      <c r="B543" s="34">
        <v>46127.0</v>
      </c>
      <c r="C543" s="46" t="s">
        <v>2508</v>
      </c>
      <c r="D543" s="36">
        <v>5.0</v>
      </c>
      <c r="E543" s="38">
        <v>441.0</v>
      </c>
      <c r="F543" s="38">
        <f t="shared" si="2"/>
        <v>2205</v>
      </c>
      <c r="G543" s="36" t="s">
        <v>786</v>
      </c>
      <c r="H543" s="36" t="s">
        <v>2509</v>
      </c>
      <c r="I543" s="36" t="s">
        <v>59</v>
      </c>
      <c r="J543" s="36" t="s">
        <v>34</v>
      </c>
      <c r="K543" s="36" t="s">
        <v>35</v>
      </c>
      <c r="L543" s="36" t="s">
        <v>151</v>
      </c>
      <c r="M543" s="36">
        <v>31.0</v>
      </c>
      <c r="N543" s="36"/>
      <c r="O543" s="36"/>
      <c r="P543" s="34"/>
      <c r="Q543" s="34"/>
      <c r="R543" s="34"/>
      <c r="S543" s="34"/>
    </row>
    <row r="544" ht="15.75" hidden="1" customHeight="1">
      <c r="B544" s="34">
        <v>46127.0</v>
      </c>
      <c r="C544" s="46" t="s">
        <v>2508</v>
      </c>
      <c r="D544" s="36">
        <v>5.0</v>
      </c>
      <c r="E544" s="38">
        <v>211.5</v>
      </c>
      <c r="F544" s="38">
        <f t="shared" si="2"/>
        <v>1057.5</v>
      </c>
      <c r="G544" s="36" t="s">
        <v>786</v>
      </c>
      <c r="H544" s="36" t="s">
        <v>2494</v>
      </c>
      <c r="I544" s="36" t="s">
        <v>59</v>
      </c>
      <c r="J544" s="36" t="s">
        <v>34</v>
      </c>
      <c r="K544" s="36" t="s">
        <v>35</v>
      </c>
      <c r="L544" s="36" t="s">
        <v>151</v>
      </c>
      <c r="M544" s="36">
        <v>31.0</v>
      </c>
      <c r="N544" s="36"/>
      <c r="O544" s="36"/>
      <c r="P544" s="34"/>
      <c r="Q544" s="34"/>
      <c r="R544" s="34"/>
      <c r="S544" s="34"/>
    </row>
    <row r="545" ht="15.75" hidden="1" customHeight="1">
      <c r="B545" s="34">
        <v>46127.0</v>
      </c>
      <c r="C545" s="69" t="s">
        <v>2512</v>
      </c>
      <c r="D545" s="36">
        <v>20.0</v>
      </c>
      <c r="E545" s="38">
        <v>250.0</v>
      </c>
      <c r="F545" s="38">
        <f t="shared" si="2"/>
        <v>5000</v>
      </c>
      <c r="G545" s="36" t="s">
        <v>2514</v>
      </c>
      <c r="H545" s="36" t="s">
        <v>173</v>
      </c>
      <c r="I545" s="36" t="s">
        <v>59</v>
      </c>
      <c r="J545" s="36" t="s">
        <v>34</v>
      </c>
      <c r="K545" s="36" t="s">
        <v>35</v>
      </c>
      <c r="L545" s="36" t="s">
        <v>87</v>
      </c>
      <c r="M545" s="36">
        <v>31.0</v>
      </c>
      <c r="N545" s="36"/>
      <c r="O545" s="36"/>
      <c r="P545" s="34"/>
      <c r="Q545" s="34"/>
      <c r="R545" s="34"/>
      <c r="S545" s="34"/>
    </row>
    <row r="546" ht="15.75" hidden="1" customHeight="1">
      <c r="B546" s="34">
        <v>46127.0</v>
      </c>
      <c r="C546" s="36" t="s">
        <v>35</v>
      </c>
      <c r="D546" s="36">
        <v>2.0</v>
      </c>
      <c r="E546" s="38">
        <v>7650.0</v>
      </c>
      <c r="F546" s="38">
        <f t="shared" si="2"/>
        <v>15300</v>
      </c>
      <c r="G546" s="36" t="s">
        <v>2519</v>
      </c>
      <c r="H546" s="36" t="s">
        <v>35</v>
      </c>
      <c r="I546" s="36" t="s">
        <v>221</v>
      </c>
      <c r="J546" s="36" t="s">
        <v>34</v>
      </c>
      <c r="K546" s="36" t="s">
        <v>35</v>
      </c>
      <c r="L546" s="36" t="s">
        <v>35</v>
      </c>
      <c r="M546" s="36">
        <v>31.0</v>
      </c>
      <c r="N546" s="36"/>
      <c r="O546" s="36"/>
      <c r="P546" s="34"/>
      <c r="Q546" s="34"/>
      <c r="R546" s="34"/>
      <c r="S546" s="34"/>
    </row>
    <row r="547" ht="15.75" hidden="1" customHeight="1">
      <c r="B547" s="34">
        <v>46127.0</v>
      </c>
      <c r="C547" s="36" t="s">
        <v>35</v>
      </c>
      <c r="D547" s="36">
        <v>1.0</v>
      </c>
      <c r="E547" s="38">
        <v>7150.0</v>
      </c>
      <c r="F547" s="38">
        <f t="shared" si="2"/>
        <v>7150</v>
      </c>
      <c r="G547" s="36" t="s">
        <v>2521</v>
      </c>
      <c r="H547" s="36" t="s">
        <v>35</v>
      </c>
      <c r="I547" s="36" t="s">
        <v>221</v>
      </c>
      <c r="J547" s="36" t="s">
        <v>34</v>
      </c>
      <c r="K547" s="36" t="s">
        <v>35</v>
      </c>
      <c r="L547" s="36" t="s">
        <v>35</v>
      </c>
      <c r="M547" s="36">
        <v>31.0</v>
      </c>
      <c r="N547" s="36"/>
      <c r="O547" s="36"/>
      <c r="P547" s="34"/>
      <c r="Q547" s="34"/>
      <c r="R547" s="34"/>
      <c r="S547" s="34"/>
    </row>
    <row r="548" ht="15.75" hidden="1" customHeight="1">
      <c r="B548" s="34">
        <v>46127.0</v>
      </c>
      <c r="C548" s="36" t="s">
        <v>35</v>
      </c>
      <c r="D548" s="36">
        <v>50.0</v>
      </c>
      <c r="E548" s="38">
        <v>72.0</v>
      </c>
      <c r="F548" s="38">
        <f t="shared" si="2"/>
        <v>3600</v>
      </c>
      <c r="G548" s="36" t="s">
        <v>2523</v>
      </c>
      <c r="H548" s="36" t="s">
        <v>35</v>
      </c>
      <c r="I548" s="36" t="s">
        <v>32</v>
      </c>
      <c r="J548" s="36" t="s">
        <v>40</v>
      </c>
      <c r="K548" s="36" t="s">
        <v>35</v>
      </c>
      <c r="L548" s="36" t="s">
        <v>799</v>
      </c>
      <c r="M548" s="36">
        <v>31.0</v>
      </c>
      <c r="N548" s="36"/>
      <c r="O548" s="36"/>
      <c r="P548" s="34"/>
      <c r="Q548" s="34"/>
      <c r="R548" s="34"/>
      <c r="S548" s="34"/>
    </row>
    <row r="549" ht="15.75" hidden="1" customHeight="1">
      <c r="B549" s="34">
        <v>46127.0</v>
      </c>
      <c r="C549" s="36" t="s">
        <v>35</v>
      </c>
      <c r="D549" s="36">
        <v>126.0</v>
      </c>
      <c r="E549" s="38">
        <v>85.0</v>
      </c>
      <c r="F549" s="38">
        <f t="shared" si="2"/>
        <v>10710</v>
      </c>
      <c r="G549" s="36" t="s">
        <v>2529</v>
      </c>
      <c r="H549" s="36" t="s">
        <v>35</v>
      </c>
      <c r="I549" s="36" t="s">
        <v>32</v>
      </c>
      <c r="J549" s="36" t="s">
        <v>34</v>
      </c>
      <c r="K549" s="36" t="s">
        <v>35</v>
      </c>
      <c r="L549" s="36" t="s">
        <v>799</v>
      </c>
      <c r="M549" s="36">
        <v>31.0</v>
      </c>
      <c r="N549" s="35"/>
      <c r="O549" s="44">
        <v>46133.0</v>
      </c>
      <c r="P549" s="34"/>
      <c r="Q549" s="34"/>
      <c r="R549" s="34"/>
      <c r="S549" s="34"/>
    </row>
    <row r="550" ht="15.75" hidden="1" customHeight="1">
      <c r="B550" s="34">
        <v>46127.0</v>
      </c>
      <c r="C550" s="36" t="s">
        <v>35</v>
      </c>
      <c r="D550" s="36">
        <v>200.0</v>
      </c>
      <c r="E550" s="38">
        <v>120.0</v>
      </c>
      <c r="F550" s="38">
        <f t="shared" si="2"/>
        <v>24000</v>
      </c>
      <c r="G550" s="36" t="s">
        <v>299</v>
      </c>
      <c r="H550" s="36" t="s">
        <v>35</v>
      </c>
      <c r="I550" s="36" t="s">
        <v>41</v>
      </c>
      <c r="J550" s="36" t="s">
        <v>34</v>
      </c>
      <c r="K550" s="36" t="s">
        <v>35</v>
      </c>
      <c r="L550" s="36" t="s">
        <v>799</v>
      </c>
      <c r="M550" s="36">
        <v>31.0</v>
      </c>
      <c r="N550" s="36"/>
      <c r="O550" s="44">
        <v>46129.0</v>
      </c>
      <c r="P550" s="34"/>
      <c r="Q550" s="34"/>
      <c r="R550" s="34"/>
      <c r="S550" s="34"/>
    </row>
    <row r="551" ht="15.75" hidden="1" customHeight="1">
      <c r="B551" s="34">
        <v>46127.0</v>
      </c>
      <c r="C551" s="69" t="s">
        <v>2536</v>
      </c>
      <c r="D551" s="36">
        <v>600.0</v>
      </c>
      <c r="E551" s="38">
        <v>7.2</v>
      </c>
      <c r="F551" s="38">
        <f t="shared" si="2"/>
        <v>4320</v>
      </c>
      <c r="G551" s="36" t="s">
        <v>2538</v>
      </c>
      <c r="H551" s="36" t="s">
        <v>2539</v>
      </c>
      <c r="I551" s="36" t="s">
        <v>41</v>
      </c>
      <c r="J551" s="36" t="s">
        <v>34</v>
      </c>
      <c r="K551" s="36" t="s">
        <v>35</v>
      </c>
      <c r="L551" s="36" t="s">
        <v>87</v>
      </c>
      <c r="M551" s="36">
        <v>31.0</v>
      </c>
      <c r="N551" s="36"/>
      <c r="O551" s="44">
        <v>46133.0</v>
      </c>
      <c r="P551" s="34"/>
      <c r="Q551" s="34"/>
      <c r="R551" s="34"/>
      <c r="S551" s="34"/>
    </row>
    <row r="552" ht="15.75" hidden="1" customHeight="1">
      <c r="B552" s="34">
        <v>46127.0</v>
      </c>
      <c r="C552" s="69" t="s">
        <v>2540</v>
      </c>
      <c r="D552" s="36">
        <v>40.0</v>
      </c>
      <c r="E552" s="38">
        <v>59.0</v>
      </c>
      <c r="F552" s="38">
        <f t="shared" si="2"/>
        <v>2360</v>
      </c>
      <c r="G552" s="36" t="s">
        <v>2542</v>
      </c>
      <c r="H552" s="36" t="s">
        <v>2543</v>
      </c>
      <c r="I552" s="36" t="s">
        <v>32</v>
      </c>
      <c r="J552" s="36" t="s">
        <v>34</v>
      </c>
      <c r="K552" s="36" t="s">
        <v>35</v>
      </c>
      <c r="L552" s="36" t="s">
        <v>87</v>
      </c>
      <c r="M552" s="36">
        <v>31.0</v>
      </c>
      <c r="N552" s="36"/>
      <c r="O552" s="44">
        <v>46133.0</v>
      </c>
      <c r="P552" s="34"/>
      <c r="Q552" s="34"/>
      <c r="R552" s="34"/>
      <c r="S552" s="34"/>
    </row>
    <row r="553" ht="15.75" hidden="1" customHeight="1">
      <c r="B553" s="34">
        <v>46127.0</v>
      </c>
      <c r="C553" s="69" t="s">
        <v>2540</v>
      </c>
      <c r="D553" s="36">
        <v>10.0</v>
      </c>
      <c r="E553" s="38">
        <v>330.0</v>
      </c>
      <c r="F553" s="38">
        <f t="shared" si="2"/>
        <v>3300</v>
      </c>
      <c r="G553" s="36" t="s">
        <v>2547</v>
      </c>
      <c r="H553" s="36" t="s">
        <v>2548</v>
      </c>
      <c r="I553" s="36" t="s">
        <v>32</v>
      </c>
      <c r="J553" s="36" t="s">
        <v>40</v>
      </c>
      <c r="K553" s="36" t="s">
        <v>35</v>
      </c>
      <c r="L553" s="36" t="s">
        <v>87</v>
      </c>
      <c r="M553" s="36">
        <v>31.0</v>
      </c>
      <c r="N553" s="36"/>
      <c r="O553" s="44">
        <v>46133.0</v>
      </c>
      <c r="P553" s="34"/>
      <c r="Q553" s="34"/>
      <c r="R553" s="34"/>
      <c r="S553" s="34"/>
    </row>
    <row r="554" ht="15.75" hidden="1" customHeight="1">
      <c r="B554" s="34">
        <v>46127.0</v>
      </c>
      <c r="C554" s="69" t="s">
        <v>2540</v>
      </c>
      <c r="D554" s="36">
        <v>10.0</v>
      </c>
      <c r="E554" s="38">
        <v>330.0</v>
      </c>
      <c r="F554" s="38">
        <f t="shared" si="2"/>
        <v>3300</v>
      </c>
      <c r="G554" s="36" t="s">
        <v>2547</v>
      </c>
      <c r="H554" s="36" t="s">
        <v>2548</v>
      </c>
      <c r="I554" s="36" t="s">
        <v>32</v>
      </c>
      <c r="J554" s="36" t="s">
        <v>34</v>
      </c>
      <c r="K554" s="36" t="s">
        <v>35</v>
      </c>
      <c r="L554" s="36" t="s">
        <v>87</v>
      </c>
      <c r="M554" s="36">
        <v>31.0</v>
      </c>
      <c r="N554" s="36"/>
      <c r="O554" s="44">
        <v>46133.0</v>
      </c>
      <c r="P554" s="34"/>
      <c r="Q554" s="34"/>
      <c r="R554" s="34"/>
      <c r="S554" s="34"/>
    </row>
    <row r="555" ht="15.75" hidden="1" customHeight="1">
      <c r="B555" s="34">
        <v>46127.0</v>
      </c>
      <c r="C555" s="69" t="s">
        <v>2540</v>
      </c>
      <c r="D555" s="36">
        <v>110.0</v>
      </c>
      <c r="E555" s="38">
        <v>59.0</v>
      </c>
      <c r="F555" s="38">
        <f t="shared" si="2"/>
        <v>6490</v>
      </c>
      <c r="G555" s="36" t="s">
        <v>2542</v>
      </c>
      <c r="H555" s="36" t="s">
        <v>2543</v>
      </c>
      <c r="I555" s="36" t="s">
        <v>32</v>
      </c>
      <c r="J555" s="36" t="s">
        <v>40</v>
      </c>
      <c r="K555" s="36" t="s">
        <v>35</v>
      </c>
      <c r="L555" s="36" t="s">
        <v>87</v>
      </c>
      <c r="M555" s="36">
        <v>31.0</v>
      </c>
      <c r="N555" s="36"/>
      <c r="O555" s="44">
        <v>46133.0</v>
      </c>
      <c r="P555" s="34"/>
      <c r="Q555" s="34"/>
      <c r="R555" s="34"/>
      <c r="S555" s="34"/>
    </row>
    <row r="556" ht="15.75" hidden="1" customHeight="1">
      <c r="B556" s="34">
        <v>46128.0</v>
      </c>
      <c r="C556" s="69" t="s">
        <v>2553</v>
      </c>
      <c r="D556" s="36">
        <v>6.0</v>
      </c>
      <c r="E556" s="38">
        <v>58.5</v>
      </c>
      <c r="F556" s="38">
        <f t="shared" si="2"/>
        <v>351</v>
      </c>
      <c r="G556" s="36" t="s">
        <v>2555</v>
      </c>
      <c r="H556" s="36" t="s">
        <v>2556</v>
      </c>
      <c r="I556" s="36" t="s">
        <v>240</v>
      </c>
      <c r="J556" s="36" t="s">
        <v>34</v>
      </c>
      <c r="K556" s="36" t="s">
        <v>35</v>
      </c>
      <c r="L556" s="36" t="s">
        <v>279</v>
      </c>
      <c r="M556" s="36">
        <v>1.0</v>
      </c>
      <c r="N556" s="36"/>
      <c r="O556" s="44">
        <v>46135.0</v>
      </c>
      <c r="P556" s="34"/>
      <c r="Q556" s="34"/>
      <c r="R556" s="34"/>
      <c r="S556" s="34"/>
    </row>
    <row r="557" ht="15.75" hidden="1" customHeight="1">
      <c r="B557" s="34">
        <v>46128.0</v>
      </c>
      <c r="C557" s="69" t="s">
        <v>2559</v>
      </c>
      <c r="D557" s="36">
        <v>400.0</v>
      </c>
      <c r="E557" s="38">
        <v>81.0</v>
      </c>
      <c r="F557" s="38">
        <f t="shared" si="2"/>
        <v>32400</v>
      </c>
      <c r="G557" s="36" t="s">
        <v>1939</v>
      </c>
      <c r="H557" s="36" t="s">
        <v>1151</v>
      </c>
      <c r="I557" s="36" t="s">
        <v>41</v>
      </c>
      <c r="J557" s="36" t="s">
        <v>40</v>
      </c>
      <c r="K557" s="36" t="s">
        <v>35</v>
      </c>
      <c r="L557" s="36" t="s">
        <v>87</v>
      </c>
      <c r="M557" s="36">
        <v>31.0</v>
      </c>
      <c r="N557" s="36"/>
      <c r="O557" s="44">
        <v>46134.0</v>
      </c>
      <c r="P557" s="34"/>
      <c r="Q557" s="34"/>
      <c r="R557" s="34"/>
      <c r="S557" s="34"/>
    </row>
    <row r="558" ht="15.75" hidden="1" customHeight="1">
      <c r="B558" s="34">
        <v>46128.0</v>
      </c>
      <c r="C558" s="69" t="s">
        <v>2563</v>
      </c>
      <c r="D558" s="36">
        <v>20.0</v>
      </c>
      <c r="E558" s="38">
        <v>250.0</v>
      </c>
      <c r="F558" s="38">
        <f t="shared" si="2"/>
        <v>5000</v>
      </c>
      <c r="G558" s="36" t="s">
        <v>2514</v>
      </c>
      <c r="H558" s="36" t="s">
        <v>173</v>
      </c>
      <c r="I558" s="36" t="s">
        <v>41</v>
      </c>
      <c r="J558" s="36" t="s">
        <v>34</v>
      </c>
      <c r="K558" s="36" t="s">
        <v>35</v>
      </c>
      <c r="L558" s="36" t="s">
        <v>87</v>
      </c>
      <c r="M558" s="36">
        <v>31.0</v>
      </c>
      <c r="N558" s="36"/>
      <c r="O558" s="44">
        <v>46134.0</v>
      </c>
      <c r="P558" s="34"/>
      <c r="Q558" s="34"/>
      <c r="R558" s="34"/>
      <c r="S558" s="34"/>
    </row>
    <row r="559" ht="15.75" hidden="1" customHeight="1">
      <c r="B559" s="33">
        <v>46128.0</v>
      </c>
      <c r="C559" s="35">
        <v>30490.0</v>
      </c>
      <c r="D559" s="35">
        <v>600.0</v>
      </c>
      <c r="E559" s="37">
        <v>5.2</v>
      </c>
      <c r="F559" s="38">
        <f t="shared" si="2"/>
        <v>3120</v>
      </c>
      <c r="G559" s="35" t="s">
        <v>2359</v>
      </c>
      <c r="H559" s="35" t="s">
        <v>2201</v>
      </c>
      <c r="I559" s="35" t="s">
        <v>41</v>
      </c>
      <c r="J559" s="35" t="s">
        <v>34</v>
      </c>
      <c r="K559" s="36" t="s">
        <v>35</v>
      </c>
      <c r="L559" s="35" t="s">
        <v>160</v>
      </c>
      <c r="M559" s="35">
        <v>31.0</v>
      </c>
      <c r="N559" s="36"/>
      <c r="O559" s="36"/>
      <c r="P559" s="34"/>
      <c r="Q559" s="34"/>
      <c r="R559" s="34"/>
      <c r="S559" s="34"/>
    </row>
    <row r="560" ht="15.75" hidden="1" customHeight="1">
      <c r="B560" s="33">
        <v>46128.0</v>
      </c>
      <c r="C560" s="35">
        <v>30498.0</v>
      </c>
      <c r="D560" s="35">
        <v>1500.0</v>
      </c>
      <c r="E560" s="37">
        <v>2.8</v>
      </c>
      <c r="F560" s="38">
        <f t="shared" si="2"/>
        <v>4200</v>
      </c>
      <c r="G560" s="35" t="s">
        <v>2353</v>
      </c>
      <c r="H560" s="35" t="s">
        <v>2574</v>
      </c>
      <c r="I560" s="35" t="s">
        <v>59</v>
      </c>
      <c r="J560" s="35" t="s">
        <v>34</v>
      </c>
      <c r="K560" s="36" t="s">
        <v>35</v>
      </c>
      <c r="L560" s="35" t="s">
        <v>160</v>
      </c>
      <c r="M560" s="35">
        <v>31.0</v>
      </c>
      <c r="N560" s="36"/>
      <c r="O560" s="36"/>
      <c r="P560" s="34"/>
      <c r="Q560" s="34"/>
      <c r="R560" s="34"/>
      <c r="S560" s="34"/>
    </row>
    <row r="561" ht="15.75" hidden="1" customHeight="1">
      <c r="B561" s="33">
        <v>46128.0</v>
      </c>
      <c r="C561" s="35">
        <v>86295.0</v>
      </c>
      <c r="D561" s="35">
        <v>1000.0</v>
      </c>
      <c r="E561" s="37">
        <v>5.5</v>
      </c>
      <c r="F561" s="38">
        <f t="shared" si="2"/>
        <v>5500</v>
      </c>
      <c r="G561" s="35" t="s">
        <v>2578</v>
      </c>
      <c r="H561" s="35" t="s">
        <v>2579</v>
      </c>
      <c r="I561" s="35" t="s">
        <v>59</v>
      </c>
      <c r="J561" s="35" t="s">
        <v>34</v>
      </c>
      <c r="K561" s="36" t="s">
        <v>35</v>
      </c>
      <c r="L561" s="35" t="s">
        <v>1250</v>
      </c>
      <c r="M561" s="35">
        <v>31.0</v>
      </c>
      <c r="N561" s="36"/>
      <c r="O561" s="36"/>
      <c r="P561" s="34"/>
      <c r="Q561" s="34"/>
      <c r="R561" s="34"/>
      <c r="S561" s="34"/>
    </row>
    <row r="562" ht="15.75" hidden="1" customHeight="1">
      <c r="B562" s="33">
        <v>46128.0</v>
      </c>
      <c r="C562" s="35">
        <v>5188.0</v>
      </c>
      <c r="D562" s="35">
        <v>2000.0</v>
      </c>
      <c r="E562" s="37">
        <v>5.5</v>
      </c>
      <c r="F562" s="38">
        <f t="shared" si="2"/>
        <v>11000</v>
      </c>
      <c r="G562" s="35" t="s">
        <v>2578</v>
      </c>
      <c r="H562" s="35" t="s">
        <v>2579</v>
      </c>
      <c r="I562" s="35" t="s">
        <v>41</v>
      </c>
      <c r="J562" s="35" t="s">
        <v>34</v>
      </c>
      <c r="K562" s="36" t="s">
        <v>35</v>
      </c>
      <c r="L562" s="35" t="s">
        <v>1250</v>
      </c>
      <c r="M562" s="35">
        <v>31.0</v>
      </c>
      <c r="N562" s="36"/>
      <c r="O562" s="36"/>
      <c r="P562" s="34"/>
      <c r="Q562" s="34"/>
      <c r="R562" s="34"/>
      <c r="S562" s="34"/>
    </row>
    <row r="563" ht="15.75" hidden="1" customHeight="1">
      <c r="B563" s="33">
        <v>46128.0</v>
      </c>
      <c r="C563" s="35" t="s">
        <v>35</v>
      </c>
      <c r="D563" s="35">
        <v>500.0</v>
      </c>
      <c r="E563" s="37">
        <v>100.0</v>
      </c>
      <c r="F563" s="38">
        <f t="shared" si="2"/>
        <v>50000</v>
      </c>
      <c r="G563" s="35" t="s">
        <v>2587</v>
      </c>
      <c r="H563" s="35" t="s">
        <v>35</v>
      </c>
      <c r="I563" s="35" t="s">
        <v>32</v>
      </c>
      <c r="J563" s="35" t="s">
        <v>34</v>
      </c>
      <c r="K563" s="36" t="s">
        <v>35</v>
      </c>
      <c r="L563" s="35" t="s">
        <v>314</v>
      </c>
      <c r="M563" s="35">
        <v>31.0</v>
      </c>
      <c r="N563" s="36"/>
      <c r="O563" s="44">
        <v>46134.0</v>
      </c>
      <c r="P563" s="34"/>
      <c r="Q563" s="34"/>
      <c r="R563" s="34"/>
      <c r="S563" s="34"/>
    </row>
    <row r="564" ht="15.75" hidden="1" customHeight="1">
      <c r="B564" s="44">
        <v>46128.0</v>
      </c>
      <c r="C564" s="35">
        <v>581.0</v>
      </c>
      <c r="D564" s="35">
        <v>1000.0</v>
      </c>
      <c r="E564" s="37">
        <v>76.0</v>
      </c>
      <c r="F564" s="38">
        <f t="shared" si="2"/>
        <v>76000</v>
      </c>
      <c r="G564" s="35" t="s">
        <v>2168</v>
      </c>
      <c r="H564" s="35" t="s">
        <v>35</v>
      </c>
      <c r="I564" s="35" t="s">
        <v>32</v>
      </c>
      <c r="J564" s="35" t="s">
        <v>34</v>
      </c>
      <c r="K564" s="36" t="s">
        <v>35</v>
      </c>
      <c r="L564" s="35" t="s">
        <v>140</v>
      </c>
      <c r="M564" s="35">
        <v>31.0</v>
      </c>
      <c r="N564" s="36"/>
      <c r="O564" s="36"/>
      <c r="P564" s="34"/>
      <c r="Q564" s="34"/>
      <c r="R564" s="34"/>
      <c r="S564" s="34"/>
    </row>
    <row r="565" ht="15.75" hidden="1" customHeight="1">
      <c r="B565" s="33">
        <v>46128.0</v>
      </c>
      <c r="C565" s="35">
        <v>582.0</v>
      </c>
      <c r="D565" s="35">
        <v>1500.0</v>
      </c>
      <c r="E565" s="37">
        <v>76.0</v>
      </c>
      <c r="F565" s="38">
        <f t="shared" si="2"/>
        <v>114000</v>
      </c>
      <c r="G565" s="35" t="s">
        <v>2168</v>
      </c>
      <c r="H565" s="35" t="s">
        <v>35</v>
      </c>
      <c r="I565" s="35" t="s">
        <v>32</v>
      </c>
      <c r="J565" s="35" t="s">
        <v>34</v>
      </c>
      <c r="K565" s="36" t="s">
        <v>35</v>
      </c>
      <c r="L565" s="35" t="s">
        <v>140</v>
      </c>
      <c r="M565" s="35">
        <v>31.0</v>
      </c>
      <c r="N565" s="36"/>
      <c r="O565" s="44">
        <v>46133.0</v>
      </c>
      <c r="P565" s="34"/>
      <c r="Q565" s="34"/>
      <c r="R565" s="34"/>
      <c r="S565" s="34"/>
    </row>
    <row r="566" ht="15.75" hidden="1" customHeight="1">
      <c r="B566" s="33">
        <v>46128.0</v>
      </c>
      <c r="C566" s="35" t="s">
        <v>35</v>
      </c>
      <c r="D566" s="35">
        <v>30.0</v>
      </c>
      <c r="E566" s="37">
        <v>680.0</v>
      </c>
      <c r="F566" s="38">
        <f t="shared" si="2"/>
        <v>20400</v>
      </c>
      <c r="G566" s="35" t="s">
        <v>2598</v>
      </c>
      <c r="H566" s="35" t="s">
        <v>35</v>
      </c>
      <c r="I566" s="35" t="s">
        <v>673</v>
      </c>
      <c r="J566" s="35" t="s">
        <v>175</v>
      </c>
      <c r="K566" s="36" t="s">
        <v>35</v>
      </c>
      <c r="L566" s="35" t="s">
        <v>868</v>
      </c>
      <c r="M566" s="35">
        <v>31.0</v>
      </c>
      <c r="N566" s="36"/>
      <c r="O566" s="44">
        <v>46135.0</v>
      </c>
      <c r="P566" s="34"/>
      <c r="Q566" s="34"/>
      <c r="R566" s="34"/>
      <c r="S566" s="34"/>
    </row>
    <row r="567" ht="15.75" hidden="1" customHeight="1">
      <c r="B567" s="33">
        <v>46128.0</v>
      </c>
      <c r="C567" s="46" t="s">
        <v>2599</v>
      </c>
      <c r="D567" s="35">
        <v>60.0</v>
      </c>
      <c r="E567" s="37">
        <v>63.0</v>
      </c>
      <c r="F567" s="38">
        <f t="shared" si="2"/>
        <v>3780</v>
      </c>
      <c r="G567" s="35" t="s">
        <v>451</v>
      </c>
      <c r="H567" s="35" t="s">
        <v>452</v>
      </c>
      <c r="I567" s="35" t="s">
        <v>41</v>
      </c>
      <c r="J567" s="35" t="s">
        <v>34</v>
      </c>
      <c r="K567" s="36" t="s">
        <v>35</v>
      </c>
      <c r="L567" s="35" t="s">
        <v>87</v>
      </c>
      <c r="M567" s="35">
        <v>31.0</v>
      </c>
      <c r="N567" s="44">
        <v>46133.0</v>
      </c>
      <c r="O567" s="44">
        <v>46134.0</v>
      </c>
      <c r="P567" s="34"/>
      <c r="Q567" s="34"/>
      <c r="R567" s="34"/>
      <c r="S567" s="34"/>
    </row>
    <row r="568" ht="15.75" hidden="1" customHeight="1">
      <c r="B568" s="33">
        <v>46128.0</v>
      </c>
      <c r="C568" s="46" t="s">
        <v>2599</v>
      </c>
      <c r="D568" s="35">
        <v>50.0</v>
      </c>
      <c r="E568" s="37">
        <v>25.0</v>
      </c>
      <c r="F568" s="38">
        <f t="shared" si="2"/>
        <v>1250</v>
      </c>
      <c r="G568" s="35" t="s">
        <v>782</v>
      </c>
      <c r="H568" s="35" t="s">
        <v>783</v>
      </c>
      <c r="I568" s="35" t="s">
        <v>41</v>
      </c>
      <c r="J568" s="35" t="s">
        <v>34</v>
      </c>
      <c r="K568" s="36" t="s">
        <v>35</v>
      </c>
      <c r="L568" s="35" t="s">
        <v>87</v>
      </c>
      <c r="M568" s="35">
        <v>31.0</v>
      </c>
      <c r="N568" s="36"/>
      <c r="O568" s="44">
        <v>46134.0</v>
      </c>
      <c r="P568" s="34"/>
      <c r="Q568" s="34"/>
      <c r="R568" s="34"/>
      <c r="S568" s="34"/>
    </row>
    <row r="569" ht="15.75" hidden="1" customHeight="1">
      <c r="B569" s="33">
        <v>46128.0</v>
      </c>
      <c r="C569" s="46" t="s">
        <v>2599</v>
      </c>
      <c r="D569" s="35">
        <v>50.0</v>
      </c>
      <c r="E569" s="37">
        <v>30.0</v>
      </c>
      <c r="F569" s="38">
        <f t="shared" si="2"/>
        <v>1500</v>
      </c>
      <c r="G569" s="35" t="s">
        <v>782</v>
      </c>
      <c r="H569" s="35" t="s">
        <v>2603</v>
      </c>
      <c r="I569" s="35" t="s">
        <v>41</v>
      </c>
      <c r="J569" s="35" t="s">
        <v>34</v>
      </c>
      <c r="K569" s="36" t="s">
        <v>35</v>
      </c>
      <c r="L569" s="35" t="s">
        <v>87</v>
      </c>
      <c r="M569" s="35">
        <v>31.0</v>
      </c>
      <c r="N569" s="36"/>
      <c r="O569" s="44">
        <v>46134.0</v>
      </c>
      <c r="P569" s="34"/>
      <c r="Q569" s="34"/>
      <c r="R569" s="34"/>
      <c r="S569" s="34"/>
    </row>
    <row r="570" ht="15.75" hidden="1" customHeight="1">
      <c r="B570" s="33">
        <v>46129.0</v>
      </c>
      <c r="C570" s="35">
        <v>13097.0</v>
      </c>
      <c r="D570" s="35">
        <v>24.0</v>
      </c>
      <c r="E570" s="37">
        <v>189.9</v>
      </c>
      <c r="F570" s="38">
        <f t="shared" si="2"/>
        <v>4557.6</v>
      </c>
      <c r="G570" s="35" t="s">
        <v>2608</v>
      </c>
      <c r="H570" s="35" t="s">
        <v>2609</v>
      </c>
      <c r="I570" s="35" t="s">
        <v>32</v>
      </c>
      <c r="J570" s="35" t="s">
        <v>34</v>
      </c>
      <c r="K570" s="36" t="s">
        <v>35</v>
      </c>
      <c r="L570" s="35" t="s">
        <v>96</v>
      </c>
      <c r="M570" s="35">
        <v>31.0</v>
      </c>
      <c r="N570" s="36"/>
      <c r="O570" s="44">
        <v>46133.0</v>
      </c>
      <c r="P570" s="34"/>
      <c r="Q570" s="34"/>
      <c r="R570" s="34"/>
      <c r="S570" s="34"/>
    </row>
    <row r="571" ht="15.75" hidden="1" customHeight="1">
      <c r="B571" s="33">
        <v>46129.0</v>
      </c>
      <c r="C571" s="46" t="s">
        <v>2614</v>
      </c>
      <c r="D571" s="35">
        <v>40.0</v>
      </c>
      <c r="E571" s="37">
        <v>342.0</v>
      </c>
      <c r="F571" s="38">
        <f t="shared" si="2"/>
        <v>13680</v>
      </c>
      <c r="G571" s="35" t="s">
        <v>2615</v>
      </c>
      <c r="H571" s="35" t="s">
        <v>775</v>
      </c>
      <c r="I571" s="35" t="s">
        <v>59</v>
      </c>
      <c r="J571" s="35" t="s">
        <v>34</v>
      </c>
      <c r="K571" s="36" t="s">
        <v>35</v>
      </c>
      <c r="L571" s="35" t="s">
        <v>46</v>
      </c>
      <c r="M571" s="35">
        <v>31.0</v>
      </c>
      <c r="N571" s="36"/>
      <c r="O571" s="36"/>
      <c r="P571" s="34"/>
      <c r="Q571" s="34"/>
      <c r="R571" s="34"/>
      <c r="S571" s="34"/>
    </row>
    <row r="572" ht="15.75" hidden="1" customHeight="1">
      <c r="B572" s="33">
        <v>46129.0</v>
      </c>
      <c r="C572" s="35">
        <v>13073.0</v>
      </c>
      <c r="D572" s="35">
        <v>60.0</v>
      </c>
      <c r="E572" s="37">
        <v>23.9</v>
      </c>
      <c r="F572" s="38">
        <f t="shared" si="2"/>
        <v>1434</v>
      </c>
      <c r="G572" s="35" t="s">
        <v>2624</v>
      </c>
      <c r="H572" s="35" t="s">
        <v>1642</v>
      </c>
      <c r="I572" s="35" t="s">
        <v>41</v>
      </c>
      <c r="J572" s="35" t="s">
        <v>34</v>
      </c>
      <c r="K572" s="36" t="s">
        <v>35</v>
      </c>
      <c r="L572" s="35" t="s">
        <v>96</v>
      </c>
      <c r="M572" s="35">
        <v>31.0</v>
      </c>
      <c r="N572" s="36"/>
      <c r="O572" s="44">
        <v>46133.0</v>
      </c>
      <c r="P572" s="34"/>
      <c r="Q572" s="34"/>
      <c r="R572" s="34"/>
      <c r="S572" s="34"/>
    </row>
    <row r="573" ht="15.75" hidden="1" customHeight="1">
      <c r="B573" s="33">
        <v>46129.0</v>
      </c>
      <c r="C573" s="35">
        <v>13073.0</v>
      </c>
      <c r="D573" s="35">
        <v>60.0</v>
      </c>
      <c r="E573" s="37">
        <v>53.9</v>
      </c>
      <c r="F573" s="38">
        <f t="shared" si="2"/>
        <v>3234</v>
      </c>
      <c r="G573" s="35" t="s">
        <v>2628</v>
      </c>
      <c r="H573" s="35" t="s">
        <v>1673</v>
      </c>
      <c r="I573" s="35" t="s">
        <v>41</v>
      </c>
      <c r="J573" s="35" t="s">
        <v>34</v>
      </c>
      <c r="K573" s="36" t="s">
        <v>35</v>
      </c>
      <c r="L573" s="35" t="s">
        <v>96</v>
      </c>
      <c r="M573" s="35">
        <v>31.0</v>
      </c>
      <c r="N573" s="36"/>
      <c r="O573" s="44">
        <v>46133.0</v>
      </c>
      <c r="P573" s="34"/>
      <c r="Q573" s="34"/>
      <c r="R573" s="34"/>
      <c r="S573" s="34"/>
    </row>
    <row r="574" ht="15.75" hidden="1" customHeight="1">
      <c r="B574" s="33">
        <v>46129.0</v>
      </c>
      <c r="C574" s="35">
        <v>13073.0</v>
      </c>
      <c r="D574" s="35">
        <v>40.0</v>
      </c>
      <c r="E574" s="37">
        <v>79.9</v>
      </c>
      <c r="F574" s="38">
        <f t="shared" si="2"/>
        <v>3196</v>
      </c>
      <c r="G574" s="35" t="s">
        <v>416</v>
      </c>
      <c r="H574" s="35" t="s">
        <v>545</v>
      </c>
      <c r="I574" s="35" t="s">
        <v>41</v>
      </c>
      <c r="J574" s="35" t="s">
        <v>34</v>
      </c>
      <c r="K574" s="36" t="s">
        <v>35</v>
      </c>
      <c r="L574" s="35" t="s">
        <v>96</v>
      </c>
      <c r="M574" s="35">
        <v>31.0</v>
      </c>
      <c r="N574" s="36"/>
      <c r="O574" s="44">
        <v>46133.0</v>
      </c>
      <c r="P574" s="34"/>
      <c r="Q574" s="34"/>
      <c r="R574" s="34"/>
      <c r="S574" s="34"/>
    </row>
    <row r="575" ht="15.75" hidden="1" customHeight="1">
      <c r="B575" s="33">
        <v>46129.0</v>
      </c>
      <c r="C575" s="35">
        <v>13073.0</v>
      </c>
      <c r="D575" s="35">
        <v>24.0</v>
      </c>
      <c r="E575" s="37">
        <v>139.9</v>
      </c>
      <c r="F575" s="38">
        <f t="shared" si="2"/>
        <v>3357.6</v>
      </c>
      <c r="G575" s="35" t="s">
        <v>2637</v>
      </c>
      <c r="H575" s="35" t="s">
        <v>541</v>
      </c>
      <c r="I575" s="35" t="s">
        <v>41</v>
      </c>
      <c r="J575" s="35" t="s">
        <v>34</v>
      </c>
      <c r="K575" s="36" t="s">
        <v>35</v>
      </c>
      <c r="L575" s="35" t="s">
        <v>96</v>
      </c>
      <c r="M575" s="35">
        <v>31.0</v>
      </c>
      <c r="N575" s="36"/>
      <c r="O575" s="44">
        <v>46133.0</v>
      </c>
      <c r="P575" s="34"/>
      <c r="Q575" s="34"/>
      <c r="R575" s="34"/>
      <c r="S575" s="34"/>
    </row>
    <row r="576" ht="15.75" hidden="1" customHeight="1">
      <c r="B576" s="33">
        <v>46129.0</v>
      </c>
      <c r="C576" s="35">
        <v>13073.0</v>
      </c>
      <c r="D576" s="35">
        <v>40.0</v>
      </c>
      <c r="E576" s="37">
        <v>17.9</v>
      </c>
      <c r="F576" s="38">
        <f t="shared" si="2"/>
        <v>716</v>
      </c>
      <c r="G576" s="35" t="s">
        <v>2643</v>
      </c>
      <c r="H576" s="35" t="s">
        <v>828</v>
      </c>
      <c r="I576" s="35" t="s">
        <v>41</v>
      </c>
      <c r="J576" s="35" t="s">
        <v>34</v>
      </c>
      <c r="K576" s="36" t="s">
        <v>35</v>
      </c>
      <c r="L576" s="35" t="s">
        <v>96</v>
      </c>
      <c r="M576" s="35">
        <v>31.0</v>
      </c>
      <c r="N576" s="36"/>
      <c r="O576" s="44">
        <v>46133.0</v>
      </c>
      <c r="P576" s="34"/>
      <c r="Q576" s="34"/>
      <c r="R576" s="34"/>
      <c r="S576" s="34"/>
    </row>
    <row r="577" ht="15.75" hidden="1" customHeight="1">
      <c r="B577" s="33">
        <v>46129.0</v>
      </c>
      <c r="C577" s="35">
        <v>13073.0</v>
      </c>
      <c r="D577" s="35">
        <v>40.0</v>
      </c>
      <c r="E577" s="37">
        <v>79.9</v>
      </c>
      <c r="F577" s="38">
        <f t="shared" si="2"/>
        <v>3196</v>
      </c>
      <c r="G577" s="35" t="s">
        <v>2647</v>
      </c>
      <c r="H577" s="35" t="s">
        <v>2648</v>
      </c>
      <c r="I577" s="35" t="s">
        <v>41</v>
      </c>
      <c r="J577" s="35" t="s">
        <v>34</v>
      </c>
      <c r="K577" s="36" t="s">
        <v>35</v>
      </c>
      <c r="L577" s="35" t="s">
        <v>96</v>
      </c>
      <c r="M577" s="35">
        <v>31.0</v>
      </c>
      <c r="N577" s="36"/>
      <c r="O577" s="44">
        <v>46133.0</v>
      </c>
      <c r="P577" s="34"/>
      <c r="Q577" s="34"/>
      <c r="R577" s="34"/>
      <c r="S577" s="34"/>
    </row>
    <row r="578" ht="15.75" hidden="1" customHeight="1">
      <c r="B578" s="33">
        <v>46129.0</v>
      </c>
      <c r="C578" s="35">
        <v>13073.0</v>
      </c>
      <c r="D578" s="35">
        <v>10.0</v>
      </c>
      <c r="E578" s="37">
        <v>349.9</v>
      </c>
      <c r="F578" s="38">
        <f t="shared" si="2"/>
        <v>3499</v>
      </c>
      <c r="G578" s="35" t="s">
        <v>537</v>
      </c>
      <c r="H578" s="35" t="s">
        <v>224</v>
      </c>
      <c r="I578" s="35" t="s">
        <v>41</v>
      </c>
      <c r="J578" s="35" t="s">
        <v>34</v>
      </c>
      <c r="K578" s="36" t="s">
        <v>35</v>
      </c>
      <c r="L578" s="35" t="s">
        <v>96</v>
      </c>
      <c r="M578" s="35">
        <v>31.0</v>
      </c>
      <c r="N578" s="36"/>
      <c r="O578" s="44">
        <v>46133.0</v>
      </c>
      <c r="P578" s="34"/>
      <c r="Q578" s="34"/>
      <c r="R578" s="34"/>
      <c r="S578" s="34"/>
    </row>
    <row r="579" ht="15.75" hidden="1" customHeight="1">
      <c r="B579" s="33">
        <v>46129.0</v>
      </c>
      <c r="C579" s="46" t="s">
        <v>2657</v>
      </c>
      <c r="D579" s="35">
        <v>60.0</v>
      </c>
      <c r="E579" s="37">
        <v>375.0</v>
      </c>
      <c r="F579" s="38">
        <f t="shared" si="2"/>
        <v>22500</v>
      </c>
      <c r="G579" s="35" t="s">
        <v>2659</v>
      </c>
      <c r="H579" s="35" t="s">
        <v>2660</v>
      </c>
      <c r="I579" s="35" t="s">
        <v>174</v>
      </c>
      <c r="J579" s="35" t="s">
        <v>175</v>
      </c>
      <c r="K579" s="36" t="s">
        <v>35</v>
      </c>
      <c r="L579" s="35" t="s">
        <v>87</v>
      </c>
      <c r="M579" s="35">
        <v>31.0</v>
      </c>
      <c r="N579" s="36"/>
      <c r="O579" s="44">
        <v>46134.0</v>
      </c>
      <c r="P579" s="34"/>
      <c r="Q579" s="34"/>
      <c r="R579" s="34"/>
      <c r="S579" s="34"/>
    </row>
    <row r="580" ht="15.75" hidden="1" customHeight="1">
      <c r="B580" s="33">
        <v>46129.0</v>
      </c>
      <c r="C580" s="35" t="s">
        <v>35</v>
      </c>
      <c r="D580" s="35">
        <v>300.0</v>
      </c>
      <c r="E580" s="37">
        <v>79.0</v>
      </c>
      <c r="F580" s="38">
        <f t="shared" si="2"/>
        <v>23700</v>
      </c>
      <c r="G580" s="35" t="s">
        <v>2168</v>
      </c>
      <c r="H580" s="35" t="s">
        <v>35</v>
      </c>
      <c r="I580" s="35" t="s">
        <v>32</v>
      </c>
      <c r="J580" s="35" t="s">
        <v>40</v>
      </c>
      <c r="K580" s="36" t="s">
        <v>35</v>
      </c>
      <c r="L580" s="35" t="s">
        <v>799</v>
      </c>
      <c r="M580" s="35">
        <v>31.0</v>
      </c>
      <c r="N580" s="36"/>
      <c r="O580" s="36"/>
      <c r="P580" s="34"/>
      <c r="Q580" s="34"/>
      <c r="R580" s="34"/>
      <c r="S580" s="34"/>
    </row>
    <row r="581" ht="15.75" hidden="1" customHeight="1">
      <c r="B581" s="33">
        <v>46129.0</v>
      </c>
      <c r="C581" s="35" t="s">
        <v>35</v>
      </c>
      <c r="D581" s="35">
        <v>120.0</v>
      </c>
      <c r="E581" s="37">
        <v>79.0</v>
      </c>
      <c r="F581" s="38">
        <f t="shared" si="2"/>
        <v>9480</v>
      </c>
      <c r="G581" s="35" t="s">
        <v>2529</v>
      </c>
      <c r="H581" s="35" t="s">
        <v>35</v>
      </c>
      <c r="I581" s="35" t="s">
        <v>32</v>
      </c>
      <c r="J581" s="35" t="s">
        <v>40</v>
      </c>
      <c r="K581" s="36" t="s">
        <v>35</v>
      </c>
      <c r="L581" s="35" t="s">
        <v>799</v>
      </c>
      <c r="M581" s="35">
        <v>31.0</v>
      </c>
      <c r="N581" s="36"/>
      <c r="O581" s="36"/>
      <c r="P581" s="34"/>
      <c r="Q581" s="34"/>
      <c r="R581" s="34"/>
      <c r="S581" s="34"/>
    </row>
    <row r="582" ht="15.75" hidden="1" customHeight="1">
      <c r="B582" s="33">
        <v>46129.0</v>
      </c>
      <c r="C582" s="35" t="s">
        <v>35</v>
      </c>
      <c r="D582" s="35">
        <v>80.0</v>
      </c>
      <c r="E582" s="37">
        <v>79.0</v>
      </c>
      <c r="F582" s="38">
        <f t="shared" si="2"/>
        <v>6320</v>
      </c>
      <c r="G582" s="35" t="s">
        <v>2168</v>
      </c>
      <c r="H582" s="35" t="s">
        <v>35</v>
      </c>
      <c r="I582" s="35" t="s">
        <v>32</v>
      </c>
      <c r="J582" s="35" t="s">
        <v>40</v>
      </c>
      <c r="K582" s="36" t="s">
        <v>35</v>
      </c>
      <c r="L582" s="35" t="s">
        <v>799</v>
      </c>
      <c r="M582" s="35">
        <v>31.0</v>
      </c>
      <c r="N582" s="36"/>
      <c r="O582" s="36"/>
      <c r="P582" s="34"/>
      <c r="Q582" s="34"/>
      <c r="R582" s="34"/>
      <c r="S582" s="34"/>
    </row>
    <row r="583" ht="15.75" hidden="1" customHeight="1">
      <c r="B583" s="33">
        <v>46129.0</v>
      </c>
      <c r="C583" s="35" t="s">
        <v>35</v>
      </c>
      <c r="D583" s="35">
        <v>14.0</v>
      </c>
      <c r="E583" s="37">
        <v>689.0</v>
      </c>
      <c r="F583" s="38">
        <f t="shared" si="2"/>
        <v>9646</v>
      </c>
      <c r="G583" s="35" t="s">
        <v>2672</v>
      </c>
      <c r="H583" s="35" t="s">
        <v>35</v>
      </c>
      <c r="I583" s="35" t="s">
        <v>673</v>
      </c>
      <c r="J583" s="35" t="s">
        <v>175</v>
      </c>
      <c r="K583" s="36" t="s">
        <v>35</v>
      </c>
      <c r="L583" s="35" t="s">
        <v>37</v>
      </c>
      <c r="M583" s="35">
        <v>31.0</v>
      </c>
      <c r="N583" s="36"/>
      <c r="O583" s="44">
        <v>46136.0</v>
      </c>
      <c r="P583" s="34"/>
      <c r="Q583" s="34"/>
      <c r="R583" s="34"/>
      <c r="S583" s="34"/>
    </row>
    <row r="584" ht="15.75" hidden="1" customHeight="1">
      <c r="B584" s="33">
        <v>46129.0</v>
      </c>
      <c r="C584" s="35" t="s">
        <v>35</v>
      </c>
      <c r="D584" s="35">
        <v>13.0</v>
      </c>
      <c r="E584" s="37">
        <v>689.0</v>
      </c>
      <c r="F584" s="38">
        <f t="shared" si="2"/>
        <v>8957</v>
      </c>
      <c r="G584" s="35" t="s">
        <v>2598</v>
      </c>
      <c r="H584" s="35" t="s">
        <v>35</v>
      </c>
      <c r="I584" s="35" t="s">
        <v>673</v>
      </c>
      <c r="J584" s="35" t="s">
        <v>175</v>
      </c>
      <c r="K584" s="36" t="s">
        <v>35</v>
      </c>
      <c r="L584" s="35" t="s">
        <v>37</v>
      </c>
      <c r="M584" s="35">
        <v>31.0</v>
      </c>
      <c r="N584" s="36"/>
      <c r="O584" s="36"/>
      <c r="P584" s="34"/>
      <c r="Q584" s="34"/>
      <c r="R584" s="34"/>
      <c r="S584" s="34"/>
    </row>
    <row r="585" ht="15.75" hidden="1" customHeight="1">
      <c r="B585" s="33">
        <v>46129.0</v>
      </c>
      <c r="C585" s="35" t="s">
        <v>35</v>
      </c>
      <c r="D585" s="35">
        <v>4.0</v>
      </c>
      <c r="E585" s="37">
        <v>689.0</v>
      </c>
      <c r="F585" s="38">
        <f t="shared" si="2"/>
        <v>2756</v>
      </c>
      <c r="G585" s="35" t="s">
        <v>2676</v>
      </c>
      <c r="H585" s="35" t="s">
        <v>35</v>
      </c>
      <c r="I585" s="35" t="s">
        <v>673</v>
      </c>
      <c r="J585" s="35" t="s">
        <v>175</v>
      </c>
      <c r="K585" s="36" t="s">
        <v>35</v>
      </c>
      <c r="L585" s="35" t="s">
        <v>37</v>
      </c>
      <c r="M585" s="35">
        <v>31.0</v>
      </c>
      <c r="N585" s="36"/>
      <c r="O585" s="44">
        <v>46136.0</v>
      </c>
      <c r="P585" s="34"/>
      <c r="Q585" s="34"/>
      <c r="R585" s="34"/>
      <c r="S585" s="34"/>
    </row>
    <row r="586" ht="15.75" hidden="1" customHeight="1">
      <c r="B586" s="33">
        <v>46129.0</v>
      </c>
      <c r="C586" s="35" t="s">
        <v>35</v>
      </c>
      <c r="D586" s="35">
        <v>22.0</v>
      </c>
      <c r="E586" s="37">
        <v>689.0</v>
      </c>
      <c r="F586" s="38">
        <f t="shared" si="2"/>
        <v>15158</v>
      </c>
      <c r="G586" s="35" t="s">
        <v>2679</v>
      </c>
      <c r="H586" s="35" t="s">
        <v>35</v>
      </c>
      <c r="I586" s="35" t="s">
        <v>673</v>
      </c>
      <c r="J586" s="35" t="s">
        <v>175</v>
      </c>
      <c r="K586" s="36" t="s">
        <v>35</v>
      </c>
      <c r="L586" s="35" t="s">
        <v>37</v>
      </c>
      <c r="M586" s="35">
        <v>31.0</v>
      </c>
      <c r="N586" s="36"/>
      <c r="O586" s="44">
        <v>46136.0</v>
      </c>
      <c r="P586" s="34"/>
      <c r="Q586" s="34"/>
      <c r="R586" s="34"/>
      <c r="S586" s="34"/>
    </row>
    <row r="587" ht="15.75" hidden="1" customHeight="1">
      <c r="B587" s="33">
        <v>46129.0</v>
      </c>
      <c r="C587" s="35">
        <v>825.0</v>
      </c>
      <c r="D587" s="35">
        <v>4.0</v>
      </c>
      <c r="E587" s="37">
        <v>541.1</v>
      </c>
      <c r="F587" s="38">
        <f t="shared" si="2"/>
        <v>2164.4</v>
      </c>
      <c r="G587" s="35" t="s">
        <v>2683</v>
      </c>
      <c r="H587" s="35">
        <v>581.0</v>
      </c>
      <c r="I587" s="35" t="s">
        <v>59</v>
      </c>
      <c r="J587" s="35" t="s">
        <v>34</v>
      </c>
      <c r="K587" s="36" t="s">
        <v>35</v>
      </c>
      <c r="L587" s="35" t="s">
        <v>2686</v>
      </c>
      <c r="M587" s="35">
        <v>1.0</v>
      </c>
      <c r="N587" s="36"/>
      <c r="O587" s="36"/>
      <c r="P587" s="34"/>
      <c r="Q587" s="34"/>
      <c r="R587" s="34"/>
      <c r="S587" s="34"/>
    </row>
    <row r="588" ht="15.75" hidden="1" customHeight="1">
      <c r="B588" s="33">
        <v>46129.0</v>
      </c>
      <c r="C588" s="35">
        <v>825.0</v>
      </c>
      <c r="D588" s="35">
        <v>3.0</v>
      </c>
      <c r="E588" s="37">
        <v>266.6</v>
      </c>
      <c r="F588" s="38">
        <f t="shared" si="2"/>
        <v>799.8</v>
      </c>
      <c r="G588" s="35" t="s">
        <v>2689</v>
      </c>
      <c r="H588" s="35">
        <v>575.0</v>
      </c>
      <c r="I588" s="35" t="s">
        <v>59</v>
      </c>
      <c r="J588" s="35" t="s">
        <v>34</v>
      </c>
      <c r="K588" s="36" t="s">
        <v>35</v>
      </c>
      <c r="L588" s="35" t="s">
        <v>2686</v>
      </c>
      <c r="M588" s="35">
        <v>1.0</v>
      </c>
      <c r="N588" s="36"/>
      <c r="O588" s="36"/>
      <c r="P588" s="34"/>
      <c r="Q588" s="34"/>
      <c r="R588" s="34"/>
      <c r="S588" s="34"/>
    </row>
    <row r="589" ht="15.75" hidden="1" customHeight="1">
      <c r="B589" s="33">
        <v>46129.0</v>
      </c>
      <c r="C589" s="35">
        <v>825.0</v>
      </c>
      <c r="D589" s="35">
        <v>3.0</v>
      </c>
      <c r="E589" s="37">
        <v>279.9</v>
      </c>
      <c r="F589" s="38">
        <f t="shared" si="2"/>
        <v>839.7</v>
      </c>
      <c r="G589" s="35" t="s">
        <v>2693</v>
      </c>
      <c r="H589" s="35">
        <v>1915.0</v>
      </c>
      <c r="I589" s="35" t="s">
        <v>59</v>
      </c>
      <c r="J589" s="35" t="s">
        <v>34</v>
      </c>
      <c r="K589" s="36" t="s">
        <v>35</v>
      </c>
      <c r="L589" s="35" t="s">
        <v>2686</v>
      </c>
      <c r="M589" s="35">
        <v>1.0</v>
      </c>
      <c r="N589" s="36"/>
      <c r="O589" s="36"/>
      <c r="P589" s="34"/>
      <c r="Q589" s="34"/>
      <c r="R589" s="34"/>
      <c r="S589" s="34"/>
    </row>
    <row r="590" ht="15.75" hidden="1" customHeight="1">
      <c r="B590" s="33">
        <v>46129.0</v>
      </c>
      <c r="C590" s="46" t="s">
        <v>2698</v>
      </c>
      <c r="D590" s="35">
        <v>103.0</v>
      </c>
      <c r="E590" s="37">
        <v>550.0</v>
      </c>
      <c r="F590" s="38">
        <f t="shared" si="2"/>
        <v>56650</v>
      </c>
      <c r="G590" s="35" t="s">
        <v>2700</v>
      </c>
      <c r="H590" s="35" t="s">
        <v>2701</v>
      </c>
      <c r="I590" s="35" t="s">
        <v>59</v>
      </c>
      <c r="J590" s="35" t="s">
        <v>34</v>
      </c>
      <c r="K590" s="36" t="s">
        <v>35</v>
      </c>
      <c r="L590" s="35" t="s">
        <v>151</v>
      </c>
      <c r="M590" s="35">
        <v>31.0</v>
      </c>
      <c r="N590" s="36"/>
      <c r="O590" s="36"/>
      <c r="P590" s="34"/>
      <c r="Q590" s="34"/>
      <c r="R590" s="34"/>
      <c r="S590" s="34"/>
    </row>
    <row r="591" ht="15.75" hidden="1" customHeight="1">
      <c r="B591" s="33">
        <v>46129.0</v>
      </c>
      <c r="C591" s="46" t="s">
        <v>2705</v>
      </c>
      <c r="D591" s="35">
        <v>300.0</v>
      </c>
      <c r="E591" s="37">
        <v>40.5</v>
      </c>
      <c r="F591" s="38">
        <f t="shared" si="2"/>
        <v>12150</v>
      </c>
      <c r="G591" s="35" t="s">
        <v>947</v>
      </c>
      <c r="H591" s="35" t="s">
        <v>1020</v>
      </c>
      <c r="I591" s="35" t="s">
        <v>32</v>
      </c>
      <c r="J591" s="35" t="s">
        <v>40</v>
      </c>
      <c r="K591" s="36" t="s">
        <v>35</v>
      </c>
      <c r="L591" s="35" t="s">
        <v>151</v>
      </c>
      <c r="M591" s="35">
        <v>1.0</v>
      </c>
      <c r="N591" s="36"/>
      <c r="O591" s="36"/>
      <c r="P591" s="34"/>
      <c r="Q591" s="34"/>
      <c r="R591" s="34"/>
      <c r="S591" s="34"/>
    </row>
    <row r="592" ht="15.75" hidden="1" customHeight="1">
      <c r="B592" s="33">
        <v>46129.0</v>
      </c>
      <c r="C592" s="46" t="s">
        <v>2705</v>
      </c>
      <c r="D592" s="35">
        <v>50.0</v>
      </c>
      <c r="E592" s="37">
        <v>27.0</v>
      </c>
      <c r="F592" s="38">
        <f t="shared" si="2"/>
        <v>1350</v>
      </c>
      <c r="G592" s="35" t="s">
        <v>1026</v>
      </c>
      <c r="H592" s="35" t="s">
        <v>501</v>
      </c>
      <c r="I592" s="35" t="s">
        <v>32</v>
      </c>
      <c r="J592" s="35" t="s">
        <v>40</v>
      </c>
      <c r="K592" s="36" t="s">
        <v>35</v>
      </c>
      <c r="L592" s="35" t="s">
        <v>151</v>
      </c>
      <c r="M592" s="35">
        <v>1.0</v>
      </c>
      <c r="N592" s="36"/>
      <c r="O592" s="36"/>
      <c r="P592" s="34"/>
      <c r="Q592" s="34"/>
      <c r="R592" s="34"/>
      <c r="S592" s="34"/>
    </row>
    <row r="593" ht="15.75" hidden="1" customHeight="1">
      <c r="B593" s="33">
        <v>46129.0</v>
      </c>
      <c r="C593" s="35" t="s">
        <v>35</v>
      </c>
      <c r="D593" s="35">
        <v>300.0</v>
      </c>
      <c r="E593" s="37">
        <v>94.0</v>
      </c>
      <c r="F593" s="38">
        <f t="shared" si="2"/>
        <v>28200</v>
      </c>
      <c r="G593" s="35" t="s">
        <v>2712</v>
      </c>
      <c r="H593" s="35" t="s">
        <v>35</v>
      </c>
      <c r="I593" s="35" t="s">
        <v>41</v>
      </c>
      <c r="J593" s="35" t="s">
        <v>34</v>
      </c>
      <c r="K593" s="36" t="s">
        <v>35</v>
      </c>
      <c r="L593" s="35" t="s">
        <v>799</v>
      </c>
      <c r="M593" s="35">
        <v>31.0</v>
      </c>
      <c r="N593" s="44"/>
      <c r="O593" s="36"/>
      <c r="P593" s="34"/>
      <c r="Q593" s="34"/>
      <c r="R593" s="34"/>
      <c r="S593" s="34"/>
    </row>
    <row r="594" ht="15.75" hidden="1" customHeight="1">
      <c r="B594" s="33">
        <v>46129.0</v>
      </c>
      <c r="C594" s="35" t="s">
        <v>35</v>
      </c>
      <c r="D594" s="35">
        <v>100.0</v>
      </c>
      <c r="E594" s="37">
        <v>94.0</v>
      </c>
      <c r="F594" s="38">
        <f t="shared" si="2"/>
        <v>9400</v>
      </c>
      <c r="G594" s="35" t="s">
        <v>2712</v>
      </c>
      <c r="H594" s="35" t="s">
        <v>35</v>
      </c>
      <c r="I594" s="35" t="s">
        <v>41</v>
      </c>
      <c r="J594" s="35" t="s">
        <v>40</v>
      </c>
      <c r="K594" s="36" t="s">
        <v>35</v>
      </c>
      <c r="L594" s="35" t="s">
        <v>799</v>
      </c>
      <c r="M594" s="35">
        <v>31.0</v>
      </c>
      <c r="N594" s="36"/>
      <c r="O594" s="36"/>
      <c r="P594" s="34"/>
      <c r="Q594" s="34"/>
      <c r="R594" s="34"/>
      <c r="S594" s="34"/>
    </row>
    <row r="595" ht="15.75" hidden="1" customHeight="1">
      <c r="B595" s="33">
        <v>46129.0</v>
      </c>
      <c r="C595" s="35">
        <v>547.0</v>
      </c>
      <c r="D595" s="35">
        <v>50.0</v>
      </c>
      <c r="E595" s="37">
        <v>239.99</v>
      </c>
      <c r="F595" s="38">
        <f t="shared" si="2"/>
        <v>11999.5</v>
      </c>
      <c r="G595" s="35" t="s">
        <v>2717</v>
      </c>
      <c r="H595" s="35">
        <v>115.0</v>
      </c>
      <c r="I595" s="35" t="s">
        <v>32</v>
      </c>
      <c r="J595" s="35" t="s">
        <v>34</v>
      </c>
      <c r="K595" s="35" t="s">
        <v>35</v>
      </c>
      <c r="L595" s="35" t="s">
        <v>515</v>
      </c>
      <c r="M595" s="35">
        <v>31.0</v>
      </c>
      <c r="N595" s="36"/>
      <c r="O595" s="44">
        <v>46135.0</v>
      </c>
      <c r="P595" s="34"/>
      <c r="Q595" s="34"/>
      <c r="R595" s="34"/>
      <c r="S595" s="34"/>
    </row>
    <row r="596" ht="15.75" hidden="1" customHeight="1">
      <c r="B596" s="33">
        <v>46129.0</v>
      </c>
      <c r="C596" s="35">
        <v>547.0</v>
      </c>
      <c r="D596" s="35">
        <v>16.0</v>
      </c>
      <c r="E596" s="37">
        <v>1290.0</v>
      </c>
      <c r="F596" s="38">
        <f t="shared" si="2"/>
        <v>20640</v>
      </c>
      <c r="G596" s="35" t="s">
        <v>2721</v>
      </c>
      <c r="H596" s="35">
        <v>434.0</v>
      </c>
      <c r="I596" s="35" t="s">
        <v>32</v>
      </c>
      <c r="J596" s="35" t="s">
        <v>34</v>
      </c>
      <c r="K596" s="35" t="s">
        <v>35</v>
      </c>
      <c r="L596" s="35" t="s">
        <v>515</v>
      </c>
      <c r="M596" s="35">
        <v>31.0</v>
      </c>
      <c r="N596" s="36"/>
      <c r="O596" s="44">
        <v>46135.0</v>
      </c>
      <c r="P596" s="34"/>
      <c r="Q596" s="34"/>
      <c r="R596" s="34"/>
      <c r="S596" s="34"/>
    </row>
    <row r="597" ht="15.75" hidden="1" customHeight="1">
      <c r="B597" s="33">
        <v>46132.0</v>
      </c>
      <c r="C597" s="35">
        <v>12799.0</v>
      </c>
      <c r="D597" s="35">
        <v>400.0</v>
      </c>
      <c r="E597" s="37">
        <v>5.208</v>
      </c>
      <c r="F597" s="38">
        <f t="shared" si="2"/>
        <v>2083.2</v>
      </c>
      <c r="G597" s="35" t="s">
        <v>615</v>
      </c>
      <c r="H597" s="35" t="s">
        <v>1030</v>
      </c>
      <c r="I597" s="35" t="s">
        <v>41</v>
      </c>
      <c r="J597" s="35" t="s">
        <v>34</v>
      </c>
      <c r="K597" s="36" t="s">
        <v>35</v>
      </c>
      <c r="L597" s="35" t="s">
        <v>210</v>
      </c>
      <c r="M597" s="35">
        <v>31.0</v>
      </c>
      <c r="N597" s="36"/>
      <c r="O597" s="44">
        <v>46137.0</v>
      </c>
      <c r="P597" s="34"/>
      <c r="Q597" s="34"/>
      <c r="R597" s="34"/>
      <c r="S597" s="34"/>
    </row>
    <row r="598" ht="15.75" hidden="1" customHeight="1">
      <c r="B598" s="33">
        <v>46132.0</v>
      </c>
      <c r="C598" s="35">
        <v>12799.0</v>
      </c>
      <c r="D598" s="35">
        <v>60.0</v>
      </c>
      <c r="E598" s="37">
        <v>44.64</v>
      </c>
      <c r="F598" s="38">
        <f t="shared" si="2"/>
        <v>2678.4</v>
      </c>
      <c r="G598" s="35" t="s">
        <v>1383</v>
      </c>
      <c r="H598" s="35" t="s">
        <v>2727</v>
      </c>
      <c r="I598" s="35" t="s">
        <v>41</v>
      </c>
      <c r="J598" s="35" t="s">
        <v>34</v>
      </c>
      <c r="K598" s="36" t="s">
        <v>35</v>
      </c>
      <c r="L598" s="35" t="s">
        <v>210</v>
      </c>
      <c r="M598" s="35">
        <v>31.0</v>
      </c>
      <c r="N598" s="36"/>
      <c r="O598" s="44">
        <v>46137.0</v>
      </c>
      <c r="P598" s="34"/>
      <c r="Q598" s="34"/>
      <c r="R598" s="34"/>
      <c r="S598" s="34"/>
    </row>
    <row r="599" ht="15.75" hidden="1" customHeight="1">
      <c r="B599" s="33">
        <v>46132.0</v>
      </c>
      <c r="C599" s="35">
        <v>12799.0</v>
      </c>
      <c r="D599" s="35">
        <v>50.0</v>
      </c>
      <c r="E599" s="37">
        <v>41.85</v>
      </c>
      <c r="F599" s="38">
        <f t="shared" si="2"/>
        <v>2092.5</v>
      </c>
      <c r="G599" s="35" t="s">
        <v>615</v>
      </c>
      <c r="H599" s="35" t="s">
        <v>2728</v>
      </c>
      <c r="I599" s="35" t="s">
        <v>41</v>
      </c>
      <c r="J599" s="35" t="s">
        <v>34</v>
      </c>
      <c r="K599" s="36" t="s">
        <v>35</v>
      </c>
      <c r="L599" s="35" t="s">
        <v>210</v>
      </c>
      <c r="M599" s="35">
        <v>31.0</v>
      </c>
      <c r="N599" s="36"/>
      <c r="O599" s="44">
        <v>46137.0</v>
      </c>
      <c r="P599" s="34"/>
      <c r="Q599" s="34"/>
      <c r="R599" s="34"/>
      <c r="S599" s="34"/>
    </row>
    <row r="600" ht="15.75" hidden="1" customHeight="1">
      <c r="B600" s="33">
        <v>46132.0</v>
      </c>
      <c r="C600" s="35">
        <v>12799.0</v>
      </c>
      <c r="D600" s="35">
        <v>200.0</v>
      </c>
      <c r="E600" s="37">
        <v>5.859</v>
      </c>
      <c r="F600" s="38">
        <f t="shared" si="2"/>
        <v>1171.8</v>
      </c>
      <c r="G600" s="35" t="s">
        <v>615</v>
      </c>
      <c r="H600" s="35" t="s">
        <v>2731</v>
      </c>
      <c r="I600" s="35" t="s">
        <v>41</v>
      </c>
      <c r="J600" s="35" t="s">
        <v>34</v>
      </c>
      <c r="K600" s="36" t="s">
        <v>35</v>
      </c>
      <c r="L600" s="35" t="s">
        <v>210</v>
      </c>
      <c r="M600" s="35">
        <v>31.0</v>
      </c>
      <c r="N600" s="36"/>
      <c r="O600" s="44">
        <v>46137.0</v>
      </c>
      <c r="P600" s="34"/>
      <c r="Q600" s="34"/>
      <c r="R600" s="34"/>
      <c r="S600" s="34"/>
    </row>
    <row r="601" ht="15.75" hidden="1" customHeight="1">
      <c r="B601" s="33">
        <v>46132.0</v>
      </c>
      <c r="C601" s="35">
        <v>12799.0</v>
      </c>
      <c r="D601" s="35">
        <v>200.0</v>
      </c>
      <c r="E601" s="37">
        <v>4.464</v>
      </c>
      <c r="F601" s="38">
        <f t="shared" si="2"/>
        <v>892.8</v>
      </c>
      <c r="G601" s="35" t="s">
        <v>2734</v>
      </c>
      <c r="H601" s="35" t="s">
        <v>2735</v>
      </c>
      <c r="I601" s="35" t="s">
        <v>41</v>
      </c>
      <c r="J601" s="35" t="s">
        <v>34</v>
      </c>
      <c r="K601" s="36" t="s">
        <v>35</v>
      </c>
      <c r="L601" s="35" t="s">
        <v>210</v>
      </c>
      <c r="M601" s="35">
        <v>31.0</v>
      </c>
      <c r="N601" s="36"/>
      <c r="O601" s="44">
        <v>46137.0</v>
      </c>
      <c r="P601" s="34"/>
      <c r="Q601" s="34"/>
      <c r="R601" s="34"/>
      <c r="S601" s="34"/>
    </row>
    <row r="602" ht="15.75" hidden="1" customHeight="1">
      <c r="B602" s="33">
        <v>46132.0</v>
      </c>
      <c r="C602" s="35">
        <v>12799.0</v>
      </c>
      <c r="D602" s="35">
        <v>36.0</v>
      </c>
      <c r="E602" s="37">
        <v>19.995</v>
      </c>
      <c r="F602" s="38">
        <f t="shared" si="2"/>
        <v>719.82</v>
      </c>
      <c r="G602" s="35" t="s">
        <v>2738</v>
      </c>
      <c r="H602" s="35" t="s">
        <v>2739</v>
      </c>
      <c r="I602" s="35" t="s">
        <v>41</v>
      </c>
      <c r="J602" s="35" t="s">
        <v>34</v>
      </c>
      <c r="K602" s="36" t="s">
        <v>35</v>
      </c>
      <c r="L602" s="35" t="s">
        <v>210</v>
      </c>
      <c r="M602" s="35">
        <v>31.0</v>
      </c>
      <c r="N602" s="36"/>
      <c r="O602" s="44">
        <v>46137.0</v>
      </c>
      <c r="P602" s="34"/>
      <c r="Q602" s="34"/>
      <c r="R602" s="34"/>
      <c r="S602" s="34"/>
    </row>
    <row r="603" ht="15.75" hidden="1" customHeight="1">
      <c r="B603" s="33">
        <v>46132.0</v>
      </c>
      <c r="C603" s="35">
        <v>12799.0</v>
      </c>
      <c r="D603" s="35">
        <v>36.0</v>
      </c>
      <c r="E603" s="37">
        <v>17.484</v>
      </c>
      <c r="F603" s="38">
        <f t="shared" si="2"/>
        <v>629.424</v>
      </c>
      <c r="G603" s="35" t="s">
        <v>2744</v>
      </c>
      <c r="H603" s="35" t="s">
        <v>2745</v>
      </c>
      <c r="I603" s="35" t="s">
        <v>41</v>
      </c>
      <c r="J603" s="35" t="s">
        <v>34</v>
      </c>
      <c r="K603" s="36" t="s">
        <v>35</v>
      </c>
      <c r="L603" s="35" t="s">
        <v>210</v>
      </c>
      <c r="M603" s="35">
        <v>31.0</v>
      </c>
      <c r="N603" s="36"/>
      <c r="O603" s="44">
        <v>46137.0</v>
      </c>
      <c r="P603" s="34"/>
      <c r="Q603" s="34"/>
      <c r="R603" s="34"/>
      <c r="S603" s="34"/>
    </row>
    <row r="604" ht="15.75" hidden="1" customHeight="1">
      <c r="B604" s="33">
        <v>46132.0</v>
      </c>
      <c r="C604" s="35">
        <v>12799.0</v>
      </c>
      <c r="D604" s="35">
        <v>100.0</v>
      </c>
      <c r="E604" s="37">
        <v>46.407</v>
      </c>
      <c r="F604" s="38">
        <f t="shared" si="2"/>
        <v>4640.7</v>
      </c>
      <c r="G604" s="35" t="s">
        <v>1483</v>
      </c>
      <c r="H604" s="35" t="s">
        <v>2750</v>
      </c>
      <c r="I604" s="35" t="s">
        <v>41</v>
      </c>
      <c r="J604" s="35" t="s">
        <v>34</v>
      </c>
      <c r="K604" s="36" t="s">
        <v>35</v>
      </c>
      <c r="L604" s="35" t="s">
        <v>210</v>
      </c>
      <c r="M604" s="35">
        <v>31.0</v>
      </c>
      <c r="N604" s="36"/>
      <c r="O604" s="44">
        <v>46137.0</v>
      </c>
      <c r="P604" s="34"/>
      <c r="Q604" s="34"/>
      <c r="R604" s="34"/>
      <c r="S604" s="34"/>
    </row>
    <row r="605" ht="15.75" hidden="1" customHeight="1">
      <c r="B605" s="33">
        <v>46132.0</v>
      </c>
      <c r="C605" s="35">
        <v>12799.0</v>
      </c>
      <c r="D605" s="35">
        <v>200.0</v>
      </c>
      <c r="E605" s="37">
        <v>10.044</v>
      </c>
      <c r="F605" s="38">
        <f t="shared" si="2"/>
        <v>2008.8</v>
      </c>
      <c r="G605" s="35" t="s">
        <v>2755</v>
      </c>
      <c r="H605" s="35" t="s">
        <v>2756</v>
      </c>
      <c r="I605" s="35" t="s">
        <v>41</v>
      </c>
      <c r="J605" s="35" t="s">
        <v>34</v>
      </c>
      <c r="K605" s="36" t="s">
        <v>35</v>
      </c>
      <c r="L605" s="35" t="s">
        <v>210</v>
      </c>
      <c r="M605" s="35">
        <v>31.0</v>
      </c>
      <c r="N605" s="36"/>
      <c r="O605" s="44">
        <v>46137.0</v>
      </c>
      <c r="P605" s="34"/>
      <c r="Q605" s="34"/>
      <c r="R605" s="34"/>
      <c r="S605" s="34"/>
    </row>
    <row r="606" ht="15.75" hidden="1" customHeight="1">
      <c r="B606" s="33">
        <v>46132.0</v>
      </c>
      <c r="C606" s="35">
        <v>12799.0</v>
      </c>
      <c r="D606" s="35">
        <v>200.0</v>
      </c>
      <c r="E606" s="37">
        <v>13.764</v>
      </c>
      <c r="F606" s="38">
        <f t="shared" si="2"/>
        <v>2752.8</v>
      </c>
      <c r="G606" s="35" t="s">
        <v>2761</v>
      </c>
      <c r="H606" s="35" t="s">
        <v>2762</v>
      </c>
      <c r="I606" s="35" t="s">
        <v>41</v>
      </c>
      <c r="J606" s="35" t="s">
        <v>34</v>
      </c>
      <c r="K606" s="36" t="s">
        <v>35</v>
      </c>
      <c r="L606" s="35" t="s">
        <v>210</v>
      </c>
      <c r="M606" s="35">
        <v>31.0</v>
      </c>
      <c r="N606" s="36"/>
      <c r="O606" s="44">
        <v>46137.0</v>
      </c>
      <c r="P606" s="34"/>
      <c r="Q606" s="34"/>
      <c r="R606" s="34"/>
      <c r="S606" s="34"/>
    </row>
    <row r="607" ht="15.75" hidden="1" customHeight="1">
      <c r="B607" s="33">
        <v>46132.0</v>
      </c>
      <c r="C607" s="46" t="s">
        <v>2763</v>
      </c>
      <c r="D607" s="35">
        <v>600.0</v>
      </c>
      <c r="E607" s="37">
        <v>85.0</v>
      </c>
      <c r="F607" s="38">
        <f t="shared" si="2"/>
        <v>51000</v>
      </c>
      <c r="G607" s="35" t="s">
        <v>2220</v>
      </c>
      <c r="H607" s="35" t="s">
        <v>2190</v>
      </c>
      <c r="I607" s="35" t="s">
        <v>59</v>
      </c>
      <c r="J607" s="35" t="s">
        <v>34</v>
      </c>
      <c r="K607" s="36" t="s">
        <v>35</v>
      </c>
      <c r="L607" s="35" t="s">
        <v>87</v>
      </c>
      <c r="M607" s="35">
        <v>31.0</v>
      </c>
      <c r="N607" s="36"/>
      <c r="O607" s="44">
        <v>46133.0</v>
      </c>
      <c r="P607" s="34"/>
      <c r="Q607" s="34"/>
      <c r="R607" s="34"/>
      <c r="S607" s="34"/>
    </row>
    <row r="608" ht="15.75" hidden="1" customHeight="1">
      <c r="B608" s="33">
        <v>46133.0</v>
      </c>
      <c r="C608" s="46" t="s">
        <v>2768</v>
      </c>
      <c r="D608" s="35">
        <v>9.0</v>
      </c>
      <c r="E608" s="37">
        <v>283.5</v>
      </c>
      <c r="F608" s="38">
        <f t="shared" si="2"/>
        <v>2551.5</v>
      </c>
      <c r="G608" s="35" t="s">
        <v>2345</v>
      </c>
      <c r="H608" s="35" t="s">
        <v>149</v>
      </c>
      <c r="I608" s="35" t="s">
        <v>59</v>
      </c>
      <c r="J608" s="35" t="s">
        <v>34</v>
      </c>
      <c r="K608" s="36" t="s">
        <v>35</v>
      </c>
      <c r="L608" s="35" t="s">
        <v>46</v>
      </c>
      <c r="M608" s="35">
        <v>31.0</v>
      </c>
      <c r="N608" s="36"/>
      <c r="O608" s="44">
        <v>46133.0</v>
      </c>
      <c r="P608" s="34"/>
      <c r="Q608" s="34"/>
      <c r="R608" s="34"/>
      <c r="S608" s="34"/>
    </row>
    <row r="609" ht="15.75" hidden="1" customHeight="1">
      <c r="B609" s="33">
        <v>46134.0</v>
      </c>
      <c r="C609" s="35">
        <v>1021.0</v>
      </c>
      <c r="D609" s="35">
        <v>200.0</v>
      </c>
      <c r="E609" s="37">
        <v>115.0</v>
      </c>
      <c r="F609" s="38">
        <f t="shared" si="2"/>
        <v>23000</v>
      </c>
      <c r="G609" s="35" t="s">
        <v>481</v>
      </c>
      <c r="H609" s="35" t="s">
        <v>128</v>
      </c>
      <c r="I609" s="35" t="s">
        <v>2774</v>
      </c>
      <c r="J609" s="35" t="s">
        <v>34</v>
      </c>
      <c r="K609" s="36" t="s">
        <v>35</v>
      </c>
      <c r="L609" s="35" t="s">
        <v>132</v>
      </c>
      <c r="M609" s="35">
        <v>31.0</v>
      </c>
      <c r="N609" s="36"/>
      <c r="O609" s="44">
        <v>46133.0</v>
      </c>
      <c r="P609" s="34"/>
      <c r="Q609" s="34"/>
      <c r="R609" s="34"/>
      <c r="S609" s="34"/>
    </row>
    <row r="610" ht="15.75" hidden="1" customHeight="1">
      <c r="B610" s="33">
        <v>46134.0</v>
      </c>
      <c r="C610" s="46" t="s">
        <v>2777</v>
      </c>
      <c r="D610" s="35">
        <v>50.0</v>
      </c>
      <c r="E610" s="37">
        <v>25.0</v>
      </c>
      <c r="F610" s="38">
        <f t="shared" si="2"/>
        <v>1250</v>
      </c>
      <c r="G610" s="35" t="s">
        <v>931</v>
      </c>
      <c r="H610" s="35" t="s">
        <v>2780</v>
      </c>
      <c r="I610" s="35" t="s">
        <v>300</v>
      </c>
      <c r="J610" s="35" t="s">
        <v>34</v>
      </c>
      <c r="K610" s="36" t="s">
        <v>35</v>
      </c>
      <c r="L610" s="35" t="s">
        <v>241</v>
      </c>
      <c r="M610" s="35">
        <v>31.0</v>
      </c>
      <c r="N610" s="36"/>
      <c r="O610" s="44">
        <v>46137.0</v>
      </c>
      <c r="P610" s="34"/>
      <c r="Q610" s="34"/>
      <c r="R610" s="34"/>
      <c r="S610" s="34"/>
    </row>
    <row r="611" ht="15.75" hidden="1" customHeight="1">
      <c r="B611" s="33">
        <v>46134.0</v>
      </c>
      <c r="C611" s="35" t="s">
        <v>35</v>
      </c>
      <c r="D611" s="35">
        <v>300.0</v>
      </c>
      <c r="E611" s="37">
        <v>10.0</v>
      </c>
      <c r="F611" s="38">
        <f t="shared" si="2"/>
        <v>3000</v>
      </c>
      <c r="G611" s="35" t="s">
        <v>1588</v>
      </c>
      <c r="H611" s="35" t="s">
        <v>35</v>
      </c>
      <c r="I611" s="35" t="s">
        <v>59</v>
      </c>
      <c r="J611" s="35" t="s">
        <v>34</v>
      </c>
      <c r="K611" s="36" t="s">
        <v>35</v>
      </c>
      <c r="L611" s="35" t="s">
        <v>2786</v>
      </c>
      <c r="M611" s="35">
        <v>31.0</v>
      </c>
      <c r="N611" s="36"/>
      <c r="O611" s="44">
        <v>46133.0</v>
      </c>
      <c r="P611" s="34"/>
      <c r="Q611" s="34"/>
      <c r="R611" s="34"/>
      <c r="S611" s="34"/>
    </row>
    <row r="612" ht="15.75" hidden="1" customHeight="1">
      <c r="B612" s="33">
        <v>46134.0</v>
      </c>
      <c r="C612" s="35">
        <v>591.0</v>
      </c>
      <c r="D612" s="35">
        <v>300.0</v>
      </c>
      <c r="E612" s="37">
        <v>93.0</v>
      </c>
      <c r="F612" s="38">
        <f t="shared" si="2"/>
        <v>27900</v>
      </c>
      <c r="G612" s="35" t="s">
        <v>953</v>
      </c>
      <c r="H612" s="35" t="s">
        <v>35</v>
      </c>
      <c r="I612" s="35" t="s">
        <v>59</v>
      </c>
      <c r="J612" s="35" t="s">
        <v>34</v>
      </c>
      <c r="K612" s="36" t="s">
        <v>35</v>
      </c>
      <c r="L612" s="35" t="s">
        <v>140</v>
      </c>
      <c r="M612" s="35">
        <v>31.0</v>
      </c>
      <c r="N612" s="36"/>
      <c r="O612" s="44">
        <v>46133.0</v>
      </c>
      <c r="P612" s="34"/>
      <c r="Q612" s="34"/>
      <c r="R612" s="34"/>
      <c r="S612" s="34"/>
    </row>
    <row r="613" ht="15.75" hidden="1" customHeight="1">
      <c r="B613" s="33">
        <v>46134.0</v>
      </c>
      <c r="C613" s="35">
        <v>591.0</v>
      </c>
      <c r="D613" s="35">
        <v>500.0</v>
      </c>
      <c r="E613" s="37">
        <v>67.0</v>
      </c>
      <c r="F613" s="38">
        <f t="shared" si="2"/>
        <v>33500</v>
      </c>
      <c r="G613" s="35" t="s">
        <v>2523</v>
      </c>
      <c r="H613" s="35" t="s">
        <v>35</v>
      </c>
      <c r="I613" s="35" t="s">
        <v>59</v>
      </c>
      <c r="J613" s="35" t="s">
        <v>34</v>
      </c>
      <c r="K613" s="36" t="s">
        <v>35</v>
      </c>
      <c r="L613" s="35" t="s">
        <v>140</v>
      </c>
      <c r="M613" s="35">
        <v>31.0</v>
      </c>
      <c r="N613" s="36"/>
      <c r="O613" s="44">
        <v>46133.0</v>
      </c>
      <c r="P613" s="34"/>
      <c r="Q613" s="34"/>
      <c r="R613" s="34"/>
      <c r="S613" s="34"/>
    </row>
    <row r="614" ht="15.75" hidden="1" customHeight="1">
      <c r="B614" s="33">
        <v>46134.0</v>
      </c>
      <c r="C614" s="35">
        <v>13511.0</v>
      </c>
      <c r="D614" s="35">
        <v>240.0</v>
      </c>
      <c r="E614" s="37">
        <v>9.9</v>
      </c>
      <c r="F614" s="38">
        <f t="shared" si="2"/>
        <v>2376</v>
      </c>
      <c r="G614" s="35" t="s">
        <v>2793</v>
      </c>
      <c r="H614" s="35" t="s">
        <v>2795</v>
      </c>
      <c r="I614" s="35" t="s">
        <v>77</v>
      </c>
      <c r="J614" s="35" t="s">
        <v>175</v>
      </c>
      <c r="K614" s="36" t="s">
        <v>35</v>
      </c>
      <c r="L614" s="35" t="s">
        <v>96</v>
      </c>
      <c r="M614" s="35">
        <v>1.0</v>
      </c>
      <c r="N614" s="36"/>
      <c r="O614" s="36"/>
      <c r="P614" s="34"/>
      <c r="Q614" s="34"/>
      <c r="R614" s="34"/>
      <c r="S614" s="34"/>
    </row>
    <row r="615" ht="15.75" hidden="1" customHeight="1">
      <c r="B615" s="33">
        <v>46134.0</v>
      </c>
      <c r="C615" s="35">
        <v>13511.0</v>
      </c>
      <c r="D615" s="35">
        <v>300.0</v>
      </c>
      <c r="E615" s="37">
        <v>39.9</v>
      </c>
      <c r="F615" s="38">
        <f t="shared" si="2"/>
        <v>11970</v>
      </c>
      <c r="G615" s="35" t="s">
        <v>2799</v>
      </c>
      <c r="H615" s="35" t="s">
        <v>95</v>
      </c>
      <c r="I615" s="35" t="s">
        <v>77</v>
      </c>
      <c r="J615" s="35" t="s">
        <v>175</v>
      </c>
      <c r="K615" s="36" t="s">
        <v>35</v>
      </c>
      <c r="L615" s="35" t="s">
        <v>96</v>
      </c>
      <c r="M615" s="35">
        <v>1.0</v>
      </c>
      <c r="N615" s="36"/>
      <c r="O615" s="36"/>
      <c r="P615" s="34"/>
      <c r="Q615" s="34"/>
      <c r="R615" s="34"/>
      <c r="S615" s="34"/>
    </row>
    <row r="616" ht="15.75" hidden="1" customHeight="1">
      <c r="B616" s="33">
        <v>46134.0</v>
      </c>
      <c r="C616" s="35">
        <v>50659.0</v>
      </c>
      <c r="D616" s="35">
        <v>18.0</v>
      </c>
      <c r="E616" s="37">
        <v>215.0</v>
      </c>
      <c r="F616" s="38">
        <f t="shared" si="2"/>
        <v>3870</v>
      </c>
      <c r="G616" s="35" t="s">
        <v>2802</v>
      </c>
      <c r="H616" s="35" t="s">
        <v>35</v>
      </c>
      <c r="I616" s="35" t="s">
        <v>59</v>
      </c>
      <c r="J616" s="35" t="s">
        <v>34</v>
      </c>
      <c r="K616" s="36" t="s">
        <v>35</v>
      </c>
      <c r="L616" s="35" t="s">
        <v>868</v>
      </c>
      <c r="M616" s="35">
        <v>31.0</v>
      </c>
      <c r="N616" s="36"/>
      <c r="O616" s="44">
        <v>46134.0</v>
      </c>
      <c r="P616" s="34"/>
      <c r="Q616" s="34"/>
      <c r="R616" s="34"/>
      <c r="S616" s="34"/>
    </row>
    <row r="617" ht="15.75" hidden="1" customHeight="1">
      <c r="B617" s="33">
        <v>46134.0</v>
      </c>
      <c r="C617" s="35">
        <v>915189.0</v>
      </c>
      <c r="D617" s="35">
        <v>250.0</v>
      </c>
      <c r="E617" s="37">
        <v>149.9</v>
      </c>
      <c r="F617" s="38">
        <f t="shared" si="2"/>
        <v>37475</v>
      </c>
      <c r="G617" s="35" t="s">
        <v>1909</v>
      </c>
      <c r="H617" s="35">
        <v>60856.0</v>
      </c>
      <c r="I617" s="35" t="s">
        <v>41</v>
      </c>
      <c r="J617" s="35" t="s">
        <v>40</v>
      </c>
      <c r="K617" s="36" t="s">
        <v>35</v>
      </c>
      <c r="L617" s="35" t="s">
        <v>43</v>
      </c>
      <c r="M617" s="35">
        <v>31.0</v>
      </c>
      <c r="N617" s="36"/>
      <c r="O617" s="44">
        <v>46146.0</v>
      </c>
      <c r="P617" s="34"/>
      <c r="Q617" s="34"/>
      <c r="R617" s="34"/>
      <c r="S617" s="34"/>
    </row>
    <row r="618" ht="15.75" hidden="1" customHeight="1">
      <c r="B618" s="33">
        <v>46134.0</v>
      </c>
      <c r="C618" s="35">
        <v>915189.0</v>
      </c>
      <c r="D618" s="35">
        <v>550.0</v>
      </c>
      <c r="E618" s="37">
        <v>149.9</v>
      </c>
      <c r="F618" s="38">
        <f t="shared" si="2"/>
        <v>82445</v>
      </c>
      <c r="G618" s="35" t="s">
        <v>2807</v>
      </c>
      <c r="H618" s="35">
        <v>61857.0</v>
      </c>
      <c r="I618" s="35" t="s">
        <v>59</v>
      </c>
      <c r="J618" s="35" t="s">
        <v>34</v>
      </c>
      <c r="K618" s="36" t="s">
        <v>35</v>
      </c>
      <c r="L618" s="35" t="s">
        <v>43</v>
      </c>
      <c r="M618" s="35">
        <v>31.0</v>
      </c>
      <c r="N618" s="36"/>
      <c r="O618" s="44">
        <v>46139.0</v>
      </c>
      <c r="P618" s="34"/>
      <c r="Q618" s="34"/>
      <c r="R618" s="34"/>
      <c r="S618" s="34"/>
    </row>
    <row r="619" ht="15.75" hidden="1" customHeight="1">
      <c r="B619" s="33">
        <v>46134.0</v>
      </c>
      <c r="C619" s="35">
        <v>915189.0</v>
      </c>
      <c r="D619" s="35">
        <v>250.0</v>
      </c>
      <c r="E619" s="37">
        <v>149.9</v>
      </c>
      <c r="F619" s="38">
        <f t="shared" si="2"/>
        <v>37475</v>
      </c>
      <c r="G619" s="35" t="s">
        <v>2807</v>
      </c>
      <c r="H619" s="35">
        <v>61857.0</v>
      </c>
      <c r="I619" s="35" t="s">
        <v>41</v>
      </c>
      <c r="J619" s="35" t="s">
        <v>40</v>
      </c>
      <c r="K619" s="35" t="s">
        <v>35</v>
      </c>
      <c r="L619" s="35" t="s">
        <v>43</v>
      </c>
      <c r="M619" s="35">
        <v>31.0</v>
      </c>
      <c r="N619" s="36"/>
      <c r="O619" s="44">
        <v>46146.0</v>
      </c>
      <c r="P619" s="34"/>
      <c r="Q619" s="34"/>
      <c r="R619" s="34"/>
      <c r="S619" s="34"/>
    </row>
    <row r="620" ht="15.75" hidden="1" customHeight="1">
      <c r="B620" s="33">
        <v>46134.0</v>
      </c>
      <c r="C620" s="35">
        <v>915189.0</v>
      </c>
      <c r="D620" s="35">
        <v>1000.0</v>
      </c>
      <c r="E620" s="37">
        <v>113.9</v>
      </c>
      <c r="F620" s="38">
        <f t="shared" si="2"/>
        <v>113900</v>
      </c>
      <c r="G620" s="35" t="s">
        <v>2812</v>
      </c>
      <c r="H620" s="35">
        <v>69343.0</v>
      </c>
      <c r="I620" s="35" t="s">
        <v>41</v>
      </c>
      <c r="J620" s="35" t="s">
        <v>40</v>
      </c>
      <c r="K620" s="36" t="s">
        <v>35</v>
      </c>
      <c r="L620" s="35" t="s">
        <v>43</v>
      </c>
      <c r="M620" s="35">
        <v>31.0</v>
      </c>
      <c r="N620" s="36"/>
      <c r="O620" s="36"/>
      <c r="P620" s="34"/>
      <c r="Q620" s="34"/>
      <c r="R620" s="34"/>
      <c r="S620" s="34"/>
    </row>
    <row r="621" ht="15.75" hidden="1" customHeight="1">
      <c r="B621" s="33">
        <v>46134.0</v>
      </c>
      <c r="C621" s="46" t="s">
        <v>2814</v>
      </c>
      <c r="D621" s="35">
        <v>200.0</v>
      </c>
      <c r="E621" s="37">
        <v>25.2</v>
      </c>
      <c r="F621" s="38">
        <f t="shared" si="2"/>
        <v>5040</v>
      </c>
      <c r="G621" s="35" t="s">
        <v>2817</v>
      </c>
      <c r="H621" s="35" t="s">
        <v>2818</v>
      </c>
      <c r="I621" s="35" t="s">
        <v>300</v>
      </c>
      <c r="J621" s="35" t="s">
        <v>34</v>
      </c>
      <c r="K621" s="35" t="s">
        <v>35</v>
      </c>
      <c r="L621" s="35" t="s">
        <v>87</v>
      </c>
      <c r="M621" s="35">
        <v>31.0</v>
      </c>
      <c r="N621" s="36"/>
      <c r="O621" s="44">
        <v>46136.0</v>
      </c>
      <c r="P621" s="34"/>
      <c r="Q621" s="34"/>
      <c r="R621" s="34"/>
      <c r="S621" s="34"/>
    </row>
    <row r="622" ht="15.75" hidden="1" customHeight="1">
      <c r="B622" s="33">
        <v>46134.0</v>
      </c>
      <c r="C622" s="35">
        <v>13530.0</v>
      </c>
      <c r="D622" s="35">
        <v>20.0</v>
      </c>
      <c r="E622" s="37">
        <v>13.99</v>
      </c>
      <c r="F622" s="38">
        <f t="shared" si="2"/>
        <v>279.8</v>
      </c>
      <c r="G622" s="35" t="s">
        <v>2822</v>
      </c>
      <c r="H622" s="35" t="s">
        <v>2823</v>
      </c>
      <c r="I622" s="35" t="s">
        <v>41</v>
      </c>
      <c r="J622" s="35" t="s">
        <v>34</v>
      </c>
      <c r="K622" s="35" t="s">
        <v>35</v>
      </c>
      <c r="L622" s="35" t="s">
        <v>96</v>
      </c>
      <c r="M622" s="35">
        <v>31.0</v>
      </c>
      <c r="N622" s="36"/>
      <c r="O622" s="44">
        <v>46134.0</v>
      </c>
      <c r="P622" s="34"/>
      <c r="Q622" s="34"/>
      <c r="R622" s="34"/>
      <c r="S622" s="34"/>
    </row>
    <row r="623" ht="15.75" hidden="1" customHeight="1">
      <c r="B623" s="33">
        <v>46134.0</v>
      </c>
      <c r="C623" s="35">
        <v>13530.0</v>
      </c>
      <c r="D623" s="35">
        <v>200.0</v>
      </c>
      <c r="E623" s="37">
        <v>7.9</v>
      </c>
      <c r="F623" s="38">
        <f t="shared" si="2"/>
        <v>1580</v>
      </c>
      <c r="G623" s="35" t="s">
        <v>2827</v>
      </c>
      <c r="H623" s="35" t="s">
        <v>2828</v>
      </c>
      <c r="I623" s="35" t="s">
        <v>41</v>
      </c>
      <c r="J623" s="35" t="s">
        <v>34</v>
      </c>
      <c r="K623" s="35" t="s">
        <v>35</v>
      </c>
      <c r="L623" s="35" t="s">
        <v>96</v>
      </c>
      <c r="M623" s="35">
        <v>31.0</v>
      </c>
      <c r="N623" s="36"/>
      <c r="O623" s="44">
        <v>46134.0</v>
      </c>
      <c r="P623" s="34"/>
      <c r="Q623" s="34"/>
      <c r="R623" s="34"/>
      <c r="S623" s="34"/>
    </row>
    <row r="624" ht="15.75" hidden="1" customHeight="1">
      <c r="B624" s="33">
        <v>46134.0</v>
      </c>
      <c r="C624" s="35">
        <v>13530.0</v>
      </c>
      <c r="D624" s="35">
        <v>24.0</v>
      </c>
      <c r="E624" s="37">
        <v>29.9</v>
      </c>
      <c r="F624" s="38">
        <f t="shared" si="2"/>
        <v>717.6</v>
      </c>
      <c r="G624" s="35" t="s">
        <v>2832</v>
      </c>
      <c r="H624" s="35" t="s">
        <v>2833</v>
      </c>
      <c r="I624" s="35" t="s">
        <v>41</v>
      </c>
      <c r="J624" s="35" t="s">
        <v>34</v>
      </c>
      <c r="K624" s="35" t="s">
        <v>35</v>
      </c>
      <c r="L624" s="35" t="s">
        <v>96</v>
      </c>
      <c r="M624" s="35">
        <v>31.0</v>
      </c>
      <c r="N624" s="36"/>
      <c r="O624" s="44">
        <v>46134.0</v>
      </c>
      <c r="P624" s="34"/>
      <c r="Q624" s="34"/>
      <c r="R624" s="34"/>
      <c r="S624" s="34"/>
    </row>
    <row r="625" ht="15.75" hidden="1" customHeight="1">
      <c r="B625" s="33">
        <v>46134.0</v>
      </c>
      <c r="C625" s="35">
        <v>13530.0</v>
      </c>
      <c r="D625" s="35">
        <v>10.0</v>
      </c>
      <c r="E625" s="37">
        <v>179.9</v>
      </c>
      <c r="F625" s="38">
        <f t="shared" si="2"/>
        <v>1799</v>
      </c>
      <c r="G625" s="35" t="s">
        <v>2835</v>
      </c>
      <c r="H625" s="35" t="s">
        <v>196</v>
      </c>
      <c r="I625" s="35" t="s">
        <v>41</v>
      </c>
      <c r="J625" s="35" t="s">
        <v>34</v>
      </c>
      <c r="K625" s="35" t="s">
        <v>35</v>
      </c>
      <c r="L625" s="35" t="s">
        <v>96</v>
      </c>
      <c r="M625" s="35">
        <v>31.0</v>
      </c>
      <c r="N625" s="36"/>
      <c r="O625" s="44">
        <v>46134.0</v>
      </c>
      <c r="P625" s="34"/>
      <c r="Q625" s="34"/>
      <c r="R625" s="34"/>
      <c r="S625" s="34"/>
    </row>
    <row r="626" ht="15.75" hidden="1" customHeight="1">
      <c r="B626" s="33">
        <v>46134.0</v>
      </c>
      <c r="C626" s="35">
        <v>13530.0</v>
      </c>
      <c r="D626" s="35">
        <v>10.0</v>
      </c>
      <c r="E626" s="37">
        <v>109.9</v>
      </c>
      <c r="F626" s="38">
        <f t="shared" si="2"/>
        <v>1099</v>
      </c>
      <c r="G626" s="35" t="s">
        <v>416</v>
      </c>
      <c r="H626" s="35" t="s">
        <v>417</v>
      </c>
      <c r="I626" s="35" t="s">
        <v>41</v>
      </c>
      <c r="J626" s="35" t="s">
        <v>34</v>
      </c>
      <c r="K626" s="35" t="s">
        <v>35</v>
      </c>
      <c r="L626" s="35" t="s">
        <v>96</v>
      </c>
      <c r="M626" s="35">
        <v>31.0</v>
      </c>
      <c r="N626" s="36"/>
      <c r="O626" s="44">
        <v>46134.0</v>
      </c>
      <c r="P626" s="34"/>
      <c r="Q626" s="34"/>
      <c r="R626" s="34"/>
      <c r="S626" s="34"/>
    </row>
    <row r="627" ht="15.75" hidden="1" customHeight="1">
      <c r="B627" s="33">
        <v>46134.0</v>
      </c>
      <c r="C627" s="35">
        <v>1116.0</v>
      </c>
      <c r="D627" s="35">
        <v>1.0</v>
      </c>
      <c r="E627" s="37">
        <v>6150.0</v>
      </c>
      <c r="F627" s="38">
        <f t="shared" si="2"/>
        <v>6150</v>
      </c>
      <c r="G627" s="35" t="s">
        <v>1508</v>
      </c>
      <c r="H627" s="35" t="s">
        <v>35</v>
      </c>
      <c r="I627" s="35" t="s">
        <v>59</v>
      </c>
      <c r="J627" s="35" t="s">
        <v>34</v>
      </c>
      <c r="K627" s="35" t="s">
        <v>35</v>
      </c>
      <c r="L627" s="35" t="s">
        <v>468</v>
      </c>
      <c r="M627" s="35">
        <v>31.0</v>
      </c>
      <c r="N627" s="36"/>
      <c r="O627" s="44">
        <v>46135.0</v>
      </c>
      <c r="P627" s="34"/>
      <c r="Q627" s="34"/>
      <c r="R627" s="34"/>
      <c r="S627" s="34"/>
    </row>
    <row r="628" ht="15.75" hidden="1" customHeight="1">
      <c r="B628" s="33">
        <v>46134.0</v>
      </c>
      <c r="C628" s="35">
        <v>1116.0</v>
      </c>
      <c r="D628" s="35">
        <v>1.0</v>
      </c>
      <c r="E628" s="37">
        <v>6150.0</v>
      </c>
      <c r="F628" s="38">
        <f t="shared" si="2"/>
        <v>6150</v>
      </c>
      <c r="G628" s="35" t="s">
        <v>1508</v>
      </c>
      <c r="H628" s="35" t="s">
        <v>35</v>
      </c>
      <c r="I628" s="35" t="s">
        <v>221</v>
      </c>
      <c r="J628" s="35" t="s">
        <v>183</v>
      </c>
      <c r="K628" s="35" t="s">
        <v>35</v>
      </c>
      <c r="L628" s="35" t="s">
        <v>468</v>
      </c>
      <c r="M628" s="35">
        <v>31.0</v>
      </c>
      <c r="N628" s="36"/>
      <c r="O628" s="44">
        <v>46135.0</v>
      </c>
      <c r="P628" s="34"/>
      <c r="Q628" s="34"/>
      <c r="R628" s="34"/>
      <c r="S628" s="34"/>
    </row>
    <row r="629" ht="15.75" hidden="1" customHeight="1">
      <c r="B629" s="33">
        <v>46134.0</v>
      </c>
      <c r="C629" s="46" t="s">
        <v>2841</v>
      </c>
      <c r="D629" s="35">
        <v>50.0</v>
      </c>
      <c r="E629" s="37">
        <v>24.7</v>
      </c>
      <c r="F629" s="38">
        <f t="shared" si="2"/>
        <v>1235</v>
      </c>
      <c r="G629" s="35" t="s">
        <v>2842</v>
      </c>
      <c r="H629" s="35" t="s">
        <v>2843</v>
      </c>
      <c r="I629" s="35" t="s">
        <v>41</v>
      </c>
      <c r="J629" s="35" t="s">
        <v>34</v>
      </c>
      <c r="K629" s="35" t="s">
        <v>35</v>
      </c>
      <c r="L629" s="35" t="s">
        <v>87</v>
      </c>
      <c r="M629" s="35">
        <v>31.0</v>
      </c>
      <c r="N629" s="36"/>
      <c r="O629" s="44">
        <v>46139.0</v>
      </c>
      <c r="P629" s="34"/>
      <c r="Q629" s="34"/>
      <c r="R629" s="34"/>
      <c r="S629" s="34"/>
    </row>
    <row r="630" ht="15.75" hidden="1" customHeight="1">
      <c r="B630" s="33">
        <v>46134.0</v>
      </c>
      <c r="C630" s="46" t="s">
        <v>2841</v>
      </c>
      <c r="D630" s="35">
        <v>400.0</v>
      </c>
      <c r="E630" s="37">
        <v>2.8</v>
      </c>
      <c r="F630" s="38">
        <f t="shared" si="2"/>
        <v>1120</v>
      </c>
      <c r="G630" s="35" t="s">
        <v>2353</v>
      </c>
      <c r="H630" s="35" t="s">
        <v>2813</v>
      </c>
      <c r="I630" s="35" t="s">
        <v>41</v>
      </c>
      <c r="J630" s="35" t="s">
        <v>34</v>
      </c>
      <c r="K630" s="35" t="s">
        <v>35</v>
      </c>
      <c r="L630" s="35" t="s">
        <v>87</v>
      </c>
      <c r="M630" s="35">
        <v>31.0</v>
      </c>
      <c r="N630" s="36"/>
      <c r="O630" s="44">
        <v>46139.0</v>
      </c>
      <c r="P630" s="34"/>
      <c r="Q630" s="34"/>
      <c r="R630" s="34"/>
      <c r="S630" s="34"/>
    </row>
    <row r="631" ht="15.75" hidden="1" customHeight="1">
      <c r="B631" s="33">
        <v>46135.0</v>
      </c>
      <c r="C631" s="35">
        <v>86690.0</v>
      </c>
      <c r="D631" s="35">
        <v>500.0</v>
      </c>
      <c r="E631" s="37">
        <v>18.0</v>
      </c>
      <c r="F631" s="38">
        <f t="shared" si="2"/>
        <v>9000</v>
      </c>
      <c r="G631" s="35" t="s">
        <v>2133</v>
      </c>
      <c r="H631" s="35" t="s">
        <v>2848</v>
      </c>
      <c r="I631" s="35" t="s">
        <v>77</v>
      </c>
      <c r="J631" s="35" t="s">
        <v>79</v>
      </c>
      <c r="K631" s="35" t="s">
        <v>35</v>
      </c>
      <c r="L631" s="35" t="s">
        <v>1250</v>
      </c>
      <c r="M631" s="35">
        <v>31.0</v>
      </c>
      <c r="N631" s="36"/>
      <c r="O631" s="36"/>
      <c r="P631" s="34"/>
      <c r="Q631" s="34"/>
      <c r="R631" s="34"/>
      <c r="S631" s="34"/>
    </row>
    <row r="632" ht="15.75" hidden="1" customHeight="1">
      <c r="B632" s="33">
        <v>46135.0</v>
      </c>
      <c r="C632" s="46" t="s">
        <v>2849</v>
      </c>
      <c r="D632" s="35">
        <v>100.0</v>
      </c>
      <c r="E632" s="37">
        <v>85.0</v>
      </c>
      <c r="F632" s="38">
        <f t="shared" si="2"/>
        <v>8500</v>
      </c>
      <c r="G632" s="35" t="s">
        <v>2220</v>
      </c>
      <c r="H632" s="35" t="s">
        <v>2190</v>
      </c>
      <c r="I632" s="35" t="s">
        <v>77</v>
      </c>
      <c r="J632" s="35" t="s">
        <v>79</v>
      </c>
      <c r="K632" s="35" t="s">
        <v>35</v>
      </c>
      <c r="L632" s="35" t="s">
        <v>87</v>
      </c>
      <c r="M632" s="35">
        <v>31.0</v>
      </c>
      <c r="N632" s="36"/>
      <c r="O632" s="36"/>
      <c r="P632" s="34"/>
      <c r="Q632" s="34"/>
      <c r="R632" s="34"/>
      <c r="S632" s="34"/>
    </row>
    <row r="633" ht="15.75" hidden="1" customHeight="1">
      <c r="B633" s="33">
        <v>46135.0</v>
      </c>
      <c r="C633" s="46" t="s">
        <v>2850</v>
      </c>
      <c r="D633" s="35">
        <v>50.0</v>
      </c>
      <c r="E633" s="37">
        <v>360.0</v>
      </c>
      <c r="F633" s="38">
        <f t="shared" si="2"/>
        <v>18000</v>
      </c>
      <c r="G633" s="35" t="s">
        <v>586</v>
      </c>
      <c r="H633" s="35" t="s">
        <v>587</v>
      </c>
      <c r="I633" s="35" t="s">
        <v>59</v>
      </c>
      <c r="J633" s="35" t="s">
        <v>34</v>
      </c>
      <c r="K633" s="35" t="s">
        <v>35</v>
      </c>
      <c r="L633" s="35" t="s">
        <v>87</v>
      </c>
      <c r="M633" s="35">
        <v>31.0</v>
      </c>
      <c r="N633" s="36"/>
      <c r="O633" s="44">
        <v>46135.0</v>
      </c>
      <c r="P633" s="34"/>
      <c r="Q633" s="34"/>
      <c r="R633" s="34"/>
      <c r="S633" s="34"/>
    </row>
    <row r="634" ht="15.75" hidden="1" customHeight="1">
      <c r="B634" s="33">
        <v>46135.0</v>
      </c>
      <c r="C634" s="46" t="s">
        <v>2850</v>
      </c>
      <c r="D634" s="35">
        <v>50.0</v>
      </c>
      <c r="E634" s="37">
        <v>162.0</v>
      </c>
      <c r="F634" s="38">
        <f t="shared" si="2"/>
        <v>8100</v>
      </c>
      <c r="G634" s="35" t="s">
        <v>599</v>
      </c>
      <c r="H634" s="35" t="s">
        <v>600</v>
      </c>
      <c r="I634" s="35" t="s">
        <v>59</v>
      </c>
      <c r="J634" s="35" t="s">
        <v>34</v>
      </c>
      <c r="K634" s="35" t="s">
        <v>35</v>
      </c>
      <c r="L634" s="35" t="s">
        <v>87</v>
      </c>
      <c r="M634" s="35">
        <v>31.0</v>
      </c>
      <c r="N634" s="36"/>
      <c r="O634" s="44">
        <v>46135.0</v>
      </c>
      <c r="P634" s="34"/>
      <c r="Q634" s="34"/>
      <c r="R634" s="34"/>
      <c r="S634" s="34"/>
    </row>
    <row r="635" ht="15.75" hidden="1" customHeight="1">
      <c r="B635" s="33">
        <v>46135.0</v>
      </c>
      <c r="C635" s="46" t="s">
        <v>2852</v>
      </c>
      <c r="D635" s="35">
        <v>100.0</v>
      </c>
      <c r="E635" s="37">
        <v>117.0</v>
      </c>
      <c r="F635" s="38">
        <f t="shared" si="2"/>
        <v>11700</v>
      </c>
      <c r="G635" s="35" t="s">
        <v>2853</v>
      </c>
      <c r="H635" s="35" t="s">
        <v>2854</v>
      </c>
      <c r="I635" s="35" t="s">
        <v>59</v>
      </c>
      <c r="J635" s="35" t="s">
        <v>34</v>
      </c>
      <c r="K635" s="35" t="s">
        <v>35</v>
      </c>
      <c r="L635" s="35" t="s">
        <v>87</v>
      </c>
      <c r="M635" s="35">
        <v>31.0</v>
      </c>
      <c r="N635" s="36"/>
      <c r="O635" s="44">
        <v>46135.0</v>
      </c>
      <c r="P635" s="34"/>
      <c r="Q635" s="34"/>
      <c r="R635" s="34"/>
      <c r="S635" s="34"/>
    </row>
    <row r="636" ht="15.75" hidden="1" customHeight="1">
      <c r="B636" s="33">
        <v>46135.0</v>
      </c>
      <c r="C636" s="46" t="s">
        <v>2852</v>
      </c>
      <c r="D636" s="35">
        <v>200.0</v>
      </c>
      <c r="E636" s="37">
        <v>171.0</v>
      </c>
      <c r="F636" s="38">
        <f t="shared" si="2"/>
        <v>34200</v>
      </c>
      <c r="G636" s="35" t="s">
        <v>2858</v>
      </c>
      <c r="H636" s="35" t="s">
        <v>2860</v>
      </c>
      <c r="I636" s="35" t="s">
        <v>59</v>
      </c>
      <c r="J636" s="35" t="s">
        <v>34</v>
      </c>
      <c r="K636" s="35" t="s">
        <v>35</v>
      </c>
      <c r="L636" s="35" t="s">
        <v>87</v>
      </c>
      <c r="M636" s="35">
        <v>31.0</v>
      </c>
      <c r="N636" s="36"/>
      <c r="O636" s="44">
        <v>46135.0</v>
      </c>
      <c r="P636" s="34"/>
      <c r="Q636" s="34"/>
      <c r="R636" s="34"/>
      <c r="S636" s="34"/>
    </row>
    <row r="637" ht="15.75" hidden="1" customHeight="1">
      <c r="B637" s="33">
        <v>46135.0</v>
      </c>
      <c r="C637" s="46" t="s">
        <v>2852</v>
      </c>
      <c r="D637" s="35">
        <v>200.0</v>
      </c>
      <c r="E637" s="37">
        <v>319.0</v>
      </c>
      <c r="F637" s="38">
        <f t="shared" si="2"/>
        <v>63800</v>
      </c>
      <c r="G637" s="35" t="s">
        <v>2862</v>
      </c>
      <c r="H637" s="35" t="s">
        <v>2864</v>
      </c>
      <c r="I637" s="35" t="s">
        <v>59</v>
      </c>
      <c r="J637" s="35" t="s">
        <v>40</v>
      </c>
      <c r="K637" s="35" t="s">
        <v>35</v>
      </c>
      <c r="L637" s="35" t="s">
        <v>87</v>
      </c>
      <c r="M637" s="35">
        <v>31.0</v>
      </c>
      <c r="N637" s="36"/>
      <c r="O637" s="44">
        <v>46137.0</v>
      </c>
      <c r="P637" s="34"/>
      <c r="Q637" s="34"/>
      <c r="R637" s="34"/>
      <c r="S637" s="34"/>
    </row>
    <row r="638" ht="15.75" hidden="1" customHeight="1">
      <c r="B638" s="33">
        <v>46135.0</v>
      </c>
      <c r="C638" s="46" t="s">
        <v>2852</v>
      </c>
      <c r="D638" s="35">
        <v>200.0</v>
      </c>
      <c r="E638" s="37">
        <v>171.0</v>
      </c>
      <c r="F638" s="38">
        <f t="shared" si="2"/>
        <v>34200</v>
      </c>
      <c r="G638" s="35" t="s">
        <v>2868</v>
      </c>
      <c r="H638" s="35" t="s">
        <v>2869</v>
      </c>
      <c r="I638" s="35" t="s">
        <v>59</v>
      </c>
      <c r="J638" s="35" t="s">
        <v>34</v>
      </c>
      <c r="K638" s="35" t="s">
        <v>35</v>
      </c>
      <c r="L638" s="35" t="s">
        <v>87</v>
      </c>
      <c r="M638" s="35">
        <v>31.0</v>
      </c>
      <c r="N638" s="36"/>
      <c r="O638" s="44">
        <v>46135.0</v>
      </c>
      <c r="P638" s="34"/>
      <c r="Q638" s="34"/>
      <c r="R638" s="34"/>
      <c r="S638" s="34"/>
    </row>
    <row r="639" ht="15.75" hidden="1" customHeight="1">
      <c r="B639" s="33">
        <v>46135.0</v>
      </c>
      <c r="C639" s="46" t="s">
        <v>2852</v>
      </c>
      <c r="D639" s="35">
        <v>300.0</v>
      </c>
      <c r="E639" s="37">
        <v>117.0</v>
      </c>
      <c r="F639" s="38">
        <f t="shared" si="2"/>
        <v>35100</v>
      </c>
      <c r="G639" s="35" t="s">
        <v>2853</v>
      </c>
      <c r="H639" s="35" t="s">
        <v>2854</v>
      </c>
      <c r="I639" s="35" t="s">
        <v>59</v>
      </c>
      <c r="J639" s="35" t="s">
        <v>40</v>
      </c>
      <c r="K639" s="35" t="s">
        <v>35</v>
      </c>
      <c r="L639" s="35" t="s">
        <v>87</v>
      </c>
      <c r="M639" s="35">
        <v>31.0</v>
      </c>
      <c r="N639" s="36"/>
      <c r="O639" s="44">
        <v>46137.0</v>
      </c>
      <c r="P639" s="34"/>
      <c r="Q639" s="34"/>
      <c r="R639" s="34"/>
      <c r="S639" s="34"/>
    </row>
    <row r="640" ht="15.75" hidden="1" customHeight="1">
      <c r="B640" s="33">
        <v>46135.0</v>
      </c>
      <c r="C640" s="46" t="s">
        <v>2852</v>
      </c>
      <c r="D640" s="35">
        <v>200.0</v>
      </c>
      <c r="E640" s="37">
        <v>171.0</v>
      </c>
      <c r="F640" s="38">
        <f t="shared" si="2"/>
        <v>34200</v>
      </c>
      <c r="G640" s="35" t="s">
        <v>2868</v>
      </c>
      <c r="H640" s="35" t="s">
        <v>2869</v>
      </c>
      <c r="I640" s="35" t="s">
        <v>59</v>
      </c>
      <c r="J640" s="35" t="s">
        <v>40</v>
      </c>
      <c r="K640" s="35" t="s">
        <v>35</v>
      </c>
      <c r="L640" s="35" t="s">
        <v>87</v>
      </c>
      <c r="M640" s="35">
        <v>31.0</v>
      </c>
      <c r="N640" s="36"/>
      <c r="O640" s="36"/>
      <c r="P640" s="34"/>
      <c r="Q640" s="34"/>
      <c r="R640" s="34"/>
      <c r="S640" s="34"/>
    </row>
    <row r="641" ht="15.75" hidden="1" customHeight="1">
      <c r="B641" s="33">
        <v>46135.0</v>
      </c>
      <c r="C641" s="35" t="s">
        <v>35</v>
      </c>
      <c r="D641" s="35">
        <v>100.0</v>
      </c>
      <c r="E641" s="37">
        <v>120.0</v>
      </c>
      <c r="F641" s="38">
        <f t="shared" si="2"/>
        <v>12000</v>
      </c>
      <c r="G641" s="35" t="s">
        <v>299</v>
      </c>
      <c r="H641" s="35" t="s">
        <v>35</v>
      </c>
      <c r="I641" s="35" t="s">
        <v>59</v>
      </c>
      <c r="J641" s="35" t="s">
        <v>34</v>
      </c>
      <c r="K641" s="35" t="s">
        <v>35</v>
      </c>
      <c r="L641" s="35" t="s">
        <v>799</v>
      </c>
      <c r="M641" s="35">
        <v>31.0</v>
      </c>
      <c r="N641" s="36"/>
      <c r="O641" s="44">
        <v>46139.0</v>
      </c>
      <c r="P641" s="34"/>
      <c r="Q641" s="34"/>
      <c r="R641" s="34"/>
      <c r="S641" s="34"/>
    </row>
    <row r="642" ht="15.75" hidden="1" customHeight="1">
      <c r="B642" s="33">
        <v>46135.0</v>
      </c>
      <c r="C642" s="35" t="s">
        <v>35</v>
      </c>
      <c r="D642" s="35">
        <v>200.0</v>
      </c>
      <c r="E642" s="37">
        <v>120.0</v>
      </c>
      <c r="F642" s="38">
        <f t="shared" si="2"/>
        <v>24000</v>
      </c>
      <c r="G642" s="35" t="s">
        <v>299</v>
      </c>
      <c r="H642" s="35" t="s">
        <v>35</v>
      </c>
      <c r="I642" s="35" t="s">
        <v>300</v>
      </c>
      <c r="J642" s="35" t="s">
        <v>34</v>
      </c>
      <c r="K642" s="35" t="s">
        <v>35</v>
      </c>
      <c r="L642" s="35" t="s">
        <v>799</v>
      </c>
      <c r="M642" s="35">
        <v>31.0</v>
      </c>
      <c r="N642" s="36"/>
      <c r="O642" s="44">
        <v>46141.0</v>
      </c>
      <c r="P642" s="34"/>
      <c r="Q642" s="34"/>
      <c r="R642" s="34"/>
      <c r="S642" s="34"/>
    </row>
    <row r="643" ht="15.75" hidden="1" customHeight="1">
      <c r="B643" s="33">
        <v>46135.0</v>
      </c>
      <c r="C643" s="46" t="s">
        <v>2880</v>
      </c>
      <c r="D643" s="35">
        <v>8.0</v>
      </c>
      <c r="E643" s="37">
        <v>405.0</v>
      </c>
      <c r="F643" s="38">
        <f t="shared" si="2"/>
        <v>3240</v>
      </c>
      <c r="G643" s="35" t="s">
        <v>2881</v>
      </c>
      <c r="H643" s="35" t="s">
        <v>1905</v>
      </c>
      <c r="I643" s="35" t="s">
        <v>174</v>
      </c>
      <c r="J643" s="35" t="s">
        <v>175</v>
      </c>
      <c r="K643" s="35" t="s">
        <v>35</v>
      </c>
      <c r="L643" s="35" t="s">
        <v>279</v>
      </c>
      <c r="M643" s="35">
        <v>31.0</v>
      </c>
      <c r="N643" s="36"/>
      <c r="O643" s="36"/>
      <c r="P643" s="34"/>
      <c r="Q643" s="34"/>
      <c r="R643" s="34"/>
      <c r="S643" s="34"/>
    </row>
    <row r="644" ht="15.75" hidden="1" customHeight="1">
      <c r="B644" s="33">
        <v>46135.0</v>
      </c>
      <c r="C644" s="35">
        <v>86804.0</v>
      </c>
      <c r="D644" s="35">
        <v>1000.0</v>
      </c>
      <c r="E644" s="37">
        <v>18.0</v>
      </c>
      <c r="F644" s="38">
        <f t="shared" si="2"/>
        <v>18000</v>
      </c>
      <c r="G644" s="35" t="s">
        <v>2133</v>
      </c>
      <c r="H644" s="35" t="s">
        <v>2848</v>
      </c>
      <c r="I644" s="35" t="s">
        <v>41</v>
      </c>
      <c r="J644" s="35" t="s">
        <v>40</v>
      </c>
      <c r="K644" s="35" t="s">
        <v>35</v>
      </c>
      <c r="L644" s="35" t="s">
        <v>1250</v>
      </c>
      <c r="M644" s="35">
        <v>31.0</v>
      </c>
      <c r="N644" s="36"/>
      <c r="O644" s="36"/>
      <c r="P644" s="33">
        <v>46136.0</v>
      </c>
      <c r="Q644" s="34"/>
      <c r="R644" s="34"/>
      <c r="S644" s="34"/>
    </row>
    <row r="645" ht="15.75" hidden="1" customHeight="1">
      <c r="B645" s="33">
        <v>46135.0</v>
      </c>
      <c r="C645" s="46" t="s">
        <v>2887</v>
      </c>
      <c r="D645" s="35">
        <v>10.0</v>
      </c>
      <c r="E645" s="37">
        <v>153.0</v>
      </c>
      <c r="F645" s="38">
        <f t="shared" si="2"/>
        <v>1530</v>
      </c>
      <c r="G645" s="35" t="s">
        <v>2888</v>
      </c>
      <c r="H645" s="35" t="s">
        <v>2890</v>
      </c>
      <c r="I645" s="35" t="s">
        <v>41</v>
      </c>
      <c r="J645" s="35" t="s">
        <v>34</v>
      </c>
      <c r="K645" s="35" t="s">
        <v>35</v>
      </c>
      <c r="L645" s="35" t="s">
        <v>46</v>
      </c>
      <c r="M645" s="35">
        <v>31.0</v>
      </c>
      <c r="N645" s="36"/>
      <c r="O645" s="44">
        <v>46139.0</v>
      </c>
      <c r="P645" s="34"/>
      <c r="Q645" s="34"/>
      <c r="R645" s="34"/>
      <c r="S645" s="34"/>
    </row>
    <row r="646" ht="15.75" hidden="1" customHeight="1">
      <c r="B646" s="33">
        <v>46135.0</v>
      </c>
      <c r="C646" s="46" t="s">
        <v>2892</v>
      </c>
      <c r="D646" s="35">
        <v>12.0</v>
      </c>
      <c r="E646" s="37">
        <v>286.2</v>
      </c>
      <c r="F646" s="38">
        <f t="shared" si="2"/>
        <v>3434.4</v>
      </c>
      <c r="G646" s="35" t="s">
        <v>303</v>
      </c>
      <c r="H646" s="35" t="s">
        <v>2895</v>
      </c>
      <c r="I646" s="35" t="s">
        <v>41</v>
      </c>
      <c r="J646" s="35" t="s">
        <v>34</v>
      </c>
      <c r="K646" s="35" t="s">
        <v>35</v>
      </c>
      <c r="L646" s="35" t="s">
        <v>87</v>
      </c>
      <c r="M646" s="35">
        <v>31.0</v>
      </c>
      <c r="N646" s="36"/>
      <c r="O646" s="44">
        <v>46139.0</v>
      </c>
      <c r="P646" s="34"/>
      <c r="Q646" s="34"/>
      <c r="R646" s="34"/>
      <c r="S646" s="34"/>
    </row>
    <row r="647" ht="15.75" hidden="1" customHeight="1">
      <c r="B647" s="33">
        <v>46135.0</v>
      </c>
      <c r="C647" s="46" t="s">
        <v>2892</v>
      </c>
      <c r="D647" s="35">
        <v>12.0</v>
      </c>
      <c r="E647" s="37">
        <v>367.2</v>
      </c>
      <c r="F647" s="38">
        <f t="shared" si="2"/>
        <v>4406.4</v>
      </c>
      <c r="G647" s="35" t="s">
        <v>2810</v>
      </c>
      <c r="H647" s="35" t="s">
        <v>2896</v>
      </c>
      <c r="I647" s="35" t="s">
        <v>41</v>
      </c>
      <c r="J647" s="35" t="s">
        <v>34</v>
      </c>
      <c r="K647" s="35" t="s">
        <v>35</v>
      </c>
      <c r="L647" s="35" t="s">
        <v>87</v>
      </c>
      <c r="M647" s="35">
        <v>31.0</v>
      </c>
      <c r="N647" s="36"/>
      <c r="O647" s="44">
        <v>46139.0</v>
      </c>
      <c r="P647" s="34"/>
      <c r="Q647" s="34"/>
      <c r="R647" s="34"/>
      <c r="S647" s="34"/>
    </row>
    <row r="648" ht="15.75" hidden="1" customHeight="1">
      <c r="B648" s="33">
        <v>46135.0</v>
      </c>
      <c r="C648" s="46" t="s">
        <v>2892</v>
      </c>
      <c r="D648" s="35">
        <v>100.0</v>
      </c>
      <c r="E648" s="37">
        <v>6.12</v>
      </c>
      <c r="F648" s="38">
        <f t="shared" si="2"/>
        <v>612</v>
      </c>
      <c r="G648" s="35" t="s">
        <v>2899</v>
      </c>
      <c r="H648" s="35" t="s">
        <v>2900</v>
      </c>
      <c r="I648" s="35" t="s">
        <v>41</v>
      </c>
      <c r="J648" s="35" t="s">
        <v>34</v>
      </c>
      <c r="K648" s="35" t="s">
        <v>35</v>
      </c>
      <c r="L648" s="35" t="s">
        <v>87</v>
      </c>
      <c r="M648" s="35">
        <v>31.0</v>
      </c>
      <c r="N648" s="36"/>
      <c r="O648" s="44">
        <v>46139.0</v>
      </c>
      <c r="P648" s="34"/>
      <c r="Q648" s="34"/>
      <c r="R648" s="34"/>
      <c r="S648" s="34"/>
    </row>
    <row r="649" ht="15.75" hidden="1" customHeight="1">
      <c r="B649" s="33">
        <v>46136.0</v>
      </c>
      <c r="C649" s="35">
        <v>915449.0</v>
      </c>
      <c r="D649" s="35">
        <v>1000.0</v>
      </c>
      <c r="E649" s="37">
        <v>2.95</v>
      </c>
      <c r="F649" s="38">
        <f t="shared" si="2"/>
        <v>2950</v>
      </c>
      <c r="G649" s="35" t="s">
        <v>792</v>
      </c>
      <c r="H649" s="35">
        <v>44561.0</v>
      </c>
      <c r="I649" s="35" t="s">
        <v>41</v>
      </c>
      <c r="J649" s="35" t="s">
        <v>40</v>
      </c>
      <c r="K649" s="35" t="s">
        <v>35</v>
      </c>
      <c r="L649" s="35" t="s">
        <v>43</v>
      </c>
      <c r="M649" s="35">
        <v>31.0</v>
      </c>
      <c r="N649" s="36"/>
      <c r="O649" s="44">
        <v>46137.0</v>
      </c>
      <c r="P649" s="34"/>
      <c r="Q649" s="33">
        <v>46166.0</v>
      </c>
      <c r="R649" s="33">
        <v>46196.0</v>
      </c>
      <c r="S649" s="35"/>
    </row>
    <row r="650" ht="15.75" hidden="1" customHeight="1">
      <c r="B650" s="33">
        <v>46136.0</v>
      </c>
      <c r="C650" s="46" t="s">
        <v>2903</v>
      </c>
      <c r="D650" s="35">
        <v>200.0</v>
      </c>
      <c r="E650" s="37">
        <v>3.78</v>
      </c>
      <c r="F650" s="38">
        <f t="shared" si="2"/>
        <v>756</v>
      </c>
      <c r="G650" s="35" t="s">
        <v>2905</v>
      </c>
      <c r="H650" s="35" t="s">
        <v>2906</v>
      </c>
      <c r="I650" s="35" t="s">
        <v>41</v>
      </c>
      <c r="J650" s="35" t="s">
        <v>40</v>
      </c>
      <c r="K650" s="35" t="s">
        <v>35</v>
      </c>
      <c r="L650" s="35" t="s">
        <v>46</v>
      </c>
      <c r="M650" s="35">
        <v>1.0</v>
      </c>
      <c r="N650" s="36"/>
      <c r="O650" s="44">
        <v>46137.0</v>
      </c>
      <c r="P650" s="34"/>
      <c r="Q650" s="34"/>
      <c r="R650" s="34"/>
      <c r="S650" s="34"/>
    </row>
    <row r="651" ht="15.75" hidden="1" customHeight="1">
      <c r="B651" s="33">
        <v>46136.0</v>
      </c>
      <c r="C651" s="46" t="s">
        <v>2908</v>
      </c>
      <c r="D651" s="35">
        <v>5.0</v>
      </c>
      <c r="E651" s="37">
        <v>112.5</v>
      </c>
      <c r="F651" s="38">
        <f t="shared" si="2"/>
        <v>562.5</v>
      </c>
      <c r="G651" s="35" t="s">
        <v>217</v>
      </c>
      <c r="H651" s="35" t="s">
        <v>457</v>
      </c>
      <c r="I651" s="35" t="s">
        <v>59</v>
      </c>
      <c r="J651" s="35" t="s">
        <v>34</v>
      </c>
      <c r="K651" s="35" t="s">
        <v>35</v>
      </c>
      <c r="L651" s="35" t="s">
        <v>46</v>
      </c>
      <c r="M651" s="35">
        <v>31.0</v>
      </c>
      <c r="N651" s="36"/>
      <c r="O651" s="36"/>
      <c r="P651" s="34"/>
      <c r="Q651" s="34"/>
      <c r="R651" s="34"/>
      <c r="S651" s="34"/>
    </row>
    <row r="652" ht="15.75" hidden="1" customHeight="1">
      <c r="B652" s="33">
        <v>46136.0</v>
      </c>
      <c r="C652" s="46" t="s">
        <v>2911</v>
      </c>
      <c r="D652" s="35">
        <v>20.0</v>
      </c>
      <c r="E652" s="37">
        <v>250.0</v>
      </c>
      <c r="F652" s="38">
        <f t="shared" si="2"/>
        <v>5000</v>
      </c>
      <c r="G652" s="36" t="s">
        <v>2514</v>
      </c>
      <c r="H652" s="35" t="s">
        <v>173</v>
      </c>
      <c r="I652" s="35" t="s">
        <v>59</v>
      </c>
      <c r="J652" s="35" t="s">
        <v>34</v>
      </c>
      <c r="K652" s="35" t="s">
        <v>35</v>
      </c>
      <c r="L652" s="35" t="s">
        <v>87</v>
      </c>
      <c r="M652" s="35">
        <v>31.0</v>
      </c>
      <c r="N652" s="36"/>
      <c r="O652" s="36"/>
      <c r="P652" s="34"/>
      <c r="Q652" s="34"/>
      <c r="R652" s="34"/>
      <c r="S652" s="34"/>
    </row>
    <row r="653" ht="15.75" hidden="1" customHeight="1">
      <c r="B653" s="33">
        <v>46136.0</v>
      </c>
      <c r="C653" s="46" t="s">
        <v>2912</v>
      </c>
      <c r="D653" s="35">
        <v>50.0</v>
      </c>
      <c r="E653" s="37">
        <v>85.5</v>
      </c>
      <c r="F653" s="38">
        <f t="shared" si="2"/>
        <v>4275</v>
      </c>
      <c r="G653" s="35" t="s">
        <v>163</v>
      </c>
      <c r="H653" s="35" t="s">
        <v>164</v>
      </c>
      <c r="I653" s="35" t="s">
        <v>32</v>
      </c>
      <c r="J653" s="35" t="s">
        <v>34</v>
      </c>
      <c r="K653" s="35" t="s">
        <v>35</v>
      </c>
      <c r="L653" s="35" t="s">
        <v>46</v>
      </c>
      <c r="M653" s="35">
        <v>31.0</v>
      </c>
      <c r="N653" s="36"/>
      <c r="O653" s="36"/>
      <c r="P653" s="34"/>
      <c r="Q653" s="34"/>
      <c r="R653" s="34"/>
      <c r="S653" s="34"/>
    </row>
    <row r="654" ht="15.75" hidden="1" customHeight="1">
      <c r="B654" s="33">
        <v>46136.0</v>
      </c>
      <c r="C654" s="35">
        <v>915474.0</v>
      </c>
      <c r="D654" s="35">
        <v>50.0</v>
      </c>
      <c r="E654" s="37">
        <v>189.9</v>
      </c>
      <c r="F654" s="38">
        <f t="shared" si="2"/>
        <v>9495</v>
      </c>
      <c r="G654" s="35" t="s">
        <v>2914</v>
      </c>
      <c r="H654" s="35">
        <v>61289.0</v>
      </c>
      <c r="I654" s="35" t="s">
        <v>41</v>
      </c>
      <c r="J654" s="35" t="s">
        <v>40</v>
      </c>
      <c r="K654" s="35" t="s">
        <v>35</v>
      </c>
      <c r="L654" s="35" t="s">
        <v>43</v>
      </c>
      <c r="M654" s="35">
        <v>31.0</v>
      </c>
      <c r="N654" s="36"/>
      <c r="O654" s="44">
        <v>46137.0</v>
      </c>
      <c r="P654" s="44"/>
      <c r="Q654" s="33">
        <v>46166.0</v>
      </c>
      <c r="R654" s="33">
        <v>46196.0</v>
      </c>
      <c r="S654" s="35"/>
    </row>
    <row r="655" ht="15.75" hidden="1" customHeight="1">
      <c r="B655" s="33">
        <v>46136.0</v>
      </c>
      <c r="C655" s="46" t="s">
        <v>2917</v>
      </c>
      <c r="D655" s="35">
        <v>80.0</v>
      </c>
      <c r="E655" s="37">
        <v>260.0</v>
      </c>
      <c r="F655" s="38">
        <f t="shared" si="2"/>
        <v>20800</v>
      </c>
      <c r="G655" s="36" t="s">
        <v>2216</v>
      </c>
      <c r="H655" s="35" t="s">
        <v>287</v>
      </c>
      <c r="I655" s="35" t="s">
        <v>41</v>
      </c>
      <c r="J655" s="35" t="s">
        <v>34</v>
      </c>
      <c r="K655" s="35" t="s">
        <v>35</v>
      </c>
      <c r="L655" s="35" t="s">
        <v>87</v>
      </c>
      <c r="M655" s="35">
        <v>31.0</v>
      </c>
      <c r="N655" s="36"/>
      <c r="O655" s="44">
        <v>46140.0</v>
      </c>
      <c r="P655" s="34"/>
      <c r="Q655" s="34"/>
      <c r="R655" s="34"/>
      <c r="S655" s="34"/>
    </row>
    <row r="656" ht="15.75" hidden="1" customHeight="1">
      <c r="B656" s="33">
        <v>46136.0</v>
      </c>
      <c r="C656" s="46" t="s">
        <v>2922</v>
      </c>
      <c r="D656" s="35">
        <v>2.0</v>
      </c>
      <c r="E656" s="37">
        <v>405.0</v>
      </c>
      <c r="F656" s="38">
        <f t="shared" si="2"/>
        <v>810</v>
      </c>
      <c r="G656" s="35" t="s">
        <v>2881</v>
      </c>
      <c r="H656" s="35" t="s">
        <v>1905</v>
      </c>
      <c r="I656" s="35" t="s">
        <v>221</v>
      </c>
      <c r="J656" s="35" t="s">
        <v>34</v>
      </c>
      <c r="K656" s="35" t="s">
        <v>35</v>
      </c>
      <c r="L656" s="35" t="s">
        <v>279</v>
      </c>
      <c r="M656" s="35">
        <v>1.0</v>
      </c>
      <c r="N656" s="36"/>
      <c r="O656" s="44">
        <v>46141.0</v>
      </c>
      <c r="P656" s="34"/>
      <c r="Q656" s="34"/>
      <c r="R656" s="34"/>
      <c r="S656" s="34"/>
    </row>
    <row r="657" ht="15.75" hidden="1" customHeight="1">
      <c r="B657" s="33">
        <v>46136.0</v>
      </c>
      <c r="C657" s="35">
        <v>13897.0</v>
      </c>
      <c r="D657" s="35">
        <v>50.0</v>
      </c>
      <c r="E657" s="37">
        <v>89.9</v>
      </c>
      <c r="F657" s="38">
        <f t="shared" si="2"/>
        <v>4495</v>
      </c>
      <c r="G657" s="35" t="s">
        <v>2926</v>
      </c>
      <c r="H657" s="35" t="s">
        <v>2633</v>
      </c>
      <c r="I657" s="35" t="s">
        <v>77</v>
      </c>
      <c r="J657" s="35" t="s">
        <v>79</v>
      </c>
      <c r="K657" s="35" t="s">
        <v>35</v>
      </c>
      <c r="L657" s="35" t="s">
        <v>96</v>
      </c>
      <c r="M657" s="35">
        <v>31.0</v>
      </c>
      <c r="N657" s="36"/>
      <c r="O657" s="36"/>
      <c r="P657" s="34"/>
      <c r="Q657" s="34"/>
      <c r="R657" s="34"/>
      <c r="S657" s="34"/>
    </row>
    <row r="658" ht="15.75" hidden="1" customHeight="1">
      <c r="B658" s="33">
        <v>46136.0</v>
      </c>
      <c r="C658" s="35">
        <v>13868.0</v>
      </c>
      <c r="D658" s="35">
        <v>250.0</v>
      </c>
      <c r="E658" s="37">
        <v>11.0</v>
      </c>
      <c r="F658" s="38">
        <f t="shared" si="2"/>
        <v>2750</v>
      </c>
      <c r="G658" s="35" t="s">
        <v>491</v>
      </c>
      <c r="H658" s="35" t="s">
        <v>494</v>
      </c>
      <c r="I658" s="35" t="s">
        <v>32</v>
      </c>
      <c r="J658" s="35" t="s">
        <v>34</v>
      </c>
      <c r="K658" s="35" t="s">
        <v>35</v>
      </c>
      <c r="L658" s="35" t="s">
        <v>96</v>
      </c>
      <c r="M658" s="35">
        <v>31.0</v>
      </c>
      <c r="N658" s="36"/>
      <c r="O658" s="36"/>
      <c r="P658" s="34"/>
      <c r="Q658" s="34"/>
      <c r="R658" s="34"/>
      <c r="S658" s="34"/>
    </row>
    <row r="659" ht="15.75" hidden="1" customHeight="1">
      <c r="B659" s="33">
        <v>46136.0</v>
      </c>
      <c r="C659" s="35">
        <v>13824.0</v>
      </c>
      <c r="D659" s="35">
        <v>50.0</v>
      </c>
      <c r="E659" s="37">
        <v>24.8</v>
      </c>
      <c r="F659" s="38">
        <f t="shared" si="2"/>
        <v>1240</v>
      </c>
      <c r="G659" s="35" t="s">
        <v>2932</v>
      </c>
      <c r="H659" s="35" t="s">
        <v>2934</v>
      </c>
      <c r="I659" s="35" t="s">
        <v>240</v>
      </c>
      <c r="J659" s="35" t="s">
        <v>2935</v>
      </c>
      <c r="K659" s="35" t="s">
        <v>1036</v>
      </c>
      <c r="L659" s="35" t="s">
        <v>96</v>
      </c>
      <c r="M659" s="35">
        <v>31.0</v>
      </c>
      <c r="N659" s="36"/>
      <c r="O659" s="44">
        <v>46139.0</v>
      </c>
      <c r="P659" s="34"/>
      <c r="Q659" s="34"/>
      <c r="R659" s="34"/>
      <c r="S659" s="34"/>
    </row>
    <row r="660" ht="15.75" hidden="1" customHeight="1">
      <c r="B660" s="33">
        <v>46136.0</v>
      </c>
      <c r="C660" s="35">
        <v>13824.0</v>
      </c>
      <c r="D660" s="35">
        <v>60.0</v>
      </c>
      <c r="E660" s="37">
        <v>28.8</v>
      </c>
      <c r="F660" s="38">
        <f t="shared" si="2"/>
        <v>1728</v>
      </c>
      <c r="G660" s="35" t="s">
        <v>2940</v>
      </c>
      <c r="H660" s="35" t="s">
        <v>2942</v>
      </c>
      <c r="I660" s="35" t="s">
        <v>240</v>
      </c>
      <c r="J660" s="35" t="s">
        <v>2935</v>
      </c>
      <c r="K660" s="35" t="s">
        <v>1036</v>
      </c>
      <c r="L660" s="35" t="s">
        <v>96</v>
      </c>
      <c r="M660" s="35">
        <v>31.0</v>
      </c>
      <c r="N660" s="36"/>
      <c r="O660" s="44">
        <v>46139.0</v>
      </c>
      <c r="P660" s="34"/>
      <c r="Q660" s="34"/>
      <c r="R660" s="34"/>
      <c r="S660" s="34"/>
    </row>
    <row r="661" ht="15.75" hidden="1" customHeight="1">
      <c r="B661" s="33">
        <v>46136.0</v>
      </c>
      <c r="C661" s="35">
        <v>13824.0</v>
      </c>
      <c r="D661" s="35">
        <v>80.0</v>
      </c>
      <c r="E661" s="37">
        <v>69.9</v>
      </c>
      <c r="F661" s="38">
        <f t="shared" si="2"/>
        <v>5592</v>
      </c>
      <c r="G661" s="35" t="s">
        <v>2945</v>
      </c>
      <c r="H661" s="35" t="s">
        <v>2946</v>
      </c>
      <c r="I661" s="35" t="s">
        <v>240</v>
      </c>
      <c r="J661" s="35" t="s">
        <v>2935</v>
      </c>
      <c r="K661" s="35" t="s">
        <v>1036</v>
      </c>
      <c r="L661" s="35" t="s">
        <v>96</v>
      </c>
      <c r="M661" s="35">
        <v>31.0</v>
      </c>
      <c r="N661" s="36"/>
      <c r="O661" s="44">
        <v>46139.0</v>
      </c>
      <c r="P661" s="34"/>
      <c r="Q661" s="34"/>
      <c r="R661" s="34"/>
      <c r="S661" s="34"/>
    </row>
    <row r="662" ht="15.75" hidden="1" customHeight="1">
      <c r="B662" s="33">
        <v>46136.0</v>
      </c>
      <c r="C662" s="35">
        <v>13824.0</v>
      </c>
      <c r="D662" s="35">
        <v>4.0</v>
      </c>
      <c r="E662" s="37">
        <v>149.9</v>
      </c>
      <c r="F662" s="38">
        <f t="shared" si="2"/>
        <v>599.6</v>
      </c>
      <c r="G662" s="35" t="s">
        <v>2950</v>
      </c>
      <c r="H662" s="35" t="s">
        <v>2951</v>
      </c>
      <c r="I662" s="35" t="s">
        <v>240</v>
      </c>
      <c r="J662" s="35" t="s">
        <v>2935</v>
      </c>
      <c r="K662" s="35" t="s">
        <v>1036</v>
      </c>
      <c r="L662" s="35" t="s">
        <v>96</v>
      </c>
      <c r="M662" s="35">
        <v>31.0</v>
      </c>
      <c r="N662" s="36"/>
      <c r="O662" s="36"/>
      <c r="P662" s="34"/>
      <c r="Q662" s="34"/>
      <c r="R662" s="34"/>
      <c r="S662" s="34"/>
    </row>
    <row r="663" ht="15.75" hidden="1" customHeight="1">
      <c r="B663" s="33">
        <v>46136.0</v>
      </c>
      <c r="C663" s="35">
        <v>13824.0</v>
      </c>
      <c r="D663" s="35">
        <v>4.0</v>
      </c>
      <c r="E663" s="37">
        <v>219.9</v>
      </c>
      <c r="F663" s="38">
        <f t="shared" si="2"/>
        <v>879.6</v>
      </c>
      <c r="G663" s="35" t="s">
        <v>2955</v>
      </c>
      <c r="H663" s="35" t="s">
        <v>2956</v>
      </c>
      <c r="I663" s="35" t="s">
        <v>240</v>
      </c>
      <c r="J663" s="35" t="s">
        <v>2935</v>
      </c>
      <c r="K663" s="35" t="s">
        <v>1036</v>
      </c>
      <c r="L663" s="35" t="s">
        <v>96</v>
      </c>
      <c r="M663" s="35">
        <v>31.0</v>
      </c>
      <c r="N663" s="36"/>
      <c r="O663" s="44">
        <v>46139.0</v>
      </c>
      <c r="P663" s="34"/>
      <c r="Q663" s="34"/>
      <c r="R663" s="34"/>
      <c r="S663" s="34"/>
    </row>
    <row r="664" ht="15.75" hidden="1" customHeight="1">
      <c r="B664" s="33">
        <v>46136.0</v>
      </c>
      <c r="C664" s="35">
        <v>13322.0</v>
      </c>
      <c r="D664" s="35">
        <v>200.0</v>
      </c>
      <c r="E664" s="37">
        <v>9.486</v>
      </c>
      <c r="F664" s="38">
        <f t="shared" si="2"/>
        <v>1897.2</v>
      </c>
      <c r="G664" s="35" t="s">
        <v>1181</v>
      </c>
      <c r="H664" s="35" t="s">
        <v>561</v>
      </c>
      <c r="I664" s="35" t="s">
        <v>32</v>
      </c>
      <c r="J664" s="35" t="s">
        <v>34</v>
      </c>
      <c r="K664" s="35" t="s">
        <v>35</v>
      </c>
      <c r="L664" s="35" t="s">
        <v>210</v>
      </c>
      <c r="M664" s="35">
        <v>31.0</v>
      </c>
      <c r="N664" s="36"/>
      <c r="O664" s="44">
        <v>46139.0</v>
      </c>
      <c r="P664" s="34"/>
      <c r="Q664" s="34"/>
      <c r="R664" s="34"/>
      <c r="S664" s="34"/>
    </row>
    <row r="665" ht="15.75" hidden="1" customHeight="1">
      <c r="B665" s="33">
        <v>46136.0</v>
      </c>
      <c r="C665" s="35">
        <v>13322.0</v>
      </c>
      <c r="D665" s="35">
        <v>150.0</v>
      </c>
      <c r="E665" s="37">
        <v>12.555</v>
      </c>
      <c r="F665" s="38">
        <f t="shared" si="2"/>
        <v>1883.25</v>
      </c>
      <c r="G665" s="35" t="s">
        <v>1753</v>
      </c>
      <c r="H665" s="35" t="s">
        <v>1754</v>
      </c>
      <c r="I665" s="35" t="s">
        <v>32</v>
      </c>
      <c r="J665" s="35" t="s">
        <v>34</v>
      </c>
      <c r="K665" s="35" t="s">
        <v>35</v>
      </c>
      <c r="L665" s="35" t="s">
        <v>210</v>
      </c>
      <c r="M665" s="35">
        <v>31.0</v>
      </c>
      <c r="N665" s="36"/>
      <c r="O665" s="44">
        <v>46139.0</v>
      </c>
      <c r="P665" s="34"/>
      <c r="Q665" s="34"/>
      <c r="R665" s="34"/>
      <c r="S665" s="34"/>
    </row>
    <row r="666" ht="15.75" hidden="1" customHeight="1">
      <c r="B666" s="33">
        <v>46136.0</v>
      </c>
      <c r="C666" s="35">
        <v>13322.0</v>
      </c>
      <c r="D666" s="35">
        <v>100.0</v>
      </c>
      <c r="E666" s="37">
        <v>5.58</v>
      </c>
      <c r="F666" s="38">
        <f t="shared" si="2"/>
        <v>558</v>
      </c>
      <c r="G666" s="35" t="s">
        <v>2966</v>
      </c>
      <c r="H666" s="35" t="s">
        <v>2967</v>
      </c>
      <c r="I666" s="35" t="s">
        <v>32</v>
      </c>
      <c r="J666" s="35" t="s">
        <v>34</v>
      </c>
      <c r="K666" s="35" t="s">
        <v>35</v>
      </c>
      <c r="L666" s="35" t="s">
        <v>210</v>
      </c>
      <c r="M666" s="35">
        <v>31.0</v>
      </c>
      <c r="N666" s="36"/>
      <c r="O666" s="44">
        <v>46139.0</v>
      </c>
      <c r="P666" s="34"/>
      <c r="Q666" s="34"/>
      <c r="R666" s="34"/>
      <c r="S666" s="34"/>
    </row>
    <row r="667" ht="15.75" hidden="1" customHeight="1">
      <c r="B667" s="33">
        <v>46136.0</v>
      </c>
      <c r="C667" s="35">
        <v>1022.0</v>
      </c>
      <c r="D667" s="35">
        <v>30.0</v>
      </c>
      <c r="E667" s="37">
        <v>152.0</v>
      </c>
      <c r="F667" s="38">
        <f t="shared" si="2"/>
        <v>4560</v>
      </c>
      <c r="G667" s="35" t="s">
        <v>135</v>
      </c>
      <c r="H667" s="35" t="s">
        <v>35</v>
      </c>
      <c r="I667" s="36" t="s">
        <v>59</v>
      </c>
      <c r="J667" s="36" t="s">
        <v>34</v>
      </c>
      <c r="K667" s="35" t="s">
        <v>35</v>
      </c>
      <c r="L667" s="36" t="s">
        <v>132</v>
      </c>
      <c r="M667" s="35">
        <v>31.0</v>
      </c>
      <c r="N667" s="36"/>
      <c r="O667" s="36"/>
      <c r="P667" s="34"/>
      <c r="Q667" s="34"/>
      <c r="R667" s="34"/>
      <c r="S667" s="34"/>
    </row>
    <row r="668" ht="15.75" hidden="1" customHeight="1">
      <c r="B668" s="33">
        <v>46136.0</v>
      </c>
      <c r="C668" s="35">
        <v>1022.0</v>
      </c>
      <c r="D668" s="35">
        <v>30.0</v>
      </c>
      <c r="E668" s="37">
        <v>215.0</v>
      </c>
      <c r="F668" s="38">
        <f t="shared" si="2"/>
        <v>6450</v>
      </c>
      <c r="G668" s="35" t="s">
        <v>1124</v>
      </c>
      <c r="H668" s="35" t="s">
        <v>35</v>
      </c>
      <c r="I668" s="36" t="s">
        <v>59</v>
      </c>
      <c r="J668" s="36" t="s">
        <v>34</v>
      </c>
      <c r="K668" s="35" t="s">
        <v>35</v>
      </c>
      <c r="L668" s="36" t="s">
        <v>132</v>
      </c>
      <c r="M668" s="35">
        <v>31.0</v>
      </c>
      <c r="N668" s="36"/>
      <c r="O668" s="36"/>
      <c r="P668" s="34"/>
      <c r="Q668" s="34"/>
      <c r="R668" s="34"/>
      <c r="S668" s="34"/>
    </row>
    <row r="669" ht="15.75" hidden="1" customHeight="1">
      <c r="B669" s="33">
        <v>46136.0</v>
      </c>
      <c r="C669" s="35">
        <v>1022.0</v>
      </c>
      <c r="D669" s="35">
        <v>30.0</v>
      </c>
      <c r="E669" s="37">
        <v>180.0</v>
      </c>
      <c r="F669" s="38">
        <f t="shared" si="2"/>
        <v>5400</v>
      </c>
      <c r="G669" s="35" t="s">
        <v>1130</v>
      </c>
      <c r="H669" s="35" t="s">
        <v>35</v>
      </c>
      <c r="I669" s="36" t="s">
        <v>59</v>
      </c>
      <c r="J669" s="36" t="s">
        <v>34</v>
      </c>
      <c r="K669" s="35" t="s">
        <v>35</v>
      </c>
      <c r="L669" s="36" t="s">
        <v>132</v>
      </c>
      <c r="M669" s="35">
        <v>31.0</v>
      </c>
      <c r="N669" s="36"/>
      <c r="O669" s="36"/>
      <c r="P669" s="34"/>
      <c r="Q669" s="34"/>
      <c r="R669" s="34"/>
      <c r="S669" s="34"/>
    </row>
    <row r="670" ht="15.75" hidden="1" customHeight="1">
      <c r="B670" s="33">
        <v>46136.0</v>
      </c>
      <c r="C670" s="35">
        <v>1022.0</v>
      </c>
      <c r="D670" s="35">
        <v>150.0</v>
      </c>
      <c r="E670" s="37">
        <v>180.0</v>
      </c>
      <c r="F670" s="38">
        <f t="shared" si="2"/>
        <v>27000</v>
      </c>
      <c r="G670" s="35" t="s">
        <v>1130</v>
      </c>
      <c r="H670" s="35" t="s">
        <v>35</v>
      </c>
      <c r="I670" s="35" t="s">
        <v>77</v>
      </c>
      <c r="J670" s="35" t="s">
        <v>79</v>
      </c>
      <c r="K670" s="35" t="s">
        <v>35</v>
      </c>
      <c r="L670" s="36" t="s">
        <v>132</v>
      </c>
      <c r="M670" s="35">
        <v>31.0</v>
      </c>
      <c r="N670" s="36"/>
      <c r="O670" s="36"/>
      <c r="P670" s="34"/>
      <c r="Q670" s="34"/>
      <c r="R670" s="34"/>
      <c r="S670" s="34"/>
    </row>
    <row r="671" ht="15.75" hidden="1" customHeight="1">
      <c r="B671" s="33">
        <v>46136.0</v>
      </c>
      <c r="C671" s="46" t="s">
        <v>2976</v>
      </c>
      <c r="D671" s="35">
        <v>40.0</v>
      </c>
      <c r="E671" s="37">
        <v>63.0</v>
      </c>
      <c r="F671" s="38">
        <f t="shared" si="2"/>
        <v>2520</v>
      </c>
      <c r="G671" s="35" t="s">
        <v>451</v>
      </c>
      <c r="H671" s="35" t="s">
        <v>452</v>
      </c>
      <c r="I671" s="35" t="s">
        <v>59</v>
      </c>
      <c r="J671" s="35" t="s">
        <v>34</v>
      </c>
      <c r="K671" s="35" t="s">
        <v>35</v>
      </c>
      <c r="L671" s="35" t="s">
        <v>87</v>
      </c>
      <c r="M671" s="35">
        <v>31.0</v>
      </c>
      <c r="N671" s="44">
        <v>46139.0</v>
      </c>
      <c r="O671" s="44">
        <v>46139.0</v>
      </c>
      <c r="P671" s="34"/>
      <c r="Q671" s="34"/>
      <c r="R671" s="34"/>
      <c r="S671" s="34"/>
    </row>
    <row r="672" ht="15.75" hidden="1" customHeight="1">
      <c r="B672" s="33">
        <v>46136.0</v>
      </c>
      <c r="C672" s="46" t="s">
        <v>2980</v>
      </c>
      <c r="D672" s="35">
        <v>60.0</v>
      </c>
      <c r="E672" s="37">
        <v>250.0</v>
      </c>
      <c r="F672" s="38">
        <f t="shared" si="2"/>
        <v>15000</v>
      </c>
      <c r="G672" s="36" t="s">
        <v>2514</v>
      </c>
      <c r="H672" s="35" t="s">
        <v>173</v>
      </c>
      <c r="I672" s="35" t="s">
        <v>2774</v>
      </c>
      <c r="J672" s="35" t="s">
        <v>34</v>
      </c>
      <c r="K672" s="35" t="s">
        <v>35</v>
      </c>
      <c r="L672" s="35" t="s">
        <v>87</v>
      </c>
      <c r="M672" s="35">
        <v>31.0</v>
      </c>
      <c r="N672" s="36"/>
      <c r="O672" s="44">
        <v>46140.0</v>
      </c>
      <c r="P672" s="34"/>
      <c r="Q672" s="34"/>
      <c r="R672" s="34"/>
      <c r="S672" s="34"/>
    </row>
    <row r="673" ht="15.75" hidden="1" customHeight="1">
      <c r="B673" s="33">
        <v>46136.0</v>
      </c>
      <c r="C673" s="35">
        <v>1273.0</v>
      </c>
      <c r="D673" s="35">
        <v>1.0</v>
      </c>
      <c r="E673" s="37">
        <v>542.95</v>
      </c>
      <c r="F673" s="38">
        <f t="shared" si="2"/>
        <v>542.95</v>
      </c>
      <c r="G673" s="35" t="s">
        <v>2689</v>
      </c>
      <c r="H673" s="35">
        <v>581.0</v>
      </c>
      <c r="I673" s="35" t="s">
        <v>2988</v>
      </c>
      <c r="J673" s="35" t="s">
        <v>40</v>
      </c>
      <c r="K673" s="35" t="s">
        <v>35</v>
      </c>
      <c r="L673" s="35" t="s">
        <v>2686</v>
      </c>
      <c r="M673" s="35">
        <v>1.0</v>
      </c>
      <c r="N673" s="36"/>
      <c r="O673" s="36"/>
      <c r="P673" s="34"/>
      <c r="Q673" s="34"/>
      <c r="R673" s="34"/>
      <c r="S673" s="34"/>
    </row>
    <row r="674" ht="15.75" hidden="1" customHeight="1">
      <c r="B674" s="33">
        <v>46136.0</v>
      </c>
      <c r="C674" s="35">
        <v>1273.0</v>
      </c>
      <c r="D674" s="35">
        <v>2.0</v>
      </c>
      <c r="E674" s="37">
        <v>60.01</v>
      </c>
      <c r="F674" s="38">
        <f t="shared" si="2"/>
        <v>120.02</v>
      </c>
      <c r="G674" s="35" t="s">
        <v>2991</v>
      </c>
      <c r="H674" s="35">
        <v>614.0</v>
      </c>
      <c r="I674" s="35" t="s">
        <v>41</v>
      </c>
      <c r="J674" s="35" t="s">
        <v>34</v>
      </c>
      <c r="K674" s="35" t="s">
        <v>35</v>
      </c>
      <c r="L674" s="35" t="s">
        <v>2686</v>
      </c>
      <c r="M674" s="35">
        <v>1.0</v>
      </c>
      <c r="N674" s="36"/>
      <c r="O674" s="36"/>
      <c r="P674" s="34"/>
      <c r="Q674" s="34"/>
      <c r="R674" s="34"/>
      <c r="S674" s="34"/>
    </row>
    <row r="675" ht="15.75" hidden="1" customHeight="1">
      <c r="B675" s="33">
        <v>46136.0</v>
      </c>
      <c r="C675" s="46" t="s">
        <v>2993</v>
      </c>
      <c r="D675" s="35">
        <v>20.0</v>
      </c>
      <c r="E675" s="37">
        <v>260.0</v>
      </c>
      <c r="F675" s="38">
        <f t="shared" si="2"/>
        <v>5200</v>
      </c>
      <c r="G675" s="35" t="s">
        <v>2994</v>
      </c>
      <c r="H675" s="35" t="s">
        <v>2197</v>
      </c>
      <c r="I675" s="35" t="s">
        <v>59</v>
      </c>
      <c r="J675" s="35" t="s">
        <v>34</v>
      </c>
      <c r="K675" s="35" t="s">
        <v>35</v>
      </c>
      <c r="L675" s="35" t="s">
        <v>87</v>
      </c>
      <c r="M675" s="35">
        <v>31.0</v>
      </c>
      <c r="N675" s="36"/>
      <c r="O675" s="36"/>
      <c r="P675" s="34"/>
      <c r="Q675" s="34"/>
      <c r="R675" s="34"/>
      <c r="S675" s="34"/>
    </row>
    <row r="676" ht="15.75" hidden="1" customHeight="1">
      <c r="B676" s="33">
        <v>46139.0</v>
      </c>
      <c r="C676" s="35">
        <v>14041.0</v>
      </c>
      <c r="D676" s="35">
        <v>4.0</v>
      </c>
      <c r="E676" s="37">
        <v>279.9</v>
      </c>
      <c r="F676" s="38">
        <f t="shared" si="2"/>
        <v>1119.6</v>
      </c>
      <c r="G676" s="35" t="s">
        <v>2996</v>
      </c>
      <c r="H676" s="35" t="s">
        <v>2984</v>
      </c>
      <c r="I676" s="35" t="s">
        <v>32</v>
      </c>
      <c r="J676" s="35" t="s">
        <v>34</v>
      </c>
      <c r="K676" s="35" t="s">
        <v>35</v>
      </c>
      <c r="L676" s="35" t="s">
        <v>96</v>
      </c>
      <c r="M676" s="35">
        <v>1.0</v>
      </c>
      <c r="N676" s="36"/>
      <c r="O676" s="36"/>
      <c r="P676" s="34"/>
      <c r="Q676" s="34"/>
      <c r="R676" s="34"/>
      <c r="S676" s="34"/>
    </row>
    <row r="677" ht="15.75" hidden="1" customHeight="1">
      <c r="B677" s="44">
        <v>46139.0</v>
      </c>
      <c r="C677" s="35">
        <v>81.0</v>
      </c>
      <c r="D677" s="35">
        <v>150.0</v>
      </c>
      <c r="E677" s="37">
        <v>239.99</v>
      </c>
      <c r="F677" s="38">
        <f t="shared" si="2"/>
        <v>35998.5</v>
      </c>
      <c r="G677" s="35" t="s">
        <v>2717</v>
      </c>
      <c r="H677" s="35">
        <v>115.0</v>
      </c>
      <c r="I677" s="35" t="s">
        <v>32</v>
      </c>
      <c r="J677" s="35" t="s">
        <v>34</v>
      </c>
      <c r="K677" s="35" t="s">
        <v>35</v>
      </c>
      <c r="L677" s="35" t="s">
        <v>515</v>
      </c>
      <c r="M677" s="35">
        <v>31.0</v>
      </c>
      <c r="N677" s="36"/>
      <c r="O677" s="44">
        <v>46147.0</v>
      </c>
      <c r="P677" s="34"/>
      <c r="Q677" s="34"/>
      <c r="R677" s="34"/>
      <c r="S677" s="34"/>
    </row>
    <row r="678" ht="15.0" hidden="1" customHeight="1">
      <c r="B678" s="44">
        <v>46139.0</v>
      </c>
      <c r="C678" s="35">
        <v>81.0</v>
      </c>
      <c r="D678" s="35">
        <v>40.0</v>
      </c>
      <c r="E678" s="37">
        <v>680.0</v>
      </c>
      <c r="F678" s="38">
        <f t="shared" si="2"/>
        <v>27200</v>
      </c>
      <c r="G678" s="35" t="s">
        <v>3006</v>
      </c>
      <c r="H678" s="35">
        <v>118.0</v>
      </c>
      <c r="I678" s="35" t="s">
        <v>32</v>
      </c>
      <c r="J678" s="35" t="s">
        <v>34</v>
      </c>
      <c r="K678" s="35" t="s">
        <v>35</v>
      </c>
      <c r="L678" s="35" t="s">
        <v>515</v>
      </c>
      <c r="M678" s="35">
        <v>31.0</v>
      </c>
      <c r="N678" s="36"/>
      <c r="O678" s="44">
        <v>46147.0</v>
      </c>
      <c r="P678" s="34"/>
      <c r="Q678" s="34"/>
      <c r="R678" s="34"/>
      <c r="S678" s="34"/>
    </row>
    <row r="679" ht="15.75" hidden="1" customHeight="1">
      <c r="B679" s="33">
        <v>46139.0</v>
      </c>
      <c r="C679" s="46" t="s">
        <v>3008</v>
      </c>
      <c r="D679" s="35">
        <v>5.0</v>
      </c>
      <c r="E679" s="37">
        <v>290.0</v>
      </c>
      <c r="F679" s="38">
        <f t="shared" si="2"/>
        <v>1450</v>
      </c>
      <c r="G679" s="35" t="s">
        <v>786</v>
      </c>
      <c r="H679" s="35" t="s">
        <v>3011</v>
      </c>
      <c r="I679" s="35" t="s">
        <v>59</v>
      </c>
      <c r="J679" s="35" t="s">
        <v>34</v>
      </c>
      <c r="K679" s="35" t="s">
        <v>35</v>
      </c>
      <c r="L679" s="35" t="s">
        <v>46</v>
      </c>
      <c r="M679" s="35">
        <v>31.0</v>
      </c>
      <c r="N679" s="36"/>
      <c r="O679" s="44">
        <v>46139.0</v>
      </c>
      <c r="P679" s="34"/>
      <c r="Q679" s="34"/>
      <c r="R679" s="34"/>
      <c r="S679" s="34"/>
    </row>
    <row r="680" ht="15.75" hidden="1" customHeight="1">
      <c r="B680" s="33">
        <v>46139.0</v>
      </c>
      <c r="C680" s="46" t="s">
        <v>3008</v>
      </c>
      <c r="D680" s="35">
        <v>5.0</v>
      </c>
      <c r="E680" s="37">
        <v>290.0</v>
      </c>
      <c r="F680" s="38">
        <f t="shared" si="2"/>
        <v>1450</v>
      </c>
      <c r="G680" s="35" t="s">
        <v>786</v>
      </c>
      <c r="H680" s="35" t="s">
        <v>2837</v>
      </c>
      <c r="I680" s="35" t="s">
        <v>59</v>
      </c>
      <c r="J680" s="35" t="s">
        <v>34</v>
      </c>
      <c r="K680" s="35" t="s">
        <v>35</v>
      </c>
      <c r="L680" s="35" t="s">
        <v>46</v>
      </c>
      <c r="M680" s="35">
        <v>31.0</v>
      </c>
      <c r="N680" s="36"/>
      <c r="O680" s="44">
        <v>46139.0</v>
      </c>
      <c r="P680" s="34"/>
      <c r="Q680" s="34"/>
      <c r="R680" s="34"/>
      <c r="S680" s="34"/>
    </row>
    <row r="681" ht="15.75" customHeight="1">
      <c r="B681" s="33">
        <v>46139.0</v>
      </c>
      <c r="C681" s="35" t="s">
        <v>35</v>
      </c>
      <c r="D681" s="35">
        <v>2000.0</v>
      </c>
      <c r="E681" s="37">
        <v>6.0</v>
      </c>
      <c r="F681" s="38">
        <f t="shared" si="2"/>
        <v>12000</v>
      </c>
      <c r="G681" s="35" t="s">
        <v>3018</v>
      </c>
      <c r="H681" s="35" t="s">
        <v>3019</v>
      </c>
      <c r="I681" s="35" t="s">
        <v>41</v>
      </c>
      <c r="J681" s="35" t="s">
        <v>40</v>
      </c>
      <c r="K681" s="35" t="s">
        <v>35</v>
      </c>
      <c r="L681" s="35" t="s">
        <v>353</v>
      </c>
      <c r="M681" s="35">
        <v>31.0</v>
      </c>
      <c r="N681" s="36"/>
      <c r="O681" s="36"/>
      <c r="P681" s="34"/>
      <c r="Q681" s="34"/>
      <c r="R681" s="34"/>
      <c r="S681" s="34"/>
    </row>
    <row r="682" ht="15.75" customHeight="1">
      <c r="B682" s="33">
        <v>46139.0</v>
      </c>
      <c r="C682" s="35" t="s">
        <v>35</v>
      </c>
      <c r="D682" s="35">
        <v>2000.0</v>
      </c>
      <c r="E682" s="37">
        <v>4.1</v>
      </c>
      <c r="F682" s="38">
        <f t="shared" si="2"/>
        <v>8200</v>
      </c>
      <c r="G682" s="35" t="s">
        <v>685</v>
      </c>
      <c r="H682" s="35" t="s">
        <v>686</v>
      </c>
      <c r="I682" s="35" t="s">
        <v>41</v>
      </c>
      <c r="J682" s="35" t="s">
        <v>40</v>
      </c>
      <c r="K682" s="35" t="s">
        <v>35</v>
      </c>
      <c r="L682" s="35" t="s">
        <v>353</v>
      </c>
      <c r="M682" s="35">
        <v>31.0</v>
      </c>
      <c r="N682" s="36"/>
      <c r="O682" s="36"/>
      <c r="P682" s="34"/>
      <c r="Q682" s="34"/>
      <c r="R682" s="34"/>
      <c r="S682" s="34"/>
    </row>
    <row r="683" ht="15.75" customHeight="1">
      <c r="B683" s="33">
        <v>46139.0</v>
      </c>
      <c r="C683" s="35" t="s">
        <v>35</v>
      </c>
      <c r="D683" s="35">
        <v>6000.0</v>
      </c>
      <c r="E683" s="37">
        <v>22.0</v>
      </c>
      <c r="F683" s="38">
        <f t="shared" si="2"/>
        <v>132000</v>
      </c>
      <c r="G683" s="35" t="s">
        <v>549</v>
      </c>
      <c r="H683" s="35" t="s">
        <v>3025</v>
      </c>
      <c r="I683" s="35" t="s">
        <v>41</v>
      </c>
      <c r="J683" s="35" t="s">
        <v>40</v>
      </c>
      <c r="K683" s="35" t="s">
        <v>35</v>
      </c>
      <c r="L683" s="35" t="s">
        <v>353</v>
      </c>
      <c r="M683" s="35">
        <v>31.0</v>
      </c>
      <c r="N683" s="36"/>
      <c r="O683" s="36"/>
      <c r="P683" s="34"/>
      <c r="Q683" s="34"/>
      <c r="R683" s="34"/>
      <c r="S683" s="34"/>
    </row>
    <row r="684" ht="15.75" customHeight="1">
      <c r="B684" s="33">
        <v>46139.0</v>
      </c>
      <c r="C684" s="35" t="s">
        <v>35</v>
      </c>
      <c r="D684" s="35">
        <v>2000.0</v>
      </c>
      <c r="E684" s="37">
        <v>18.23</v>
      </c>
      <c r="F684" s="38">
        <f t="shared" si="2"/>
        <v>36460</v>
      </c>
      <c r="G684" s="35" t="s">
        <v>398</v>
      </c>
      <c r="H684" s="35" t="s">
        <v>399</v>
      </c>
      <c r="I684" s="35" t="s">
        <v>41</v>
      </c>
      <c r="J684" s="35" t="s">
        <v>40</v>
      </c>
      <c r="K684" s="35" t="s">
        <v>35</v>
      </c>
      <c r="L684" s="35" t="s">
        <v>353</v>
      </c>
      <c r="M684" s="35">
        <v>31.0</v>
      </c>
      <c r="N684" s="36"/>
      <c r="O684" s="36"/>
      <c r="P684" s="34"/>
      <c r="Q684" s="34"/>
      <c r="R684" s="34"/>
      <c r="S684" s="34"/>
    </row>
    <row r="685" ht="15.75" hidden="1" customHeight="1">
      <c r="B685" s="33">
        <v>46139.0</v>
      </c>
      <c r="C685" s="35">
        <v>14115.0</v>
      </c>
      <c r="D685" s="35">
        <v>5.0</v>
      </c>
      <c r="E685" s="37">
        <v>339.9</v>
      </c>
      <c r="F685" s="38">
        <f t="shared" si="2"/>
        <v>1699.5</v>
      </c>
      <c r="G685" s="35" t="s">
        <v>393</v>
      </c>
      <c r="H685" s="35" t="s">
        <v>396</v>
      </c>
      <c r="I685" s="35" t="s">
        <v>240</v>
      </c>
      <c r="J685" s="35" t="s">
        <v>2935</v>
      </c>
      <c r="K685" s="35" t="s">
        <v>1036</v>
      </c>
      <c r="L685" s="35" t="s">
        <v>96</v>
      </c>
      <c r="M685" s="35">
        <v>31.0</v>
      </c>
      <c r="N685" s="36"/>
      <c r="O685" s="36"/>
      <c r="P685" s="34"/>
      <c r="Q685" s="34"/>
      <c r="R685" s="34"/>
      <c r="S685" s="34"/>
    </row>
    <row r="686" ht="15.75" hidden="1" customHeight="1">
      <c r="B686" s="33">
        <v>46139.0</v>
      </c>
      <c r="C686" s="35">
        <v>14115.0</v>
      </c>
      <c r="D686" s="35">
        <v>10.0</v>
      </c>
      <c r="E686" s="37">
        <v>82.9</v>
      </c>
      <c r="F686" s="38">
        <f t="shared" si="2"/>
        <v>829</v>
      </c>
      <c r="G686" s="35" t="s">
        <v>3030</v>
      </c>
      <c r="H686" s="35" t="s">
        <v>3031</v>
      </c>
      <c r="I686" s="35" t="s">
        <v>240</v>
      </c>
      <c r="J686" s="35" t="s">
        <v>2935</v>
      </c>
      <c r="K686" s="35" t="s">
        <v>1036</v>
      </c>
      <c r="L686" s="35" t="s">
        <v>96</v>
      </c>
      <c r="M686" s="35">
        <v>31.0</v>
      </c>
      <c r="N686" s="36"/>
      <c r="O686" s="36"/>
      <c r="P686" s="34"/>
      <c r="Q686" s="34"/>
      <c r="R686" s="34"/>
      <c r="S686" s="34"/>
    </row>
    <row r="687" ht="15.75" hidden="1" customHeight="1">
      <c r="B687" s="33">
        <v>46139.0</v>
      </c>
      <c r="C687" s="35">
        <v>14115.0</v>
      </c>
      <c r="D687" s="35">
        <v>100.0</v>
      </c>
      <c r="E687" s="37">
        <v>64.9</v>
      </c>
      <c r="F687" s="38">
        <f t="shared" si="2"/>
        <v>6490</v>
      </c>
      <c r="G687" s="35" t="s">
        <v>3036</v>
      </c>
      <c r="H687" s="35" t="s">
        <v>3037</v>
      </c>
      <c r="I687" s="35" t="s">
        <v>240</v>
      </c>
      <c r="J687" s="35" t="s">
        <v>2935</v>
      </c>
      <c r="K687" s="35" t="s">
        <v>1036</v>
      </c>
      <c r="L687" s="35" t="s">
        <v>96</v>
      </c>
      <c r="M687" s="35">
        <v>31.0</v>
      </c>
      <c r="N687" s="36"/>
      <c r="O687" s="36"/>
      <c r="P687" s="34"/>
      <c r="Q687" s="34"/>
      <c r="R687" s="34"/>
      <c r="S687" s="34"/>
    </row>
    <row r="688" ht="15.75" hidden="1" customHeight="1">
      <c r="B688" s="33">
        <v>46139.0</v>
      </c>
      <c r="C688" s="35">
        <v>14115.0</v>
      </c>
      <c r="D688" s="35">
        <v>20.0</v>
      </c>
      <c r="E688" s="37">
        <v>45.9</v>
      </c>
      <c r="F688" s="38">
        <f t="shared" si="2"/>
        <v>918</v>
      </c>
      <c r="G688" s="35" t="s">
        <v>3041</v>
      </c>
      <c r="H688" s="35" t="s">
        <v>3042</v>
      </c>
      <c r="I688" s="35" t="s">
        <v>240</v>
      </c>
      <c r="J688" s="35" t="s">
        <v>2935</v>
      </c>
      <c r="K688" s="35" t="s">
        <v>1036</v>
      </c>
      <c r="L688" s="35" t="s">
        <v>96</v>
      </c>
      <c r="M688" s="35">
        <v>31.0</v>
      </c>
      <c r="N688" s="36"/>
      <c r="O688" s="36"/>
      <c r="P688" s="34"/>
      <c r="Q688" s="34"/>
      <c r="R688" s="34"/>
      <c r="S688" s="34"/>
    </row>
    <row r="689" ht="15.75" hidden="1" customHeight="1">
      <c r="B689" s="33">
        <v>46139.0</v>
      </c>
      <c r="C689" s="35">
        <v>14115.0</v>
      </c>
      <c r="D689" s="35">
        <v>200.0</v>
      </c>
      <c r="E689" s="37">
        <v>7.9</v>
      </c>
      <c r="F689" s="38">
        <f t="shared" si="2"/>
        <v>1580</v>
      </c>
      <c r="G689" s="35" t="s">
        <v>3048</v>
      </c>
      <c r="H689" s="35" t="s">
        <v>3049</v>
      </c>
      <c r="I689" s="35" t="s">
        <v>240</v>
      </c>
      <c r="J689" s="35" t="s">
        <v>2935</v>
      </c>
      <c r="K689" s="35" t="s">
        <v>1036</v>
      </c>
      <c r="L689" s="35" t="s">
        <v>96</v>
      </c>
      <c r="M689" s="35">
        <v>31.0</v>
      </c>
      <c r="N689" s="36"/>
      <c r="O689" s="36"/>
      <c r="P689" s="34"/>
      <c r="Q689" s="34"/>
      <c r="R689" s="34"/>
      <c r="S689" s="34"/>
    </row>
    <row r="690" ht="15.75" hidden="1" customHeight="1">
      <c r="B690" s="33">
        <v>46139.0</v>
      </c>
      <c r="C690" s="35" t="s">
        <v>35</v>
      </c>
      <c r="D690" s="35">
        <v>200.0</v>
      </c>
      <c r="E690" s="37">
        <v>265.0</v>
      </c>
      <c r="F690" s="38">
        <f t="shared" si="2"/>
        <v>53000</v>
      </c>
      <c r="G690" s="35" t="s">
        <v>3052</v>
      </c>
      <c r="H690" s="35" t="s">
        <v>64</v>
      </c>
      <c r="I690" s="35" t="s">
        <v>32</v>
      </c>
      <c r="J690" s="35" t="s">
        <v>34</v>
      </c>
      <c r="K690" s="35" t="s">
        <v>35</v>
      </c>
      <c r="L690" s="35" t="s">
        <v>3055</v>
      </c>
      <c r="M690" s="35">
        <v>31.0</v>
      </c>
      <c r="N690" s="36"/>
      <c r="O690" s="36"/>
      <c r="P690" s="34"/>
      <c r="Q690" s="34"/>
      <c r="R690" s="34"/>
      <c r="S690" s="34"/>
    </row>
    <row r="691" ht="15.75" hidden="1" customHeight="1">
      <c r="B691" s="33">
        <v>46139.0</v>
      </c>
      <c r="C691" s="35" t="s">
        <v>35</v>
      </c>
      <c r="D691" s="35">
        <v>150.0</v>
      </c>
      <c r="E691" s="37">
        <v>265.0</v>
      </c>
      <c r="F691" s="38">
        <f t="shared" si="2"/>
        <v>39750</v>
      </c>
      <c r="G691" s="35" t="s">
        <v>3052</v>
      </c>
      <c r="H691" s="35" t="s">
        <v>64</v>
      </c>
      <c r="I691" s="35" t="s">
        <v>300</v>
      </c>
      <c r="J691" s="35" t="s">
        <v>34</v>
      </c>
      <c r="K691" s="35" t="s">
        <v>35</v>
      </c>
      <c r="L691" s="35" t="s">
        <v>3055</v>
      </c>
      <c r="M691" s="35">
        <v>31.0</v>
      </c>
      <c r="N691" s="36"/>
      <c r="O691" s="36"/>
      <c r="P691" s="34"/>
      <c r="Q691" s="34"/>
      <c r="R691" s="34"/>
      <c r="S691" s="34"/>
    </row>
    <row r="692" ht="15.75" hidden="1" customHeight="1">
      <c r="B692" s="33">
        <v>46139.0</v>
      </c>
      <c r="C692" s="35" t="s">
        <v>35</v>
      </c>
      <c r="D692" s="35">
        <v>150.0</v>
      </c>
      <c r="E692" s="37">
        <v>265.0</v>
      </c>
      <c r="F692" s="38">
        <f t="shared" si="2"/>
        <v>39750</v>
      </c>
      <c r="G692" s="35" t="s">
        <v>3052</v>
      </c>
      <c r="H692" s="35" t="s">
        <v>64</v>
      </c>
      <c r="I692" s="35" t="s">
        <v>41</v>
      </c>
      <c r="J692" s="35" t="s">
        <v>40</v>
      </c>
      <c r="K692" s="35" t="s">
        <v>35</v>
      </c>
      <c r="L692" s="35" t="s">
        <v>3055</v>
      </c>
      <c r="M692" s="35">
        <v>31.0</v>
      </c>
      <c r="N692" s="36"/>
      <c r="O692" s="36"/>
      <c r="P692" s="34"/>
      <c r="Q692" s="34"/>
      <c r="R692" s="34"/>
      <c r="S692" s="34"/>
    </row>
    <row r="693" ht="15.75" hidden="1" customHeight="1">
      <c r="B693" s="33">
        <v>46139.0</v>
      </c>
      <c r="C693" s="35">
        <v>1119.0</v>
      </c>
      <c r="D693" s="35">
        <v>169.0</v>
      </c>
      <c r="E693" s="37">
        <v>20.0</v>
      </c>
      <c r="F693" s="38">
        <f t="shared" si="2"/>
        <v>3380</v>
      </c>
      <c r="G693" s="35" t="s">
        <v>3061</v>
      </c>
      <c r="H693" s="35" t="s">
        <v>35</v>
      </c>
      <c r="I693" s="35" t="s">
        <v>59</v>
      </c>
      <c r="J693" s="35" t="s">
        <v>34</v>
      </c>
      <c r="K693" s="35" t="s">
        <v>35</v>
      </c>
      <c r="L693" s="35" t="s">
        <v>468</v>
      </c>
      <c r="M693" s="35">
        <v>31.0</v>
      </c>
      <c r="N693" s="36"/>
      <c r="O693" s="36"/>
      <c r="P693" s="34"/>
      <c r="Q693" s="34"/>
      <c r="R693" s="34"/>
      <c r="S693" s="34"/>
    </row>
    <row r="694" ht="15.75" hidden="1" customHeight="1">
      <c r="B694" s="33">
        <v>46139.0</v>
      </c>
      <c r="C694" s="35">
        <v>1119.0</v>
      </c>
      <c r="D694" s="35">
        <v>507.0</v>
      </c>
      <c r="E694" s="37">
        <v>20.0</v>
      </c>
      <c r="F694" s="38">
        <f t="shared" si="2"/>
        <v>10140</v>
      </c>
      <c r="G694" s="35" t="s">
        <v>3061</v>
      </c>
      <c r="H694" s="35" t="s">
        <v>35</v>
      </c>
      <c r="I694" s="35" t="s">
        <v>39</v>
      </c>
      <c r="J694" s="35" t="s">
        <v>40</v>
      </c>
      <c r="K694" s="35" t="s">
        <v>35</v>
      </c>
      <c r="L694" s="35" t="s">
        <v>468</v>
      </c>
      <c r="M694" s="35">
        <v>31.0</v>
      </c>
      <c r="N694" s="36"/>
      <c r="O694" s="44">
        <v>46146.0</v>
      </c>
      <c r="P694" s="34"/>
      <c r="Q694" s="34"/>
      <c r="R694" s="34"/>
      <c r="S694" s="34"/>
    </row>
    <row r="695" ht="15.75" hidden="1" customHeight="1">
      <c r="B695" s="33">
        <v>46140.0</v>
      </c>
      <c r="C695" s="35" t="s">
        <v>35</v>
      </c>
      <c r="D695" s="35">
        <v>13.0</v>
      </c>
      <c r="E695" s="37">
        <v>1132.0</v>
      </c>
      <c r="F695" s="38">
        <f t="shared" si="2"/>
        <v>14716</v>
      </c>
      <c r="G695" s="35" t="s">
        <v>3069</v>
      </c>
      <c r="H695" s="35">
        <v>84285.0</v>
      </c>
      <c r="I695" s="35" t="s">
        <v>174</v>
      </c>
      <c r="J695" s="35" t="s">
        <v>175</v>
      </c>
      <c r="K695" s="35" t="s">
        <v>35</v>
      </c>
      <c r="L695" s="35" t="s">
        <v>2400</v>
      </c>
      <c r="M695" s="35">
        <v>1.0</v>
      </c>
      <c r="N695" s="36"/>
      <c r="O695" s="36"/>
      <c r="P695" s="33">
        <v>46139.0</v>
      </c>
      <c r="Q695" s="34"/>
      <c r="R695" s="34"/>
      <c r="S695" s="34"/>
    </row>
    <row r="696" ht="15.75" hidden="1" customHeight="1">
      <c r="B696" s="33">
        <v>46140.0</v>
      </c>
      <c r="C696" s="35">
        <v>89442.0</v>
      </c>
      <c r="D696" s="35">
        <v>200.0</v>
      </c>
      <c r="E696" s="37">
        <v>23.2</v>
      </c>
      <c r="F696" s="38">
        <f t="shared" si="2"/>
        <v>4640</v>
      </c>
      <c r="G696" s="35" t="s">
        <v>3072</v>
      </c>
      <c r="H696" s="35" t="s">
        <v>3073</v>
      </c>
      <c r="I696" s="35" t="s">
        <v>673</v>
      </c>
      <c r="J696" s="35" t="s">
        <v>175</v>
      </c>
      <c r="K696" s="35" t="s">
        <v>35</v>
      </c>
      <c r="L696" s="35" t="s">
        <v>3074</v>
      </c>
      <c r="M696" s="35">
        <v>1.0</v>
      </c>
      <c r="N696" s="36"/>
      <c r="O696" s="36"/>
      <c r="P696" s="33">
        <v>46154.0</v>
      </c>
      <c r="Q696" s="34"/>
      <c r="R696" s="34"/>
      <c r="S696" s="34"/>
    </row>
    <row r="697" ht="15.75" hidden="1" customHeight="1">
      <c r="B697" s="33">
        <v>46140.0</v>
      </c>
      <c r="C697" s="46" t="s">
        <v>3076</v>
      </c>
      <c r="D697" s="35">
        <v>17.0</v>
      </c>
      <c r="E697" s="37">
        <v>290.0</v>
      </c>
      <c r="F697" s="38">
        <f t="shared" si="2"/>
        <v>4930</v>
      </c>
      <c r="G697" s="35" t="s">
        <v>786</v>
      </c>
      <c r="H697" s="35" t="s">
        <v>2837</v>
      </c>
      <c r="I697" s="35" t="s">
        <v>59</v>
      </c>
      <c r="J697" s="35" t="s">
        <v>34</v>
      </c>
      <c r="K697" s="35" t="s">
        <v>35</v>
      </c>
      <c r="L697" s="35" t="s">
        <v>151</v>
      </c>
      <c r="M697" s="35">
        <v>31.0</v>
      </c>
      <c r="N697" s="36"/>
      <c r="O697" s="44">
        <v>46140.0</v>
      </c>
      <c r="P697" s="34"/>
      <c r="Q697" s="34"/>
      <c r="R697" s="34"/>
      <c r="S697" s="34"/>
    </row>
    <row r="698" ht="15.75" hidden="1" customHeight="1">
      <c r="B698" s="33">
        <v>46140.0</v>
      </c>
      <c r="C698" s="46" t="s">
        <v>3078</v>
      </c>
      <c r="D698" s="35">
        <v>100.0</v>
      </c>
      <c r="E698" s="37">
        <v>11.8</v>
      </c>
      <c r="F698" s="38">
        <f t="shared" si="2"/>
        <v>1180</v>
      </c>
      <c r="G698" s="35" t="s">
        <v>782</v>
      </c>
      <c r="H698" s="35" t="s">
        <v>3079</v>
      </c>
      <c r="I698" s="35" t="s">
        <v>41</v>
      </c>
      <c r="J698" s="35" t="s">
        <v>34</v>
      </c>
      <c r="K698" s="35" t="s">
        <v>35</v>
      </c>
      <c r="L698" s="35" t="s">
        <v>87</v>
      </c>
      <c r="M698" s="35">
        <v>1.0</v>
      </c>
      <c r="N698" s="36"/>
      <c r="O698" s="44">
        <v>46142.0</v>
      </c>
      <c r="P698" s="34"/>
      <c r="Q698" s="34"/>
      <c r="R698" s="34"/>
      <c r="S698" s="34"/>
    </row>
    <row r="699" ht="15.75" hidden="1" customHeight="1">
      <c r="B699" s="33">
        <v>46140.0</v>
      </c>
      <c r="C699" s="46" t="s">
        <v>3080</v>
      </c>
      <c r="D699" s="35">
        <v>32.0</v>
      </c>
      <c r="E699" s="37">
        <v>135.0</v>
      </c>
      <c r="F699" s="38">
        <f t="shared" si="2"/>
        <v>4320</v>
      </c>
      <c r="G699" s="35" t="s">
        <v>821</v>
      </c>
      <c r="H699" s="35" t="s">
        <v>744</v>
      </c>
      <c r="I699" s="35" t="s">
        <v>240</v>
      </c>
      <c r="J699" s="35" t="s">
        <v>40</v>
      </c>
      <c r="K699" s="35" t="s">
        <v>35</v>
      </c>
      <c r="L699" s="35" t="s">
        <v>62</v>
      </c>
      <c r="M699" s="35">
        <v>31.0</v>
      </c>
      <c r="N699" s="44">
        <v>46153.0</v>
      </c>
      <c r="O699" s="36"/>
      <c r="P699" s="34"/>
      <c r="Q699" s="34"/>
      <c r="R699" s="34"/>
      <c r="S699" s="34"/>
    </row>
    <row r="700" ht="15.75" hidden="1" customHeight="1">
      <c r="B700" s="33">
        <v>46140.0</v>
      </c>
      <c r="C700" s="46" t="s">
        <v>3088</v>
      </c>
      <c r="D700" s="35">
        <v>40.0</v>
      </c>
      <c r="E700" s="37">
        <v>61.2</v>
      </c>
      <c r="F700" s="38">
        <f t="shared" si="2"/>
        <v>2448</v>
      </c>
      <c r="G700" s="35" t="s">
        <v>3089</v>
      </c>
      <c r="H700" s="35" t="s">
        <v>3090</v>
      </c>
      <c r="I700" s="35" t="s">
        <v>32</v>
      </c>
      <c r="J700" s="35" t="s">
        <v>34</v>
      </c>
      <c r="K700" s="35" t="s">
        <v>35</v>
      </c>
      <c r="L700" s="35" t="s">
        <v>46</v>
      </c>
      <c r="M700" s="35">
        <v>31.0</v>
      </c>
      <c r="N700" s="36"/>
      <c r="O700" s="44">
        <v>46148.0</v>
      </c>
      <c r="P700" s="34"/>
      <c r="Q700" s="34"/>
      <c r="R700" s="34"/>
      <c r="S700" s="34"/>
    </row>
    <row r="701" ht="15.75" hidden="1" customHeight="1">
      <c r="B701" s="33">
        <v>46140.0</v>
      </c>
      <c r="C701" s="46" t="s">
        <v>3088</v>
      </c>
      <c r="D701" s="35">
        <v>30.0</v>
      </c>
      <c r="E701" s="37">
        <v>23.4</v>
      </c>
      <c r="F701" s="38">
        <f t="shared" si="2"/>
        <v>702</v>
      </c>
      <c r="G701" s="35" t="s">
        <v>3089</v>
      </c>
      <c r="H701" s="35" t="s">
        <v>3093</v>
      </c>
      <c r="I701" s="35" t="s">
        <v>32</v>
      </c>
      <c r="J701" s="35" t="s">
        <v>34</v>
      </c>
      <c r="K701" s="35" t="s">
        <v>35</v>
      </c>
      <c r="L701" s="35" t="s">
        <v>46</v>
      </c>
      <c r="M701" s="35">
        <v>31.0</v>
      </c>
      <c r="N701" s="36"/>
      <c r="O701" s="44">
        <v>46148.0</v>
      </c>
      <c r="P701" s="34"/>
      <c r="Q701" s="34"/>
      <c r="R701" s="34"/>
      <c r="S701" s="34"/>
    </row>
    <row r="702" ht="15.75" hidden="1" customHeight="1">
      <c r="B702" s="33">
        <v>46140.0</v>
      </c>
      <c r="C702" s="46" t="s">
        <v>3088</v>
      </c>
      <c r="D702" s="35">
        <v>30.0</v>
      </c>
      <c r="E702" s="37">
        <v>72.0</v>
      </c>
      <c r="F702" s="38">
        <f t="shared" si="2"/>
        <v>2160</v>
      </c>
      <c r="G702" s="35" t="s">
        <v>3096</v>
      </c>
      <c r="H702" s="35" t="s">
        <v>3097</v>
      </c>
      <c r="I702" s="35" t="s">
        <v>32</v>
      </c>
      <c r="J702" s="35" t="s">
        <v>34</v>
      </c>
      <c r="K702" s="35" t="s">
        <v>35</v>
      </c>
      <c r="L702" s="35" t="s">
        <v>46</v>
      </c>
      <c r="M702" s="35">
        <v>31.0</v>
      </c>
      <c r="N702" s="36"/>
      <c r="O702" s="44">
        <v>46148.0</v>
      </c>
      <c r="P702" s="34"/>
      <c r="Q702" s="34"/>
      <c r="R702" s="34"/>
      <c r="S702" s="34"/>
    </row>
    <row r="703" ht="15.75" hidden="1" customHeight="1">
      <c r="B703" s="33">
        <v>46140.0</v>
      </c>
      <c r="C703" s="46" t="s">
        <v>3088</v>
      </c>
      <c r="D703" s="35">
        <v>30.0</v>
      </c>
      <c r="E703" s="37">
        <v>97.2</v>
      </c>
      <c r="F703" s="38">
        <f t="shared" si="2"/>
        <v>2916</v>
      </c>
      <c r="G703" s="35" t="s">
        <v>3100</v>
      </c>
      <c r="H703" s="35" t="s">
        <v>3101</v>
      </c>
      <c r="I703" s="35" t="s">
        <v>32</v>
      </c>
      <c r="J703" s="35" t="s">
        <v>34</v>
      </c>
      <c r="K703" s="35" t="s">
        <v>35</v>
      </c>
      <c r="L703" s="35" t="s">
        <v>46</v>
      </c>
      <c r="M703" s="35">
        <v>31.0</v>
      </c>
      <c r="N703" s="36"/>
      <c r="O703" s="44">
        <v>46148.0</v>
      </c>
      <c r="P703" s="34"/>
      <c r="Q703" s="34"/>
      <c r="R703" s="34"/>
      <c r="S703" s="34"/>
    </row>
    <row r="704" ht="15.75" hidden="1" customHeight="1">
      <c r="B704" s="33">
        <v>46140.0</v>
      </c>
      <c r="C704" s="46" t="s">
        <v>3088</v>
      </c>
      <c r="D704" s="35">
        <v>6.0</v>
      </c>
      <c r="E704" s="37">
        <v>103.5</v>
      </c>
      <c r="F704" s="38">
        <f t="shared" si="2"/>
        <v>621</v>
      </c>
      <c r="G704" s="35" t="s">
        <v>919</v>
      </c>
      <c r="H704" s="35" t="s">
        <v>3103</v>
      </c>
      <c r="I704" s="35" t="s">
        <v>32</v>
      </c>
      <c r="J704" s="35" t="s">
        <v>34</v>
      </c>
      <c r="K704" s="35" t="s">
        <v>35</v>
      </c>
      <c r="L704" s="35" t="s">
        <v>46</v>
      </c>
      <c r="M704" s="35">
        <v>31.0</v>
      </c>
      <c r="N704" s="36"/>
      <c r="O704" s="44">
        <v>46148.0</v>
      </c>
      <c r="P704" s="34"/>
      <c r="Q704" s="34"/>
      <c r="R704" s="34"/>
      <c r="S704" s="34"/>
    </row>
    <row r="705" ht="15.75" hidden="1" customHeight="1">
      <c r="B705" s="33">
        <v>46140.0</v>
      </c>
      <c r="C705" s="46" t="s">
        <v>3088</v>
      </c>
      <c r="D705" s="35">
        <v>3.0</v>
      </c>
      <c r="E705" s="37">
        <v>112.5</v>
      </c>
      <c r="F705" s="38">
        <f t="shared" si="2"/>
        <v>337.5</v>
      </c>
      <c r="G705" s="35" t="s">
        <v>217</v>
      </c>
      <c r="H705" s="35" t="s">
        <v>457</v>
      </c>
      <c r="I705" s="35" t="s">
        <v>32</v>
      </c>
      <c r="J705" s="35" t="s">
        <v>34</v>
      </c>
      <c r="K705" s="35" t="s">
        <v>35</v>
      </c>
      <c r="L705" s="35" t="s">
        <v>46</v>
      </c>
      <c r="M705" s="35">
        <v>31.0</v>
      </c>
      <c r="N705" s="36"/>
      <c r="O705" s="44">
        <v>46148.0</v>
      </c>
      <c r="P705" s="34"/>
      <c r="Q705" s="34"/>
      <c r="R705" s="34"/>
      <c r="S705" s="34"/>
    </row>
    <row r="706" ht="15.75" hidden="1" customHeight="1">
      <c r="B706" s="33">
        <v>46140.0</v>
      </c>
      <c r="C706" s="46" t="s">
        <v>3088</v>
      </c>
      <c r="D706" s="35">
        <v>10.0</v>
      </c>
      <c r="E706" s="37">
        <v>85.5</v>
      </c>
      <c r="F706" s="38">
        <f t="shared" si="2"/>
        <v>855</v>
      </c>
      <c r="G706" s="35" t="s">
        <v>163</v>
      </c>
      <c r="H706" s="35" t="s">
        <v>164</v>
      </c>
      <c r="I706" s="35" t="s">
        <v>32</v>
      </c>
      <c r="J706" s="35" t="s">
        <v>34</v>
      </c>
      <c r="K706" s="35" t="s">
        <v>35</v>
      </c>
      <c r="L706" s="35" t="s">
        <v>46</v>
      </c>
      <c r="M706" s="35">
        <v>31.0</v>
      </c>
      <c r="N706" s="36"/>
      <c r="O706" s="44">
        <v>46148.0</v>
      </c>
      <c r="P706" s="34"/>
      <c r="Q706" s="34"/>
      <c r="R706" s="34"/>
      <c r="S706" s="34"/>
    </row>
    <row r="707" ht="15.75" hidden="1" customHeight="1">
      <c r="B707" s="33">
        <v>46140.0</v>
      </c>
      <c r="C707" s="35" t="s">
        <v>35</v>
      </c>
      <c r="D707" s="35">
        <v>10.0</v>
      </c>
      <c r="E707" s="37">
        <v>145.92</v>
      </c>
      <c r="F707" s="38">
        <f t="shared" si="2"/>
        <v>1459.2</v>
      </c>
      <c r="G707" s="35" t="s">
        <v>3111</v>
      </c>
      <c r="H707" s="35">
        <v>9.40171E7</v>
      </c>
      <c r="I707" s="35" t="s">
        <v>2239</v>
      </c>
      <c r="J707" s="35" t="s">
        <v>2108</v>
      </c>
      <c r="K707" s="35" t="s">
        <v>35</v>
      </c>
      <c r="L707" s="35" t="s">
        <v>2400</v>
      </c>
      <c r="M707" s="35">
        <v>1.0</v>
      </c>
      <c r="N707" s="36"/>
      <c r="O707" s="44">
        <v>46149.0</v>
      </c>
      <c r="P707" s="34"/>
      <c r="Q707" s="34"/>
      <c r="R707" s="34"/>
      <c r="S707" s="34"/>
    </row>
    <row r="708" ht="15.75" hidden="1" customHeight="1">
      <c r="B708" s="33">
        <v>46140.0</v>
      </c>
      <c r="C708" s="35" t="s">
        <v>35</v>
      </c>
      <c r="D708" s="35">
        <v>175.0</v>
      </c>
      <c r="E708" s="37">
        <v>248.6</v>
      </c>
      <c r="F708" s="38">
        <f t="shared" si="2"/>
        <v>43505</v>
      </c>
      <c r="G708" s="35" t="s">
        <v>3119</v>
      </c>
      <c r="H708" s="35">
        <v>9.40171E7</v>
      </c>
      <c r="I708" s="35" t="s">
        <v>174</v>
      </c>
      <c r="J708" s="35" t="s">
        <v>175</v>
      </c>
      <c r="K708" s="35" t="s">
        <v>35</v>
      </c>
      <c r="L708" s="35" t="s">
        <v>2400</v>
      </c>
      <c r="M708" s="35">
        <v>1.0</v>
      </c>
      <c r="N708" s="36"/>
      <c r="O708" s="36"/>
      <c r="P708" s="34"/>
      <c r="Q708" s="34"/>
      <c r="R708" s="34"/>
      <c r="S708" s="34"/>
    </row>
    <row r="709" ht="15.75" hidden="1" customHeight="1">
      <c r="B709" s="33">
        <v>46140.0</v>
      </c>
      <c r="C709" s="46" t="s">
        <v>3122</v>
      </c>
      <c r="D709" s="35">
        <v>8.0</v>
      </c>
      <c r="E709" s="37">
        <v>765.0</v>
      </c>
      <c r="F709" s="38">
        <f t="shared" si="2"/>
        <v>6120</v>
      </c>
      <c r="G709" s="35" t="s">
        <v>3124</v>
      </c>
      <c r="H709" s="35" t="s">
        <v>3125</v>
      </c>
      <c r="I709" s="35" t="s">
        <v>673</v>
      </c>
      <c r="J709" s="35" t="s">
        <v>175</v>
      </c>
      <c r="K709" s="35" t="s">
        <v>35</v>
      </c>
      <c r="L709" s="35" t="s">
        <v>46</v>
      </c>
      <c r="M709" s="35">
        <v>31.0</v>
      </c>
      <c r="N709" s="44">
        <v>46141.0</v>
      </c>
      <c r="O709" s="36"/>
      <c r="P709" s="34"/>
      <c r="Q709" s="34"/>
      <c r="R709" s="34"/>
      <c r="S709" s="34"/>
    </row>
    <row r="710" ht="15.75" hidden="1" customHeight="1">
      <c r="B710" s="33">
        <v>46140.0</v>
      </c>
      <c r="C710" s="46" t="s">
        <v>3129</v>
      </c>
      <c r="D710" s="35">
        <v>3.0</v>
      </c>
      <c r="E710" s="37">
        <v>316.0</v>
      </c>
      <c r="F710" s="38">
        <f t="shared" si="2"/>
        <v>948</v>
      </c>
      <c r="G710" s="35" t="s">
        <v>786</v>
      </c>
      <c r="H710" s="35" t="s">
        <v>3131</v>
      </c>
      <c r="I710" s="35" t="s">
        <v>59</v>
      </c>
      <c r="J710" s="35" t="s">
        <v>34</v>
      </c>
      <c r="K710" s="35" t="s">
        <v>35</v>
      </c>
      <c r="L710" s="35" t="s">
        <v>151</v>
      </c>
      <c r="M710" s="35">
        <v>31.0</v>
      </c>
      <c r="N710" s="36"/>
      <c r="O710" s="44">
        <v>46140.0</v>
      </c>
      <c r="P710" s="34"/>
      <c r="Q710" s="34"/>
      <c r="R710" s="34"/>
      <c r="S710" s="34"/>
    </row>
    <row r="711" ht="15.75" hidden="1" customHeight="1">
      <c r="B711" s="33">
        <v>46140.0</v>
      </c>
      <c r="C711" s="46" t="s">
        <v>3129</v>
      </c>
      <c r="D711" s="35">
        <v>2.0</v>
      </c>
      <c r="E711" s="37">
        <v>288.0</v>
      </c>
      <c r="F711" s="38">
        <f t="shared" si="2"/>
        <v>576</v>
      </c>
      <c r="G711" s="35" t="s">
        <v>786</v>
      </c>
      <c r="H711" s="35" t="s">
        <v>3136</v>
      </c>
      <c r="I711" s="35" t="s">
        <v>59</v>
      </c>
      <c r="J711" s="35" t="s">
        <v>34</v>
      </c>
      <c r="K711" s="35" t="s">
        <v>35</v>
      </c>
      <c r="L711" s="35" t="s">
        <v>151</v>
      </c>
      <c r="M711" s="35">
        <v>31.0</v>
      </c>
      <c r="N711" s="36"/>
      <c r="O711" s="44">
        <v>46140.0</v>
      </c>
      <c r="P711" s="34"/>
      <c r="Q711" s="34"/>
      <c r="R711" s="34"/>
      <c r="S711" s="34"/>
    </row>
    <row r="712" ht="15.75" hidden="1" customHeight="1">
      <c r="B712" s="33">
        <v>46140.0</v>
      </c>
      <c r="C712" s="46" t="s">
        <v>3129</v>
      </c>
      <c r="D712" s="35">
        <v>3.0</v>
      </c>
      <c r="E712" s="37">
        <v>356.0</v>
      </c>
      <c r="F712" s="38">
        <f t="shared" si="2"/>
        <v>1068</v>
      </c>
      <c r="G712" s="35" t="s">
        <v>786</v>
      </c>
      <c r="H712" s="35" t="s">
        <v>3140</v>
      </c>
      <c r="I712" s="35" t="s">
        <v>59</v>
      </c>
      <c r="J712" s="35" t="s">
        <v>34</v>
      </c>
      <c r="K712" s="35" t="s">
        <v>35</v>
      </c>
      <c r="L712" s="35" t="s">
        <v>151</v>
      </c>
      <c r="M712" s="35">
        <v>31.0</v>
      </c>
      <c r="N712" s="36"/>
      <c r="O712" s="44">
        <v>46140.0</v>
      </c>
      <c r="P712" s="34"/>
      <c r="Q712" s="34"/>
      <c r="R712" s="34"/>
      <c r="S712" s="34"/>
    </row>
    <row r="713" ht="15.75" hidden="1" customHeight="1">
      <c r="B713" s="33">
        <v>46140.0</v>
      </c>
      <c r="C713" s="46" t="s">
        <v>3129</v>
      </c>
      <c r="D713" s="35">
        <v>2.0</v>
      </c>
      <c r="E713" s="37">
        <v>492.0</v>
      </c>
      <c r="F713" s="38">
        <f t="shared" si="2"/>
        <v>984</v>
      </c>
      <c r="G713" s="35" t="s">
        <v>786</v>
      </c>
      <c r="H713" s="35" t="s">
        <v>3146</v>
      </c>
      <c r="I713" s="35" t="s">
        <v>59</v>
      </c>
      <c r="J713" s="35" t="s">
        <v>34</v>
      </c>
      <c r="K713" s="35" t="s">
        <v>35</v>
      </c>
      <c r="L713" s="35" t="s">
        <v>151</v>
      </c>
      <c r="M713" s="35">
        <v>31.0</v>
      </c>
      <c r="N713" s="36"/>
      <c r="O713" s="44">
        <v>46140.0</v>
      </c>
      <c r="P713" s="34"/>
      <c r="Q713" s="34"/>
      <c r="R713" s="34"/>
      <c r="S713" s="34"/>
    </row>
    <row r="714" ht="15.75" hidden="1" customHeight="1">
      <c r="B714" s="33">
        <v>46140.0</v>
      </c>
      <c r="C714" s="35">
        <v>13780.0</v>
      </c>
      <c r="D714" s="35">
        <v>60.0</v>
      </c>
      <c r="E714" s="37">
        <v>44.64</v>
      </c>
      <c r="F714" s="38">
        <f t="shared" si="2"/>
        <v>2678.4</v>
      </c>
      <c r="G714" s="35" t="s">
        <v>717</v>
      </c>
      <c r="H714" s="35" t="s">
        <v>718</v>
      </c>
      <c r="I714" s="35" t="s">
        <v>240</v>
      </c>
      <c r="J714" s="35" t="s">
        <v>34</v>
      </c>
      <c r="K714" s="35" t="s">
        <v>35</v>
      </c>
      <c r="L714" s="35" t="s">
        <v>210</v>
      </c>
      <c r="M714" s="35">
        <v>31.0</v>
      </c>
      <c r="N714" s="36"/>
      <c r="O714" s="44">
        <v>46142.0</v>
      </c>
      <c r="P714" s="34"/>
      <c r="Q714" s="34"/>
      <c r="R714" s="34"/>
      <c r="S714" s="34"/>
    </row>
    <row r="715" ht="15.75" hidden="1" customHeight="1">
      <c r="B715" s="33">
        <v>46140.0</v>
      </c>
      <c r="C715" s="35">
        <v>14150.0</v>
      </c>
      <c r="D715" s="35">
        <v>12.0</v>
      </c>
      <c r="E715" s="37">
        <v>88.9</v>
      </c>
      <c r="F715" s="38">
        <f t="shared" si="2"/>
        <v>1066.8</v>
      </c>
      <c r="G715" s="35" t="s">
        <v>3150</v>
      </c>
      <c r="H715" s="35" t="s">
        <v>179</v>
      </c>
      <c r="I715" s="35" t="s">
        <v>32</v>
      </c>
      <c r="J715" s="35" t="s">
        <v>34</v>
      </c>
      <c r="K715" s="35" t="s">
        <v>35</v>
      </c>
      <c r="L715" s="35" t="s">
        <v>96</v>
      </c>
      <c r="M715" s="35">
        <v>31.0</v>
      </c>
      <c r="N715" s="36"/>
      <c r="O715" s="44">
        <v>46146.0</v>
      </c>
      <c r="P715" s="34"/>
      <c r="Q715" s="34"/>
      <c r="R715" s="34"/>
      <c r="S715" s="34"/>
    </row>
    <row r="716" ht="15.75" hidden="1" customHeight="1">
      <c r="B716" s="33">
        <v>46140.0</v>
      </c>
      <c r="C716" s="35">
        <v>14150.0</v>
      </c>
      <c r="D716" s="35">
        <v>200.0</v>
      </c>
      <c r="E716" s="37">
        <v>2.0</v>
      </c>
      <c r="F716" s="38">
        <f t="shared" si="2"/>
        <v>400</v>
      </c>
      <c r="G716" s="35" t="s">
        <v>3153</v>
      </c>
      <c r="H716" s="35" t="s">
        <v>3154</v>
      </c>
      <c r="I716" s="35" t="s">
        <v>32</v>
      </c>
      <c r="J716" s="35" t="s">
        <v>34</v>
      </c>
      <c r="K716" s="35" t="s">
        <v>35</v>
      </c>
      <c r="L716" s="35" t="s">
        <v>96</v>
      </c>
      <c r="M716" s="35">
        <v>31.0</v>
      </c>
      <c r="N716" s="36"/>
      <c r="O716" s="44">
        <v>46146.0</v>
      </c>
      <c r="P716" s="34"/>
      <c r="Q716" s="34"/>
      <c r="R716" s="34"/>
      <c r="S716" s="34"/>
    </row>
    <row r="717" ht="15.75" hidden="1" customHeight="1">
      <c r="B717" s="33">
        <v>46140.0</v>
      </c>
      <c r="C717" s="35">
        <v>14150.0</v>
      </c>
      <c r="D717" s="35">
        <v>6.0</v>
      </c>
      <c r="E717" s="37">
        <v>189.9</v>
      </c>
      <c r="F717" s="38">
        <f t="shared" si="2"/>
        <v>1139.4</v>
      </c>
      <c r="G717" s="35" t="s">
        <v>2608</v>
      </c>
      <c r="H717" s="35" t="s">
        <v>2609</v>
      </c>
      <c r="I717" s="35" t="s">
        <v>32</v>
      </c>
      <c r="J717" s="35" t="s">
        <v>34</v>
      </c>
      <c r="K717" s="35" t="s">
        <v>35</v>
      </c>
      <c r="L717" s="35" t="s">
        <v>96</v>
      </c>
      <c r="M717" s="35">
        <v>31.0</v>
      </c>
      <c r="N717" s="36"/>
      <c r="O717" s="44">
        <v>46146.0</v>
      </c>
      <c r="P717" s="34"/>
      <c r="Q717" s="34"/>
      <c r="R717" s="34"/>
      <c r="S717" s="34"/>
    </row>
    <row r="718" ht="15.75" hidden="1" customHeight="1">
      <c r="B718" s="33">
        <v>46140.0</v>
      </c>
      <c r="C718" s="35">
        <v>915906.0</v>
      </c>
      <c r="D718" s="35">
        <v>100.0</v>
      </c>
      <c r="E718" s="37">
        <v>232.77</v>
      </c>
      <c r="F718" s="38">
        <f t="shared" si="2"/>
        <v>23277</v>
      </c>
      <c r="G718" s="35" t="s">
        <v>3159</v>
      </c>
      <c r="H718" s="35">
        <v>64940.0</v>
      </c>
      <c r="I718" s="35" t="s">
        <v>673</v>
      </c>
      <c r="J718" s="35" t="s">
        <v>175</v>
      </c>
      <c r="K718" s="35" t="s">
        <v>35</v>
      </c>
      <c r="L718" s="35" t="s">
        <v>43</v>
      </c>
      <c r="M718" s="35">
        <v>31.0</v>
      </c>
      <c r="N718" s="36"/>
      <c r="O718" s="44">
        <v>46146.0</v>
      </c>
      <c r="P718" s="34"/>
      <c r="Q718" s="34"/>
      <c r="R718" s="34"/>
      <c r="S718" s="34"/>
    </row>
    <row r="719" ht="15.75" hidden="1" customHeight="1">
      <c r="B719" s="33">
        <v>46140.0</v>
      </c>
      <c r="C719" s="35">
        <v>915906.0</v>
      </c>
      <c r="D719" s="35">
        <v>10.0</v>
      </c>
      <c r="E719" s="37">
        <v>785.85</v>
      </c>
      <c r="F719" s="38">
        <f t="shared" si="2"/>
        <v>7858.5</v>
      </c>
      <c r="G719" s="35" t="s">
        <v>3162</v>
      </c>
      <c r="H719" s="35">
        <v>52064.0</v>
      </c>
      <c r="I719" s="35" t="s">
        <v>673</v>
      </c>
      <c r="J719" s="35" t="s">
        <v>175</v>
      </c>
      <c r="K719" s="35" t="s">
        <v>35</v>
      </c>
      <c r="L719" s="35" t="s">
        <v>43</v>
      </c>
      <c r="M719" s="35">
        <v>31.0</v>
      </c>
      <c r="N719" s="36"/>
      <c r="O719" s="44">
        <v>46146.0</v>
      </c>
      <c r="P719" s="34"/>
      <c r="Q719" s="34"/>
      <c r="R719" s="34"/>
      <c r="S719" s="34"/>
    </row>
    <row r="720" ht="15.75" hidden="1" customHeight="1">
      <c r="B720" s="33">
        <v>46140.0</v>
      </c>
      <c r="C720" s="35">
        <v>30459.0</v>
      </c>
      <c r="D720" s="35">
        <v>200.0</v>
      </c>
      <c r="E720" s="37">
        <v>28.0</v>
      </c>
      <c r="F720" s="38">
        <f t="shared" si="2"/>
        <v>5600</v>
      </c>
      <c r="G720" s="35" t="s">
        <v>3165</v>
      </c>
      <c r="H720" s="35" t="s">
        <v>1799</v>
      </c>
      <c r="I720" s="35" t="s">
        <v>41</v>
      </c>
      <c r="J720" s="35" t="s">
        <v>40</v>
      </c>
      <c r="K720" s="35" t="s">
        <v>35</v>
      </c>
      <c r="L720" s="35" t="s">
        <v>160</v>
      </c>
      <c r="M720" s="35">
        <v>1.0</v>
      </c>
      <c r="N720" s="36"/>
      <c r="O720" s="44">
        <v>46146.0</v>
      </c>
      <c r="P720" s="34"/>
      <c r="Q720" s="34"/>
      <c r="R720" s="34"/>
      <c r="S720" s="34"/>
    </row>
    <row r="721" ht="15.75" hidden="1" customHeight="1">
      <c r="B721" s="33">
        <v>46140.0</v>
      </c>
      <c r="C721" s="35">
        <v>1023.0</v>
      </c>
      <c r="D721" s="35">
        <v>120.0</v>
      </c>
      <c r="E721" s="37">
        <v>152.0</v>
      </c>
      <c r="F721" s="38">
        <f t="shared" si="2"/>
        <v>18240</v>
      </c>
      <c r="G721" s="35" t="s">
        <v>135</v>
      </c>
      <c r="H721" s="35" t="s">
        <v>137</v>
      </c>
      <c r="I721" s="35" t="s">
        <v>41</v>
      </c>
      <c r="J721" s="35" t="s">
        <v>34</v>
      </c>
      <c r="K721" s="35" t="s">
        <v>35</v>
      </c>
      <c r="L721" s="35" t="s">
        <v>132</v>
      </c>
      <c r="M721" s="35">
        <v>31.0</v>
      </c>
      <c r="N721" s="36"/>
      <c r="O721" s="44">
        <v>46140.0</v>
      </c>
      <c r="P721" s="34"/>
      <c r="Q721" s="34"/>
      <c r="R721" s="34"/>
      <c r="S721" s="34"/>
    </row>
    <row r="722" ht="15.75" hidden="1" customHeight="1">
      <c r="B722" s="33">
        <v>46140.0</v>
      </c>
      <c r="C722" s="35">
        <v>1023.0</v>
      </c>
      <c r="D722" s="35">
        <v>5.0</v>
      </c>
      <c r="E722" s="37">
        <v>152.0</v>
      </c>
      <c r="F722" s="38">
        <f t="shared" si="2"/>
        <v>760</v>
      </c>
      <c r="G722" s="35" t="s">
        <v>135</v>
      </c>
      <c r="H722" s="35" t="s">
        <v>137</v>
      </c>
      <c r="I722" s="35" t="s">
        <v>59</v>
      </c>
      <c r="J722" s="35" t="s">
        <v>34</v>
      </c>
      <c r="K722" s="35" t="s">
        <v>35</v>
      </c>
      <c r="L722" s="35" t="s">
        <v>132</v>
      </c>
      <c r="M722" s="35">
        <v>31.0</v>
      </c>
      <c r="N722" s="36"/>
      <c r="O722" s="44">
        <v>46140.0</v>
      </c>
      <c r="P722" s="34"/>
      <c r="Q722" s="34"/>
      <c r="R722" s="34"/>
      <c r="S722" s="34"/>
    </row>
    <row r="723" ht="15.75" hidden="1" customHeight="1">
      <c r="B723" s="33">
        <v>46140.0</v>
      </c>
      <c r="C723" s="35">
        <v>13841.0</v>
      </c>
      <c r="D723" s="35">
        <v>100.0</v>
      </c>
      <c r="E723" s="37">
        <v>9.765</v>
      </c>
      <c r="F723" s="38">
        <f t="shared" si="2"/>
        <v>976.5</v>
      </c>
      <c r="G723" s="35" t="s">
        <v>3175</v>
      </c>
      <c r="H723" s="35" t="s">
        <v>3176</v>
      </c>
      <c r="I723" s="35" t="s">
        <v>41</v>
      </c>
      <c r="J723" s="35" t="s">
        <v>34</v>
      </c>
      <c r="K723" s="35" t="s">
        <v>35</v>
      </c>
      <c r="L723" s="35" t="s">
        <v>210</v>
      </c>
      <c r="M723" s="35">
        <v>1.0</v>
      </c>
      <c r="N723" s="36"/>
      <c r="O723" s="44">
        <v>46142.0</v>
      </c>
      <c r="P723" s="34"/>
      <c r="Q723" s="34"/>
      <c r="R723" s="34"/>
      <c r="S723" s="34"/>
    </row>
    <row r="724" ht="15.75" hidden="1" customHeight="1">
      <c r="B724" s="33">
        <v>46140.0</v>
      </c>
      <c r="C724" s="46" t="s">
        <v>3177</v>
      </c>
      <c r="D724" s="35">
        <v>20.0</v>
      </c>
      <c r="E724" s="37">
        <v>255.0</v>
      </c>
      <c r="F724" s="38">
        <f t="shared" si="2"/>
        <v>5100</v>
      </c>
      <c r="G724" s="36" t="s">
        <v>2216</v>
      </c>
      <c r="H724" s="35" t="s">
        <v>287</v>
      </c>
      <c r="I724" s="35" t="s">
        <v>59</v>
      </c>
      <c r="J724" s="35" t="s">
        <v>34</v>
      </c>
      <c r="K724" s="35" t="s">
        <v>35</v>
      </c>
      <c r="L724" s="35" t="s">
        <v>87</v>
      </c>
      <c r="M724" s="35">
        <v>31.0</v>
      </c>
      <c r="N724" s="36"/>
      <c r="O724" s="44">
        <v>46140.0</v>
      </c>
      <c r="P724" s="34"/>
      <c r="Q724" s="34"/>
      <c r="R724" s="34"/>
      <c r="S724" s="34"/>
    </row>
    <row r="725" ht="15.75" hidden="1" customHeight="1">
      <c r="B725" s="33">
        <v>46140.0</v>
      </c>
      <c r="C725" s="46" t="s">
        <v>3179</v>
      </c>
      <c r="D725" s="35">
        <v>2.0</v>
      </c>
      <c r="E725" s="37">
        <v>3736.0</v>
      </c>
      <c r="F725" s="38">
        <f t="shared" si="2"/>
        <v>7472</v>
      </c>
      <c r="G725" s="35" t="s">
        <v>3180</v>
      </c>
      <c r="H725" s="35" t="s">
        <v>1193</v>
      </c>
      <c r="I725" s="35" t="s">
        <v>41</v>
      </c>
      <c r="J725" s="35" t="s">
        <v>34</v>
      </c>
      <c r="K725" s="35" t="s">
        <v>35</v>
      </c>
      <c r="L725" s="35" t="s">
        <v>151</v>
      </c>
      <c r="M725" s="35">
        <v>1.0</v>
      </c>
      <c r="N725" s="36"/>
      <c r="O725" s="44">
        <v>46142.0</v>
      </c>
      <c r="P725" s="34"/>
      <c r="Q725" s="34"/>
      <c r="R725" s="34"/>
      <c r="S725" s="34"/>
    </row>
    <row r="726" ht="15.75" hidden="1" customHeight="1">
      <c r="B726" s="33">
        <v>46140.0</v>
      </c>
      <c r="C726" s="35">
        <v>14249.0</v>
      </c>
      <c r="D726" s="35">
        <v>10.0</v>
      </c>
      <c r="E726" s="37">
        <v>109.9</v>
      </c>
      <c r="F726" s="38">
        <f t="shared" si="2"/>
        <v>1099</v>
      </c>
      <c r="G726" s="35" t="s">
        <v>2202</v>
      </c>
      <c r="H726" s="35" t="s">
        <v>2203</v>
      </c>
      <c r="I726" s="35" t="s">
        <v>32</v>
      </c>
      <c r="J726" s="35" t="s">
        <v>34</v>
      </c>
      <c r="K726" s="35" t="s">
        <v>35</v>
      </c>
      <c r="L726" s="35" t="s">
        <v>96</v>
      </c>
      <c r="M726" s="35">
        <v>1.0</v>
      </c>
      <c r="N726" s="36"/>
      <c r="O726" s="44">
        <v>46146.0</v>
      </c>
      <c r="P726" s="34"/>
      <c r="Q726" s="34"/>
      <c r="R726" s="34"/>
      <c r="S726" s="34"/>
    </row>
    <row r="727" ht="15.75" hidden="1" customHeight="1">
      <c r="B727" s="33">
        <v>46140.0</v>
      </c>
      <c r="C727" s="46" t="s">
        <v>3183</v>
      </c>
      <c r="D727" s="35">
        <v>40.0</v>
      </c>
      <c r="E727" s="37">
        <v>255.0</v>
      </c>
      <c r="F727" s="38">
        <f t="shared" si="2"/>
        <v>10200</v>
      </c>
      <c r="G727" s="36" t="s">
        <v>2216</v>
      </c>
      <c r="H727" s="35" t="s">
        <v>287</v>
      </c>
      <c r="I727" s="35" t="s">
        <v>673</v>
      </c>
      <c r="J727" s="35" t="s">
        <v>175</v>
      </c>
      <c r="K727" s="35" t="s">
        <v>35</v>
      </c>
      <c r="L727" s="35" t="s">
        <v>87</v>
      </c>
      <c r="M727" s="35">
        <v>31.0</v>
      </c>
      <c r="N727" s="36"/>
      <c r="O727" s="36"/>
      <c r="P727" s="34"/>
      <c r="Q727" s="34"/>
      <c r="R727" s="34"/>
      <c r="S727" s="34"/>
    </row>
    <row r="728" ht="15.75" hidden="1" customHeight="1">
      <c r="B728" s="33">
        <v>46140.0</v>
      </c>
      <c r="C728" s="58">
        <v>59095.0</v>
      </c>
      <c r="D728" s="35">
        <v>100.0</v>
      </c>
      <c r="E728" s="37">
        <v>25.2</v>
      </c>
      <c r="F728" s="38">
        <f t="shared" si="2"/>
        <v>2520</v>
      </c>
      <c r="G728" s="35" t="s">
        <v>722</v>
      </c>
      <c r="H728" s="35" t="s">
        <v>724</v>
      </c>
      <c r="I728" s="35" t="s">
        <v>77</v>
      </c>
      <c r="J728" s="35" t="s">
        <v>79</v>
      </c>
      <c r="K728" s="35" t="s">
        <v>35</v>
      </c>
      <c r="L728" s="35" t="s">
        <v>698</v>
      </c>
      <c r="M728" s="35">
        <v>1.0</v>
      </c>
      <c r="N728" s="36"/>
      <c r="O728" s="36"/>
      <c r="P728" s="34"/>
      <c r="Q728" s="34"/>
      <c r="R728" s="34"/>
      <c r="S728" s="34"/>
    </row>
    <row r="729" ht="15.75" hidden="1" customHeight="1">
      <c r="B729" s="33">
        <v>46140.0</v>
      </c>
      <c r="C729" s="46" t="s">
        <v>3189</v>
      </c>
      <c r="D729" s="35">
        <v>5.0</v>
      </c>
      <c r="E729" s="37">
        <v>47.7</v>
      </c>
      <c r="F729" s="38">
        <f t="shared" si="2"/>
        <v>238.5</v>
      </c>
      <c r="G729" s="35" t="s">
        <v>615</v>
      </c>
      <c r="H729" s="35" t="s">
        <v>3192</v>
      </c>
      <c r="I729" s="35" t="s">
        <v>41</v>
      </c>
      <c r="J729" s="35" t="s">
        <v>34</v>
      </c>
      <c r="K729" s="35" t="s">
        <v>35</v>
      </c>
      <c r="L729" s="35" t="s">
        <v>241</v>
      </c>
      <c r="M729" s="35">
        <v>1.0</v>
      </c>
      <c r="N729" s="36"/>
      <c r="O729" s="36"/>
      <c r="P729" s="34"/>
      <c r="Q729" s="34"/>
      <c r="R729" s="34"/>
      <c r="S729" s="34"/>
    </row>
    <row r="730" ht="15.75" hidden="1" customHeight="1">
      <c r="B730" s="33">
        <v>46140.0</v>
      </c>
      <c r="C730" s="46" t="s">
        <v>3189</v>
      </c>
      <c r="D730" s="35">
        <v>10.0</v>
      </c>
      <c r="E730" s="37">
        <v>47.7</v>
      </c>
      <c r="F730" s="38">
        <f t="shared" si="2"/>
        <v>477</v>
      </c>
      <c r="G730" s="35" t="s">
        <v>615</v>
      </c>
      <c r="H730" s="35" t="s">
        <v>3192</v>
      </c>
      <c r="I730" s="35" t="s">
        <v>41</v>
      </c>
      <c r="J730" s="35" t="s">
        <v>40</v>
      </c>
      <c r="K730" s="35" t="s">
        <v>35</v>
      </c>
      <c r="L730" s="35" t="s">
        <v>241</v>
      </c>
      <c r="M730" s="35">
        <v>1.0</v>
      </c>
      <c r="N730" s="36"/>
      <c r="O730" s="36"/>
      <c r="P730" s="34"/>
      <c r="Q730" s="34"/>
      <c r="R730" s="34"/>
      <c r="S730" s="34"/>
    </row>
    <row r="731" ht="15.75" hidden="1" customHeight="1">
      <c r="B731" s="33">
        <v>46140.0</v>
      </c>
      <c r="C731" s="46" t="s">
        <v>3189</v>
      </c>
      <c r="D731" s="35">
        <v>5.0</v>
      </c>
      <c r="E731" s="37">
        <v>32.4</v>
      </c>
      <c r="F731" s="38">
        <f t="shared" si="2"/>
        <v>162</v>
      </c>
      <c r="G731" s="35" t="s">
        <v>615</v>
      </c>
      <c r="H731" s="35" t="s">
        <v>616</v>
      </c>
      <c r="I731" s="35" t="s">
        <v>41</v>
      </c>
      <c r="J731" s="35" t="s">
        <v>34</v>
      </c>
      <c r="K731" s="35" t="s">
        <v>35</v>
      </c>
      <c r="L731" s="35" t="s">
        <v>241</v>
      </c>
      <c r="M731" s="35">
        <v>1.0</v>
      </c>
      <c r="N731" s="36"/>
      <c r="O731" s="36"/>
      <c r="P731" s="34"/>
      <c r="Q731" s="34"/>
      <c r="R731" s="34"/>
      <c r="S731" s="34"/>
    </row>
    <row r="732" ht="15.75" hidden="1" customHeight="1">
      <c r="B732" s="33">
        <v>46140.0</v>
      </c>
      <c r="C732" s="46" t="s">
        <v>3189</v>
      </c>
      <c r="D732" s="35">
        <v>10.0</v>
      </c>
      <c r="E732" s="37">
        <v>32.4</v>
      </c>
      <c r="F732" s="38">
        <f t="shared" si="2"/>
        <v>324</v>
      </c>
      <c r="G732" s="35" t="s">
        <v>615</v>
      </c>
      <c r="H732" s="35" t="s">
        <v>616</v>
      </c>
      <c r="I732" s="35" t="s">
        <v>41</v>
      </c>
      <c r="J732" s="35" t="s">
        <v>40</v>
      </c>
      <c r="K732" s="35" t="s">
        <v>35</v>
      </c>
      <c r="L732" s="35" t="s">
        <v>241</v>
      </c>
      <c r="M732" s="35">
        <v>1.0</v>
      </c>
      <c r="N732" s="36"/>
      <c r="O732" s="36"/>
      <c r="P732" s="34"/>
      <c r="Q732" s="34"/>
      <c r="R732" s="34"/>
      <c r="S732" s="34"/>
    </row>
    <row r="733" ht="15.75" hidden="1" customHeight="1">
      <c r="B733" s="33">
        <v>46140.0</v>
      </c>
      <c r="C733" s="46" t="s">
        <v>3189</v>
      </c>
      <c r="D733" s="35">
        <v>5.0</v>
      </c>
      <c r="E733" s="37">
        <v>50.4</v>
      </c>
      <c r="F733" s="38">
        <f t="shared" si="2"/>
        <v>252</v>
      </c>
      <c r="G733" s="35" t="s">
        <v>3199</v>
      </c>
      <c r="H733" s="35" t="s">
        <v>3200</v>
      </c>
      <c r="I733" s="35" t="s">
        <v>41</v>
      </c>
      <c r="J733" s="35" t="s">
        <v>34</v>
      </c>
      <c r="K733" s="35" t="s">
        <v>35</v>
      </c>
      <c r="L733" s="35" t="s">
        <v>241</v>
      </c>
      <c r="M733" s="35">
        <v>1.0</v>
      </c>
      <c r="N733" s="36"/>
      <c r="O733" s="36"/>
      <c r="P733" s="34"/>
      <c r="Q733" s="34"/>
      <c r="R733" s="34"/>
      <c r="S733" s="34"/>
    </row>
    <row r="734" ht="15.75" hidden="1" customHeight="1">
      <c r="B734" s="33">
        <v>46140.0</v>
      </c>
      <c r="C734" s="46" t="s">
        <v>3189</v>
      </c>
      <c r="D734" s="35">
        <v>10.0</v>
      </c>
      <c r="E734" s="37">
        <v>50.4</v>
      </c>
      <c r="F734" s="38">
        <f t="shared" si="2"/>
        <v>504</v>
      </c>
      <c r="G734" s="35" t="s">
        <v>3199</v>
      </c>
      <c r="H734" s="35" t="s">
        <v>3200</v>
      </c>
      <c r="I734" s="35" t="s">
        <v>41</v>
      </c>
      <c r="J734" s="35" t="s">
        <v>40</v>
      </c>
      <c r="K734" s="35" t="s">
        <v>35</v>
      </c>
      <c r="L734" s="35" t="s">
        <v>241</v>
      </c>
      <c r="M734" s="35">
        <v>1.0</v>
      </c>
      <c r="N734" s="36"/>
      <c r="O734" s="36"/>
      <c r="P734" s="34"/>
      <c r="Q734" s="34"/>
      <c r="R734" s="34"/>
      <c r="S734" s="34"/>
    </row>
    <row r="735" ht="15.75" hidden="1" customHeight="1">
      <c r="B735" s="33">
        <v>46140.0</v>
      </c>
      <c r="C735" s="46" t="s">
        <v>3189</v>
      </c>
      <c r="D735" s="35">
        <v>5.0</v>
      </c>
      <c r="E735" s="37">
        <v>63.0</v>
      </c>
      <c r="F735" s="38">
        <f t="shared" si="2"/>
        <v>315</v>
      </c>
      <c r="G735" s="35" t="s">
        <v>615</v>
      </c>
      <c r="H735" s="35" t="s">
        <v>3203</v>
      </c>
      <c r="I735" s="35" t="s">
        <v>41</v>
      </c>
      <c r="J735" s="35" t="s">
        <v>34</v>
      </c>
      <c r="K735" s="35" t="s">
        <v>35</v>
      </c>
      <c r="L735" s="35" t="s">
        <v>241</v>
      </c>
      <c r="M735" s="35">
        <v>1.0</v>
      </c>
      <c r="N735" s="36"/>
      <c r="O735" s="36"/>
      <c r="P735" s="34"/>
      <c r="Q735" s="34"/>
      <c r="R735" s="34"/>
      <c r="S735" s="34"/>
    </row>
    <row r="736" ht="15.75" hidden="1" customHeight="1">
      <c r="B736" s="33">
        <v>46140.0</v>
      </c>
      <c r="C736" s="46" t="s">
        <v>3189</v>
      </c>
      <c r="D736" s="35">
        <v>10.0</v>
      </c>
      <c r="E736" s="37">
        <v>63.0</v>
      </c>
      <c r="F736" s="38">
        <f t="shared" si="2"/>
        <v>630</v>
      </c>
      <c r="G736" s="35" t="s">
        <v>615</v>
      </c>
      <c r="H736" s="35" t="s">
        <v>3203</v>
      </c>
      <c r="I736" s="35" t="s">
        <v>41</v>
      </c>
      <c r="J736" s="35" t="s">
        <v>40</v>
      </c>
      <c r="K736" s="35" t="s">
        <v>35</v>
      </c>
      <c r="L736" s="35" t="s">
        <v>241</v>
      </c>
      <c r="M736" s="35">
        <v>1.0</v>
      </c>
      <c r="N736" s="36"/>
      <c r="O736" s="36"/>
      <c r="P736" s="34"/>
      <c r="Q736" s="34"/>
      <c r="R736" s="34"/>
      <c r="S736" s="34"/>
    </row>
    <row r="737" ht="15.75" hidden="1" customHeight="1">
      <c r="B737" s="33">
        <v>46140.0</v>
      </c>
      <c r="C737" s="46" t="s">
        <v>3189</v>
      </c>
      <c r="D737" s="35">
        <v>5.0</v>
      </c>
      <c r="E737" s="37">
        <v>54.0</v>
      </c>
      <c r="F737" s="38">
        <f t="shared" si="2"/>
        <v>270</v>
      </c>
      <c r="G737" s="35" t="s">
        <v>615</v>
      </c>
      <c r="H737" s="35" t="s">
        <v>627</v>
      </c>
      <c r="I737" s="35" t="s">
        <v>41</v>
      </c>
      <c r="J737" s="35" t="s">
        <v>34</v>
      </c>
      <c r="K737" s="35" t="s">
        <v>35</v>
      </c>
      <c r="L737" s="35" t="s">
        <v>241</v>
      </c>
      <c r="M737" s="35">
        <v>1.0</v>
      </c>
      <c r="N737" s="36"/>
      <c r="O737" s="44">
        <v>46147.0</v>
      </c>
      <c r="P737" s="34"/>
      <c r="Q737" s="34"/>
      <c r="R737" s="34"/>
      <c r="S737" s="34"/>
    </row>
    <row r="738" ht="15.75" hidden="1" customHeight="1">
      <c r="B738" s="33">
        <v>46140.0</v>
      </c>
      <c r="C738" s="46" t="s">
        <v>3189</v>
      </c>
      <c r="D738" s="35">
        <v>10.0</v>
      </c>
      <c r="E738" s="37">
        <v>54.0</v>
      </c>
      <c r="F738" s="38">
        <f t="shared" si="2"/>
        <v>540</v>
      </c>
      <c r="G738" s="35" t="s">
        <v>615</v>
      </c>
      <c r="H738" s="35" t="s">
        <v>627</v>
      </c>
      <c r="I738" s="35" t="s">
        <v>41</v>
      </c>
      <c r="J738" s="35" t="s">
        <v>40</v>
      </c>
      <c r="K738" s="35" t="s">
        <v>35</v>
      </c>
      <c r="L738" s="35" t="s">
        <v>241</v>
      </c>
      <c r="M738" s="35">
        <v>1.0</v>
      </c>
      <c r="N738" s="36"/>
      <c r="O738" s="44">
        <v>46147.0</v>
      </c>
      <c r="P738" s="34"/>
      <c r="Q738" s="34"/>
      <c r="R738" s="34"/>
      <c r="S738" s="34"/>
    </row>
    <row r="739" ht="15.75" hidden="1" customHeight="1">
      <c r="B739" s="33">
        <v>46140.0</v>
      </c>
      <c r="C739" s="35" t="s">
        <v>35</v>
      </c>
      <c r="D739" s="35">
        <v>12.0</v>
      </c>
      <c r="E739" s="37">
        <v>446.9</v>
      </c>
      <c r="F739" s="38">
        <f t="shared" si="2"/>
        <v>5362.8</v>
      </c>
      <c r="G739" s="35" t="s">
        <v>3206</v>
      </c>
      <c r="H739" s="35">
        <v>66530.0</v>
      </c>
      <c r="I739" s="35" t="s">
        <v>174</v>
      </c>
      <c r="J739" s="35" t="s">
        <v>175</v>
      </c>
      <c r="K739" s="35" t="s">
        <v>35</v>
      </c>
      <c r="L739" s="35" t="s">
        <v>2400</v>
      </c>
      <c r="M739" s="35">
        <v>1.0</v>
      </c>
      <c r="N739" s="36"/>
      <c r="O739" s="36"/>
      <c r="P739" s="34"/>
      <c r="Q739" s="34"/>
      <c r="R739" s="34"/>
      <c r="S739" s="34"/>
    </row>
    <row r="740" ht="15.75" hidden="1" customHeight="1">
      <c r="B740" s="33">
        <v>46140.0</v>
      </c>
      <c r="C740" s="46" t="s">
        <v>3076</v>
      </c>
      <c r="D740" s="35">
        <v>17.0</v>
      </c>
      <c r="E740" s="37">
        <v>290.0</v>
      </c>
      <c r="F740" s="38">
        <f t="shared" si="2"/>
        <v>4930</v>
      </c>
      <c r="G740" s="35" t="s">
        <v>786</v>
      </c>
      <c r="H740" s="35" t="s">
        <v>2837</v>
      </c>
      <c r="I740" s="35" t="s">
        <v>59</v>
      </c>
      <c r="J740" s="35" t="s">
        <v>34</v>
      </c>
      <c r="K740" s="35" t="s">
        <v>35</v>
      </c>
      <c r="L740" s="35" t="s">
        <v>151</v>
      </c>
      <c r="M740" s="35">
        <v>31.0</v>
      </c>
      <c r="N740" s="36"/>
      <c r="O740" s="36"/>
      <c r="P740" s="34"/>
      <c r="Q740" s="34"/>
      <c r="R740" s="34"/>
      <c r="S740" s="34"/>
    </row>
    <row r="741" ht="15.75" hidden="1" customHeight="1">
      <c r="B741" s="33">
        <v>46140.0</v>
      </c>
      <c r="C741" s="35">
        <v>2387.0</v>
      </c>
      <c r="D741" s="35">
        <v>24.0</v>
      </c>
      <c r="E741" s="37">
        <v>435.0</v>
      </c>
      <c r="F741" s="38">
        <f t="shared" si="2"/>
        <v>10440</v>
      </c>
      <c r="G741" s="35" t="s">
        <v>3209</v>
      </c>
      <c r="H741" s="35" t="s">
        <v>2488</v>
      </c>
      <c r="I741" s="35" t="s">
        <v>32</v>
      </c>
      <c r="J741" s="35" t="s">
        <v>34</v>
      </c>
      <c r="K741" s="35" t="s">
        <v>35</v>
      </c>
      <c r="L741" s="36" t="s">
        <v>1093</v>
      </c>
      <c r="M741" s="35">
        <v>31.0</v>
      </c>
      <c r="N741" s="36"/>
      <c r="O741" s="44">
        <v>46153.0</v>
      </c>
      <c r="P741" s="34"/>
      <c r="Q741" s="34"/>
      <c r="R741" s="34"/>
      <c r="S741" s="34"/>
    </row>
    <row r="742" ht="15.75" hidden="1" customHeight="1">
      <c r="B742" s="33">
        <v>46141.0</v>
      </c>
      <c r="C742" s="46" t="s">
        <v>3213</v>
      </c>
      <c r="D742" s="35">
        <v>4.0</v>
      </c>
      <c r="E742" s="37">
        <v>368.0</v>
      </c>
      <c r="F742" s="38">
        <f t="shared" si="2"/>
        <v>1472</v>
      </c>
      <c r="G742" s="35" t="s">
        <v>3214</v>
      </c>
      <c r="H742" s="35" t="s">
        <v>443</v>
      </c>
      <c r="I742" s="35" t="s">
        <v>59</v>
      </c>
      <c r="J742" s="35" t="s">
        <v>34</v>
      </c>
      <c r="K742" s="35" t="s">
        <v>35</v>
      </c>
      <c r="L742" s="35" t="s">
        <v>151</v>
      </c>
      <c r="M742" s="35">
        <v>31.0</v>
      </c>
      <c r="N742" s="36"/>
      <c r="O742" s="44">
        <v>46141.0</v>
      </c>
      <c r="P742" s="34"/>
      <c r="Q742" s="34"/>
      <c r="R742" s="34"/>
      <c r="S742" s="34"/>
    </row>
    <row r="743" ht="15.75" hidden="1" customHeight="1">
      <c r="B743" s="33">
        <v>46141.0</v>
      </c>
      <c r="C743" s="46" t="s">
        <v>3218</v>
      </c>
      <c r="D743" s="35">
        <v>5.0</v>
      </c>
      <c r="E743" s="37">
        <v>290.0</v>
      </c>
      <c r="F743" s="38">
        <f t="shared" si="2"/>
        <v>1450</v>
      </c>
      <c r="G743" s="35" t="s">
        <v>786</v>
      </c>
      <c r="H743" s="35" t="s">
        <v>3011</v>
      </c>
      <c r="I743" s="35" t="s">
        <v>41</v>
      </c>
      <c r="J743" s="35" t="s">
        <v>34</v>
      </c>
      <c r="K743" s="35" t="s">
        <v>35</v>
      </c>
      <c r="L743" s="35" t="s">
        <v>151</v>
      </c>
      <c r="M743" s="35">
        <v>31.0</v>
      </c>
      <c r="N743" s="36"/>
      <c r="O743" s="44">
        <v>46146.0</v>
      </c>
      <c r="P743" s="34"/>
      <c r="Q743" s="34"/>
      <c r="R743" s="34"/>
      <c r="S743" s="34"/>
    </row>
    <row r="744" ht="15.75" hidden="1" customHeight="1">
      <c r="B744" s="33">
        <v>46141.0</v>
      </c>
      <c r="C744" s="46" t="s">
        <v>3223</v>
      </c>
      <c r="D744" s="35">
        <v>10.0</v>
      </c>
      <c r="E744" s="37">
        <v>765.0</v>
      </c>
      <c r="F744" s="38">
        <f t="shared" si="2"/>
        <v>7650</v>
      </c>
      <c r="G744" s="35" t="s">
        <v>3124</v>
      </c>
      <c r="H744" s="35" t="s">
        <v>3125</v>
      </c>
      <c r="I744" s="35" t="s">
        <v>59</v>
      </c>
      <c r="J744" s="35" t="s">
        <v>34</v>
      </c>
      <c r="K744" s="35" t="s">
        <v>35</v>
      </c>
      <c r="L744" s="35" t="s">
        <v>46</v>
      </c>
      <c r="M744" s="35">
        <v>31.0</v>
      </c>
      <c r="N744" s="36"/>
      <c r="O744" s="36"/>
      <c r="P744" s="34"/>
      <c r="Q744" s="34"/>
      <c r="R744" s="34"/>
      <c r="S744" s="34"/>
    </row>
    <row r="745" ht="15.75" hidden="1" customHeight="1">
      <c r="B745" s="33">
        <v>46141.0</v>
      </c>
      <c r="C745" s="35">
        <v>915983.0</v>
      </c>
      <c r="D745" s="35">
        <v>40.0</v>
      </c>
      <c r="E745" s="37">
        <v>135.0</v>
      </c>
      <c r="F745" s="38">
        <f t="shared" si="2"/>
        <v>5400</v>
      </c>
      <c r="G745" s="35" t="s">
        <v>3227</v>
      </c>
      <c r="H745" s="35">
        <v>57944.0</v>
      </c>
      <c r="I745" s="35" t="s">
        <v>59</v>
      </c>
      <c r="J745" s="35" t="s">
        <v>34</v>
      </c>
      <c r="K745" s="35" t="s">
        <v>35</v>
      </c>
      <c r="L745" s="35" t="s">
        <v>43</v>
      </c>
      <c r="M745" s="35">
        <v>31.0</v>
      </c>
      <c r="N745" s="36"/>
      <c r="O745" s="44">
        <v>46146.0</v>
      </c>
      <c r="P745" s="34"/>
      <c r="Q745" s="34"/>
      <c r="R745" s="34"/>
      <c r="S745" s="34"/>
    </row>
    <row r="746" ht="15.75" hidden="1" customHeight="1">
      <c r="B746" s="33">
        <v>46141.0</v>
      </c>
      <c r="C746" s="35">
        <v>915983.0</v>
      </c>
      <c r="D746" s="35">
        <v>40.0</v>
      </c>
      <c r="E746" s="37">
        <v>149.9</v>
      </c>
      <c r="F746" s="38">
        <f t="shared" si="2"/>
        <v>5996</v>
      </c>
      <c r="G746" s="35" t="s">
        <v>3229</v>
      </c>
      <c r="H746" s="35">
        <v>60856.0</v>
      </c>
      <c r="I746" s="35" t="s">
        <v>59</v>
      </c>
      <c r="J746" s="35" t="s">
        <v>34</v>
      </c>
      <c r="K746" s="35" t="s">
        <v>35</v>
      </c>
      <c r="L746" s="35" t="s">
        <v>43</v>
      </c>
      <c r="M746" s="35">
        <v>31.0</v>
      </c>
      <c r="N746" s="36"/>
      <c r="O746" s="36"/>
      <c r="P746" s="34"/>
      <c r="Q746" s="34"/>
      <c r="R746" s="34"/>
      <c r="S746" s="34"/>
    </row>
    <row r="747" ht="15.75" hidden="1" customHeight="1">
      <c r="B747" s="33">
        <v>46141.0</v>
      </c>
      <c r="C747" s="46" t="s">
        <v>3231</v>
      </c>
      <c r="D747" s="35">
        <v>20.0</v>
      </c>
      <c r="E747" s="37">
        <v>94.5</v>
      </c>
      <c r="F747" s="38">
        <f t="shared" si="2"/>
        <v>1890</v>
      </c>
      <c r="G747" s="35" t="s">
        <v>3233</v>
      </c>
      <c r="H747" s="35" t="s">
        <v>3235</v>
      </c>
      <c r="I747" s="35" t="s">
        <v>32</v>
      </c>
      <c r="J747" s="35" t="s">
        <v>34</v>
      </c>
      <c r="K747" s="35" t="s">
        <v>35</v>
      </c>
      <c r="L747" s="35" t="s">
        <v>46</v>
      </c>
      <c r="M747" s="35">
        <v>1.0</v>
      </c>
      <c r="N747" s="36"/>
      <c r="O747" s="36"/>
      <c r="P747" s="34"/>
      <c r="Q747" s="34"/>
      <c r="R747" s="34"/>
      <c r="S747" s="34"/>
    </row>
    <row r="748" ht="15.75" hidden="1" customHeight="1">
      <c r="B748" s="33">
        <v>46141.0</v>
      </c>
      <c r="C748" s="46" t="s">
        <v>3236</v>
      </c>
      <c r="D748" s="35">
        <v>12.0</v>
      </c>
      <c r="E748" s="37">
        <v>424.0</v>
      </c>
      <c r="F748" s="38">
        <f t="shared" si="2"/>
        <v>5088</v>
      </c>
      <c r="G748" s="35" t="s">
        <v>3239</v>
      </c>
      <c r="H748" s="35" t="s">
        <v>2032</v>
      </c>
      <c r="I748" s="35" t="s">
        <v>59</v>
      </c>
      <c r="J748" s="35" t="s">
        <v>34</v>
      </c>
      <c r="K748" s="35" t="s">
        <v>35</v>
      </c>
      <c r="L748" s="35" t="s">
        <v>151</v>
      </c>
      <c r="M748" s="35">
        <v>1.0</v>
      </c>
      <c r="N748" s="36"/>
      <c r="O748" s="44">
        <v>46141.0</v>
      </c>
      <c r="P748" s="34"/>
      <c r="Q748" s="34"/>
      <c r="R748" s="34"/>
      <c r="S748" s="34"/>
    </row>
    <row r="749" ht="15.75" hidden="1" customHeight="1">
      <c r="B749" s="33">
        <v>46141.0</v>
      </c>
      <c r="C749" s="35" t="s">
        <v>35</v>
      </c>
      <c r="D749" s="35">
        <v>1.0</v>
      </c>
      <c r="E749" s="37">
        <v>1000.0</v>
      </c>
      <c r="F749" s="38">
        <f t="shared" si="2"/>
        <v>1000</v>
      </c>
      <c r="G749" s="35" t="s">
        <v>3242</v>
      </c>
      <c r="H749" s="35" t="s">
        <v>35</v>
      </c>
      <c r="I749" s="35" t="s">
        <v>59</v>
      </c>
      <c r="J749" s="35" t="s">
        <v>34</v>
      </c>
      <c r="K749" s="35" t="s">
        <v>35</v>
      </c>
      <c r="L749" s="35" t="s">
        <v>3245</v>
      </c>
      <c r="M749" s="35">
        <v>31.0</v>
      </c>
      <c r="N749" s="36"/>
      <c r="O749" s="36"/>
      <c r="P749" s="34"/>
      <c r="Q749" s="34"/>
      <c r="R749" s="34"/>
      <c r="S749" s="34"/>
    </row>
    <row r="750" ht="15.75" hidden="1" customHeight="1">
      <c r="B750" s="33">
        <v>46141.0</v>
      </c>
      <c r="C750" s="35" t="s">
        <v>35</v>
      </c>
      <c r="D750" s="35">
        <v>4.0</v>
      </c>
      <c r="E750" s="37">
        <v>380.0</v>
      </c>
      <c r="F750" s="38">
        <f t="shared" si="2"/>
        <v>1520</v>
      </c>
      <c r="G750" s="35" t="s">
        <v>3246</v>
      </c>
      <c r="H750" s="35" t="s">
        <v>1138</v>
      </c>
      <c r="I750" s="35" t="s">
        <v>41</v>
      </c>
      <c r="J750" s="35" t="s">
        <v>34</v>
      </c>
      <c r="K750" s="35" t="s">
        <v>35</v>
      </c>
      <c r="L750" s="35" t="s">
        <v>35</v>
      </c>
      <c r="M750" s="35">
        <v>31.0</v>
      </c>
      <c r="N750" s="36"/>
      <c r="O750" s="36"/>
      <c r="P750" s="34"/>
      <c r="Q750" s="34"/>
      <c r="R750" s="34"/>
      <c r="S750" s="34"/>
    </row>
    <row r="751" ht="15.75" hidden="1" customHeight="1">
      <c r="B751" s="33">
        <v>46141.0</v>
      </c>
      <c r="C751" s="35" t="s">
        <v>35</v>
      </c>
      <c r="D751" s="35">
        <v>4.0</v>
      </c>
      <c r="E751" s="37">
        <v>480.0</v>
      </c>
      <c r="F751" s="38">
        <f t="shared" si="2"/>
        <v>1920</v>
      </c>
      <c r="G751" s="35" t="s">
        <v>3251</v>
      </c>
      <c r="H751" s="35" t="s">
        <v>1143</v>
      </c>
      <c r="I751" s="35" t="s">
        <v>41</v>
      </c>
      <c r="J751" s="35" t="s">
        <v>34</v>
      </c>
      <c r="K751" s="35" t="s">
        <v>35</v>
      </c>
      <c r="L751" s="35" t="s">
        <v>35</v>
      </c>
      <c r="M751" s="35">
        <v>31.0</v>
      </c>
      <c r="N751" s="36"/>
      <c r="O751" s="36"/>
      <c r="P751" s="34"/>
      <c r="Q751" s="34"/>
      <c r="R751" s="34"/>
      <c r="S751" s="34"/>
    </row>
    <row r="752" ht="15.75" hidden="1" customHeight="1">
      <c r="B752" s="33">
        <v>46141.0</v>
      </c>
      <c r="C752" s="35" t="s">
        <v>35</v>
      </c>
      <c r="D752" s="35">
        <v>100.0</v>
      </c>
      <c r="E752" s="37">
        <v>189.7088</v>
      </c>
      <c r="F752" s="38">
        <f t="shared" si="2"/>
        <v>18970.88</v>
      </c>
      <c r="G752" s="35" t="s">
        <v>3257</v>
      </c>
      <c r="H752" s="35">
        <v>21792.0</v>
      </c>
      <c r="I752" s="35" t="s">
        <v>59</v>
      </c>
      <c r="J752" s="35" t="s">
        <v>34</v>
      </c>
      <c r="K752" s="35" t="s">
        <v>35</v>
      </c>
      <c r="L752" s="35" t="s">
        <v>711</v>
      </c>
      <c r="M752" s="35">
        <v>31.0</v>
      </c>
      <c r="N752" s="36"/>
      <c r="O752" s="44">
        <v>46154.0</v>
      </c>
      <c r="P752" s="34"/>
      <c r="Q752" s="34"/>
      <c r="R752" s="34"/>
      <c r="S752" s="34"/>
    </row>
    <row r="753" ht="15.75" hidden="1" customHeight="1">
      <c r="B753" s="33">
        <v>46142.0</v>
      </c>
      <c r="C753" s="46" t="s">
        <v>3261</v>
      </c>
      <c r="D753" s="35">
        <v>51.0</v>
      </c>
      <c r="E753" s="37">
        <v>3600.0</v>
      </c>
      <c r="F753" s="38">
        <f t="shared" si="2"/>
        <v>183600</v>
      </c>
      <c r="G753" s="35" t="s">
        <v>3180</v>
      </c>
      <c r="H753" s="35" t="s">
        <v>1193</v>
      </c>
      <c r="I753" s="35" t="s">
        <v>41</v>
      </c>
      <c r="J753" s="35" t="s">
        <v>34</v>
      </c>
      <c r="K753" s="35" t="s">
        <v>35</v>
      </c>
      <c r="L753" s="35" t="s">
        <v>151</v>
      </c>
      <c r="M753" s="35">
        <v>31.0</v>
      </c>
      <c r="N753" s="36"/>
      <c r="O753" s="44">
        <v>46142.0</v>
      </c>
      <c r="P753" s="34"/>
      <c r="Q753" s="34"/>
      <c r="R753" s="34"/>
      <c r="S753" s="34"/>
    </row>
    <row r="754" ht="15.75" hidden="1" customHeight="1">
      <c r="B754" s="33">
        <v>46142.0</v>
      </c>
      <c r="C754" s="46" t="s">
        <v>3266</v>
      </c>
      <c r="D754" s="35">
        <v>10.0</v>
      </c>
      <c r="E754" s="37">
        <v>171.0</v>
      </c>
      <c r="F754" s="38">
        <f t="shared" si="2"/>
        <v>1710</v>
      </c>
      <c r="G754" s="35" t="s">
        <v>3267</v>
      </c>
      <c r="H754" s="35" t="s">
        <v>3268</v>
      </c>
      <c r="I754" s="35" t="s">
        <v>41</v>
      </c>
      <c r="J754" s="35" t="s">
        <v>34</v>
      </c>
      <c r="K754" s="35" t="s">
        <v>35</v>
      </c>
      <c r="L754" s="35" t="s">
        <v>46</v>
      </c>
      <c r="M754" s="35">
        <v>1.0</v>
      </c>
      <c r="N754" s="36"/>
      <c r="O754" s="36"/>
      <c r="P754" s="34"/>
      <c r="Q754" s="34"/>
      <c r="R754" s="34"/>
      <c r="S754" s="34"/>
    </row>
    <row r="755" ht="15.75" hidden="1" customHeight="1">
      <c r="B755" s="33">
        <v>46142.0</v>
      </c>
      <c r="C755" s="46" t="s">
        <v>3266</v>
      </c>
      <c r="D755" s="35">
        <v>10.0</v>
      </c>
      <c r="E755" s="37">
        <v>171.0</v>
      </c>
      <c r="F755" s="38">
        <f t="shared" si="2"/>
        <v>1710</v>
      </c>
      <c r="G755" s="35" t="s">
        <v>3267</v>
      </c>
      <c r="H755" s="35" t="s">
        <v>3268</v>
      </c>
      <c r="I755" s="35" t="s">
        <v>41</v>
      </c>
      <c r="J755" s="35" t="s">
        <v>40</v>
      </c>
      <c r="K755" s="35" t="s">
        <v>35</v>
      </c>
      <c r="L755" s="35" t="s">
        <v>46</v>
      </c>
      <c r="M755" s="35">
        <v>1.0</v>
      </c>
      <c r="N755" s="36"/>
      <c r="O755" s="36"/>
      <c r="P755" s="34"/>
      <c r="Q755" s="34"/>
      <c r="R755" s="34"/>
      <c r="S755" s="34"/>
    </row>
    <row r="756" ht="15.75" hidden="1" customHeight="1">
      <c r="B756" s="33">
        <v>46142.0</v>
      </c>
      <c r="C756" s="35">
        <v>14477.0</v>
      </c>
      <c r="D756" s="35">
        <v>72.0</v>
      </c>
      <c r="E756" s="37">
        <v>8.9</v>
      </c>
      <c r="F756" s="38">
        <f t="shared" si="2"/>
        <v>640.8</v>
      </c>
      <c r="G756" s="35" t="s">
        <v>1367</v>
      </c>
      <c r="H756" s="35" t="s">
        <v>958</v>
      </c>
      <c r="I756" s="35" t="s">
        <v>32</v>
      </c>
      <c r="J756" s="35" t="s">
        <v>34</v>
      </c>
      <c r="K756" s="35" t="s">
        <v>35</v>
      </c>
      <c r="L756" s="35" t="s">
        <v>96</v>
      </c>
      <c r="M756" s="35">
        <v>1.0</v>
      </c>
      <c r="N756" s="36"/>
      <c r="O756" s="36"/>
      <c r="P756" s="34"/>
      <c r="Q756" s="34"/>
      <c r="R756" s="34"/>
      <c r="S756" s="34"/>
    </row>
    <row r="757" ht="15.75" hidden="1" customHeight="1">
      <c r="B757" s="33">
        <v>46142.0</v>
      </c>
      <c r="C757" s="35">
        <v>14477.0</v>
      </c>
      <c r="D757" s="35">
        <v>2.0</v>
      </c>
      <c r="E757" s="37">
        <v>319.9</v>
      </c>
      <c r="F757" s="38">
        <f t="shared" si="2"/>
        <v>639.8</v>
      </c>
      <c r="G757" s="35" t="s">
        <v>594</v>
      </c>
      <c r="H757" s="35" t="s">
        <v>1374</v>
      </c>
      <c r="I757" s="35" t="s">
        <v>32</v>
      </c>
      <c r="J757" s="35" t="s">
        <v>34</v>
      </c>
      <c r="K757" s="35" t="s">
        <v>35</v>
      </c>
      <c r="L757" s="35" t="s">
        <v>96</v>
      </c>
      <c r="M757" s="35">
        <v>1.0</v>
      </c>
      <c r="N757" s="36"/>
      <c r="O757" s="36"/>
      <c r="P757" s="34"/>
      <c r="Q757" s="34"/>
      <c r="R757" s="34"/>
      <c r="S757" s="34"/>
    </row>
    <row r="758" ht="15.75" hidden="1" customHeight="1">
      <c r="B758" s="33">
        <v>46142.0</v>
      </c>
      <c r="C758" s="35">
        <v>14477.0</v>
      </c>
      <c r="D758" s="35">
        <v>2.0</v>
      </c>
      <c r="E758" s="37">
        <v>259.9</v>
      </c>
      <c r="F758" s="38">
        <f t="shared" si="2"/>
        <v>519.8</v>
      </c>
      <c r="G758" s="35" t="s">
        <v>3274</v>
      </c>
      <c r="H758" s="35" t="s">
        <v>2674</v>
      </c>
      <c r="I758" s="35" t="s">
        <v>32</v>
      </c>
      <c r="J758" s="35" t="s">
        <v>34</v>
      </c>
      <c r="K758" s="35" t="s">
        <v>35</v>
      </c>
      <c r="L758" s="35" t="s">
        <v>96</v>
      </c>
      <c r="M758" s="35">
        <v>1.0</v>
      </c>
      <c r="N758" s="36"/>
      <c r="O758" s="36"/>
      <c r="P758" s="34"/>
      <c r="Q758" s="34"/>
      <c r="R758" s="34"/>
      <c r="S758" s="34"/>
    </row>
    <row r="759" ht="15.75" hidden="1" customHeight="1">
      <c r="B759" s="33">
        <v>46142.0</v>
      </c>
      <c r="C759" s="35" t="s">
        <v>35</v>
      </c>
      <c r="D759" s="35">
        <v>600.0</v>
      </c>
      <c r="E759" s="37">
        <v>78.0</v>
      </c>
      <c r="F759" s="38">
        <f t="shared" si="2"/>
        <v>46800</v>
      </c>
      <c r="G759" s="35" t="s">
        <v>3277</v>
      </c>
      <c r="H759" s="35" t="s">
        <v>35</v>
      </c>
      <c r="I759" s="35" t="s">
        <v>77</v>
      </c>
      <c r="J759" s="35" t="s">
        <v>79</v>
      </c>
      <c r="K759" s="35" t="s">
        <v>35</v>
      </c>
      <c r="L759" s="35" t="s">
        <v>1050</v>
      </c>
      <c r="M759" s="35">
        <v>31.0</v>
      </c>
      <c r="N759" s="36"/>
      <c r="O759" s="36"/>
      <c r="P759" s="34"/>
      <c r="Q759" s="34"/>
      <c r="R759" s="34"/>
      <c r="S759" s="34"/>
    </row>
    <row r="760" ht="15.75" hidden="1" customHeight="1">
      <c r="B760" s="33">
        <v>46142.0</v>
      </c>
      <c r="C760" s="35">
        <v>1798.0</v>
      </c>
      <c r="D760" s="35">
        <v>1.0</v>
      </c>
      <c r="E760" s="37">
        <v>5280.0</v>
      </c>
      <c r="F760" s="38">
        <f t="shared" si="2"/>
        <v>5280</v>
      </c>
      <c r="G760" s="35" t="s">
        <v>3278</v>
      </c>
      <c r="H760" s="35" t="s">
        <v>3279</v>
      </c>
      <c r="I760" s="35" t="s">
        <v>221</v>
      </c>
      <c r="J760" s="35" t="s">
        <v>183</v>
      </c>
      <c r="K760" s="35" t="s">
        <v>35</v>
      </c>
      <c r="L760" s="35" t="s">
        <v>2212</v>
      </c>
      <c r="M760" s="35">
        <v>1.0</v>
      </c>
      <c r="N760" s="36"/>
      <c r="O760" s="36"/>
      <c r="P760" s="34"/>
      <c r="Q760" s="34"/>
      <c r="R760" s="34"/>
      <c r="S760" s="34"/>
    </row>
    <row r="761" ht="15.75" hidden="1" customHeight="1">
      <c r="B761" s="33">
        <v>46142.0</v>
      </c>
      <c r="C761" s="35">
        <v>916166.0</v>
      </c>
      <c r="D761" s="35">
        <v>100.0</v>
      </c>
      <c r="E761" s="37">
        <v>135.0</v>
      </c>
      <c r="F761" s="38">
        <f t="shared" si="2"/>
        <v>13500</v>
      </c>
      <c r="G761" s="35" t="s">
        <v>3227</v>
      </c>
      <c r="H761" s="35">
        <v>57944.0</v>
      </c>
      <c r="I761" s="35" t="s">
        <v>59</v>
      </c>
      <c r="J761" s="35" t="s">
        <v>34</v>
      </c>
      <c r="K761" s="35" t="s">
        <v>35</v>
      </c>
      <c r="L761" s="35" t="s">
        <v>43</v>
      </c>
      <c r="M761" s="35">
        <v>31.0</v>
      </c>
      <c r="N761" s="36"/>
      <c r="O761" s="44">
        <v>46146.0</v>
      </c>
      <c r="P761" s="34"/>
      <c r="Q761" s="34"/>
      <c r="R761" s="34"/>
      <c r="S761" s="34"/>
    </row>
    <row r="762" ht="15.75" hidden="1" customHeight="1">
      <c r="B762" s="33">
        <v>46142.0</v>
      </c>
      <c r="C762" s="35">
        <v>916166.0</v>
      </c>
      <c r="D762" s="35">
        <v>310.0</v>
      </c>
      <c r="E762" s="37">
        <v>189.9</v>
      </c>
      <c r="F762" s="38">
        <f t="shared" si="2"/>
        <v>58869</v>
      </c>
      <c r="G762" s="35" t="s">
        <v>2914</v>
      </c>
      <c r="H762" s="35">
        <v>61289.0</v>
      </c>
      <c r="I762" s="35" t="s">
        <v>59</v>
      </c>
      <c r="J762" s="35" t="s">
        <v>34</v>
      </c>
      <c r="K762" s="35" t="s">
        <v>35</v>
      </c>
      <c r="L762" s="35" t="s">
        <v>43</v>
      </c>
      <c r="M762" s="35">
        <v>31.0</v>
      </c>
      <c r="N762" s="36"/>
      <c r="O762" s="44">
        <v>46146.0</v>
      </c>
      <c r="P762" s="34"/>
      <c r="Q762" s="34"/>
      <c r="R762" s="34"/>
      <c r="S762" s="34"/>
    </row>
    <row r="763" ht="15.75" hidden="1" customHeight="1">
      <c r="B763" s="33">
        <v>46142.0</v>
      </c>
      <c r="C763" s="46" t="s">
        <v>3280</v>
      </c>
      <c r="D763" s="35">
        <v>15.0</v>
      </c>
      <c r="E763" s="37">
        <v>36.0</v>
      </c>
      <c r="F763" s="38">
        <f t="shared" si="2"/>
        <v>540</v>
      </c>
      <c r="G763" s="35" t="s">
        <v>615</v>
      </c>
      <c r="H763" s="35" t="s">
        <v>908</v>
      </c>
      <c r="I763" s="35" t="s">
        <v>41</v>
      </c>
      <c r="J763" s="35" t="s">
        <v>34</v>
      </c>
      <c r="K763" s="35" t="s">
        <v>35</v>
      </c>
      <c r="L763" s="35" t="s">
        <v>241</v>
      </c>
      <c r="M763" s="35">
        <v>1.0</v>
      </c>
      <c r="N763" s="36"/>
      <c r="O763" s="36"/>
      <c r="P763" s="34"/>
      <c r="Q763" s="34"/>
      <c r="R763" s="34"/>
      <c r="S763" s="34"/>
    </row>
    <row r="764" ht="15.75" hidden="1" customHeight="1">
      <c r="B764" s="33">
        <v>46142.0</v>
      </c>
      <c r="C764" s="46" t="s">
        <v>3280</v>
      </c>
      <c r="D764" s="35">
        <v>20.0</v>
      </c>
      <c r="E764" s="37">
        <v>76.5</v>
      </c>
      <c r="F764" s="38">
        <f t="shared" si="2"/>
        <v>1530</v>
      </c>
      <c r="G764" s="35" t="s">
        <v>615</v>
      </c>
      <c r="H764" s="35" t="s">
        <v>3282</v>
      </c>
      <c r="I764" s="35" t="s">
        <v>41</v>
      </c>
      <c r="J764" s="35" t="s">
        <v>34</v>
      </c>
      <c r="K764" s="35" t="s">
        <v>35</v>
      </c>
      <c r="L764" s="35" t="s">
        <v>241</v>
      </c>
      <c r="M764" s="35">
        <v>1.0</v>
      </c>
      <c r="N764" s="36"/>
      <c r="O764" s="36"/>
      <c r="P764" s="34"/>
      <c r="Q764" s="34"/>
      <c r="R764" s="34"/>
      <c r="S764" s="34"/>
    </row>
    <row r="765" ht="15.75" hidden="1" customHeight="1">
      <c r="B765" s="33">
        <v>46142.0</v>
      </c>
      <c r="C765" s="35">
        <v>1024.0</v>
      </c>
      <c r="D765" s="35">
        <v>300.0</v>
      </c>
      <c r="E765" s="37">
        <v>180.0</v>
      </c>
      <c r="F765" s="38">
        <f t="shared" si="2"/>
        <v>54000</v>
      </c>
      <c r="G765" s="35" t="s">
        <v>1130</v>
      </c>
      <c r="H765" s="35" t="s">
        <v>1131</v>
      </c>
      <c r="I765" s="35" t="s">
        <v>41</v>
      </c>
      <c r="J765" s="35" t="s">
        <v>40</v>
      </c>
      <c r="K765" s="35" t="s">
        <v>35</v>
      </c>
      <c r="L765" s="35" t="s">
        <v>132</v>
      </c>
      <c r="M765" s="35">
        <v>31.0</v>
      </c>
      <c r="N765" s="36"/>
      <c r="O765" s="36"/>
      <c r="P765" s="34"/>
      <c r="Q765" s="34"/>
      <c r="R765" s="34"/>
      <c r="S765" s="34"/>
    </row>
    <row r="766" ht="15.75" hidden="1" customHeight="1">
      <c r="B766" s="33">
        <v>46142.0</v>
      </c>
      <c r="C766" s="46" t="s">
        <v>3285</v>
      </c>
      <c r="D766" s="35">
        <v>100.0</v>
      </c>
      <c r="E766" s="37">
        <v>49.5</v>
      </c>
      <c r="F766" s="38">
        <f t="shared" si="2"/>
        <v>4950</v>
      </c>
      <c r="G766" s="35" t="s">
        <v>3288</v>
      </c>
      <c r="H766" s="35" t="s">
        <v>2663</v>
      </c>
      <c r="I766" s="35" t="s">
        <v>59</v>
      </c>
      <c r="J766" s="35" t="s">
        <v>34</v>
      </c>
      <c r="K766" s="35" t="s">
        <v>35</v>
      </c>
      <c r="L766" s="35" t="s">
        <v>87</v>
      </c>
      <c r="M766" s="35">
        <v>31.0</v>
      </c>
      <c r="N766" s="36"/>
      <c r="O766" s="44">
        <v>46146.0</v>
      </c>
      <c r="P766" s="34"/>
      <c r="Q766" s="34"/>
      <c r="R766" s="34"/>
      <c r="S766" s="34"/>
    </row>
    <row r="767" ht="15.75" hidden="1" customHeight="1">
      <c r="B767" s="33">
        <v>46142.0</v>
      </c>
      <c r="C767" s="46" t="s">
        <v>3285</v>
      </c>
      <c r="D767" s="35">
        <v>60.0</v>
      </c>
      <c r="E767" s="37">
        <v>180.0</v>
      </c>
      <c r="F767" s="38">
        <f t="shared" si="2"/>
        <v>10800</v>
      </c>
      <c r="G767" s="35" t="s">
        <v>3289</v>
      </c>
      <c r="H767" s="35" t="s">
        <v>3290</v>
      </c>
      <c r="I767" s="35" t="s">
        <v>59</v>
      </c>
      <c r="J767" s="35" t="s">
        <v>34</v>
      </c>
      <c r="K767" s="35" t="s">
        <v>35</v>
      </c>
      <c r="L767" s="35" t="s">
        <v>87</v>
      </c>
      <c r="M767" s="35">
        <v>31.0</v>
      </c>
      <c r="N767" s="36"/>
      <c r="O767" s="44">
        <v>46146.0</v>
      </c>
      <c r="P767" s="34"/>
      <c r="Q767" s="34"/>
      <c r="R767" s="34"/>
      <c r="S767" s="34"/>
    </row>
    <row r="768" ht="15.75" hidden="1" customHeight="1">
      <c r="B768" s="33">
        <v>46142.0</v>
      </c>
      <c r="C768" s="46" t="s">
        <v>3291</v>
      </c>
      <c r="D768" s="35">
        <v>300.0</v>
      </c>
      <c r="E768" s="37">
        <v>49.5</v>
      </c>
      <c r="F768" s="38">
        <f t="shared" si="2"/>
        <v>14850</v>
      </c>
      <c r="G768" s="35" t="s">
        <v>3288</v>
      </c>
      <c r="H768" s="35" t="s">
        <v>2663</v>
      </c>
      <c r="I768" s="35" t="s">
        <v>32</v>
      </c>
      <c r="J768" s="35" t="s">
        <v>34</v>
      </c>
      <c r="K768" s="35" t="s">
        <v>35</v>
      </c>
      <c r="L768" s="35" t="s">
        <v>87</v>
      </c>
      <c r="M768" s="35">
        <v>31.0</v>
      </c>
      <c r="N768" s="36"/>
      <c r="O768" s="44">
        <v>46148.0</v>
      </c>
      <c r="P768" s="34"/>
      <c r="Q768" s="34"/>
      <c r="R768" s="34"/>
      <c r="S768" s="34"/>
    </row>
    <row r="769" ht="15.75" hidden="1" customHeight="1">
      <c r="B769" s="33">
        <v>46142.0</v>
      </c>
      <c r="C769" s="46" t="s">
        <v>3291</v>
      </c>
      <c r="D769" s="35">
        <v>340.0</v>
      </c>
      <c r="E769" s="37">
        <v>180.0</v>
      </c>
      <c r="F769" s="38">
        <f t="shared" si="2"/>
        <v>61200</v>
      </c>
      <c r="G769" s="35" t="s">
        <v>3289</v>
      </c>
      <c r="H769" s="35" t="s">
        <v>3290</v>
      </c>
      <c r="I769" s="35" t="s">
        <v>32</v>
      </c>
      <c r="J769" s="35" t="s">
        <v>34</v>
      </c>
      <c r="K769" s="35" t="s">
        <v>35</v>
      </c>
      <c r="L769" s="35" t="s">
        <v>87</v>
      </c>
      <c r="M769" s="35">
        <v>31.0</v>
      </c>
      <c r="N769" s="36"/>
      <c r="O769" s="44">
        <v>46148.0</v>
      </c>
      <c r="P769" s="34"/>
      <c r="Q769" s="34"/>
      <c r="R769" s="34"/>
      <c r="S769" s="34"/>
    </row>
    <row r="770" ht="15.75" hidden="1" customHeight="1">
      <c r="B770" s="33">
        <v>46142.0</v>
      </c>
      <c r="C770" s="46" t="s">
        <v>3291</v>
      </c>
      <c r="D770" s="35">
        <v>200.0</v>
      </c>
      <c r="E770" s="37">
        <v>198.0</v>
      </c>
      <c r="F770" s="38">
        <f t="shared" si="2"/>
        <v>39600</v>
      </c>
      <c r="G770" s="35" t="s">
        <v>3295</v>
      </c>
      <c r="H770" s="35" t="s">
        <v>2860</v>
      </c>
      <c r="I770" s="35" t="s">
        <v>32</v>
      </c>
      <c r="J770" s="35" t="s">
        <v>40</v>
      </c>
      <c r="K770" s="35" t="s">
        <v>35</v>
      </c>
      <c r="L770" s="35" t="s">
        <v>87</v>
      </c>
      <c r="M770" s="35">
        <v>31.0</v>
      </c>
      <c r="N770" s="36"/>
      <c r="O770" s="44">
        <v>46148.0</v>
      </c>
      <c r="P770" s="34"/>
      <c r="Q770" s="34"/>
      <c r="R770" s="34"/>
      <c r="S770" s="34"/>
    </row>
    <row r="771" ht="15.75" hidden="1" customHeight="1">
      <c r="B771" s="33">
        <v>46142.0</v>
      </c>
      <c r="C771" s="46" t="s">
        <v>3291</v>
      </c>
      <c r="D771" s="35">
        <v>200.0</v>
      </c>
      <c r="E771" s="37">
        <v>288.0</v>
      </c>
      <c r="F771" s="38">
        <f t="shared" si="2"/>
        <v>57600</v>
      </c>
      <c r="G771" s="35" t="s">
        <v>3298</v>
      </c>
      <c r="H771" s="35" t="s">
        <v>3299</v>
      </c>
      <c r="I771" s="35" t="s">
        <v>32</v>
      </c>
      <c r="J771" s="35" t="s">
        <v>40</v>
      </c>
      <c r="K771" s="35" t="s">
        <v>35</v>
      </c>
      <c r="L771" s="35" t="s">
        <v>87</v>
      </c>
      <c r="M771" s="35">
        <v>31.0</v>
      </c>
      <c r="N771" s="36"/>
      <c r="O771" s="44">
        <v>46148.0</v>
      </c>
      <c r="P771" s="34"/>
      <c r="Q771" s="34"/>
      <c r="R771" s="34"/>
      <c r="S771" s="34"/>
    </row>
    <row r="772" ht="15.75" hidden="1" customHeight="1">
      <c r="B772" s="33">
        <v>46142.0</v>
      </c>
      <c r="C772" s="58">
        <v>335937.0</v>
      </c>
      <c r="D772" s="35">
        <v>100.0</v>
      </c>
      <c r="E772" s="37">
        <v>57.67</v>
      </c>
      <c r="F772" s="38">
        <f t="shared" si="2"/>
        <v>5767</v>
      </c>
      <c r="G772" s="35" t="s">
        <v>3300</v>
      </c>
      <c r="H772" s="35">
        <v>10048.0</v>
      </c>
      <c r="I772" s="35" t="s">
        <v>59</v>
      </c>
      <c r="J772" s="35" t="s">
        <v>34</v>
      </c>
      <c r="K772" s="35" t="s">
        <v>35</v>
      </c>
      <c r="L772" s="35" t="s">
        <v>365</v>
      </c>
      <c r="M772" s="35">
        <v>1.0</v>
      </c>
      <c r="N772" s="36"/>
      <c r="O772" s="44">
        <v>46148.0</v>
      </c>
      <c r="P772" s="34"/>
      <c r="Q772" s="34"/>
      <c r="R772" s="34"/>
      <c r="S772" s="34"/>
    </row>
    <row r="773" ht="15.75" customHeight="1">
      <c r="B773" s="78"/>
      <c r="C773" s="79"/>
      <c r="D773" s="79"/>
      <c r="E773" s="80"/>
      <c r="F773" s="81"/>
      <c r="G773" s="79"/>
      <c r="H773" s="79"/>
      <c r="I773" s="79"/>
      <c r="J773" s="79"/>
      <c r="K773" s="79"/>
      <c r="L773" s="79"/>
      <c r="M773" s="79"/>
      <c r="N773" s="50"/>
      <c r="O773" s="82"/>
      <c r="P773" s="70"/>
      <c r="Q773" s="70"/>
      <c r="R773" s="70"/>
      <c r="S773" s="70"/>
    </row>
    <row r="774" ht="15.75" customHeight="1">
      <c r="B774" s="78"/>
      <c r="C774" s="79"/>
      <c r="D774" s="79"/>
      <c r="E774" s="80"/>
      <c r="F774" s="81"/>
      <c r="G774" s="79"/>
      <c r="H774" s="79"/>
      <c r="I774" s="79"/>
      <c r="J774" s="79"/>
      <c r="K774" s="79"/>
      <c r="L774" s="79"/>
      <c r="M774" s="79"/>
      <c r="N774" s="50"/>
      <c r="O774" s="82"/>
      <c r="P774" s="70"/>
      <c r="Q774" s="70"/>
      <c r="R774" s="70"/>
      <c r="S774" s="70"/>
    </row>
    <row r="775" ht="15.75" customHeight="1">
      <c r="B775" s="78"/>
      <c r="C775" s="79"/>
      <c r="D775" s="79"/>
      <c r="E775" s="80"/>
      <c r="F775" s="81"/>
      <c r="G775" s="79"/>
      <c r="H775" s="79"/>
      <c r="I775" s="79"/>
      <c r="J775" s="79"/>
      <c r="K775" s="79"/>
      <c r="L775" s="79"/>
      <c r="M775" s="79"/>
      <c r="N775" s="50"/>
      <c r="O775" s="82"/>
      <c r="P775" s="70"/>
      <c r="Q775" s="70"/>
      <c r="R775" s="70"/>
      <c r="S775" s="70"/>
    </row>
    <row r="776" ht="15.75" customHeight="1">
      <c r="B776" s="78"/>
      <c r="C776" s="79"/>
      <c r="D776" s="79"/>
      <c r="E776" s="80"/>
      <c r="F776" s="81"/>
      <c r="G776" s="79"/>
      <c r="H776" s="79"/>
      <c r="I776" s="79"/>
      <c r="J776" s="79"/>
      <c r="K776" s="79"/>
      <c r="L776" s="79"/>
      <c r="M776" s="79"/>
      <c r="N776" s="50"/>
      <c r="O776" s="82"/>
      <c r="P776" s="70"/>
      <c r="Q776" s="70"/>
      <c r="R776" s="70"/>
      <c r="S776" s="70"/>
    </row>
    <row r="777" ht="15.75" customHeight="1">
      <c r="B777" s="78"/>
      <c r="C777" s="79"/>
      <c r="D777" s="79"/>
      <c r="E777" s="80"/>
      <c r="F777" s="81"/>
      <c r="G777" s="79"/>
      <c r="H777" s="79"/>
      <c r="I777" s="79"/>
      <c r="J777" s="79"/>
      <c r="K777" s="79"/>
      <c r="L777" s="79"/>
      <c r="M777" s="79"/>
      <c r="N777" s="50"/>
      <c r="O777" s="82"/>
      <c r="P777" s="70"/>
      <c r="Q777" s="70"/>
      <c r="R777" s="70"/>
      <c r="S777" s="70"/>
    </row>
    <row r="778" ht="15.75" customHeight="1">
      <c r="B778" s="78"/>
      <c r="C778" s="79"/>
      <c r="D778" s="79"/>
      <c r="E778" s="80"/>
      <c r="F778" s="81"/>
      <c r="G778" s="79"/>
      <c r="H778" s="79"/>
      <c r="I778" s="79"/>
      <c r="J778" s="79"/>
      <c r="K778" s="79"/>
      <c r="L778" s="79"/>
      <c r="M778" s="79"/>
      <c r="N778" s="50"/>
      <c r="O778" s="82"/>
      <c r="P778" s="70"/>
      <c r="Q778" s="70"/>
      <c r="R778" s="70"/>
      <c r="S778" s="70"/>
    </row>
    <row r="779" ht="15.75" customHeight="1">
      <c r="B779" s="78"/>
      <c r="C779" s="79"/>
      <c r="D779" s="79"/>
      <c r="E779" s="80"/>
      <c r="F779" s="81"/>
      <c r="G779" s="79"/>
      <c r="H779" s="79"/>
      <c r="I779" s="79"/>
      <c r="J779" s="79"/>
      <c r="K779" s="79"/>
      <c r="L779" s="79"/>
      <c r="M779" s="79"/>
      <c r="N779" s="50"/>
      <c r="O779" s="82"/>
      <c r="P779" s="70"/>
      <c r="Q779" s="70"/>
      <c r="R779" s="70"/>
      <c r="S779" s="70"/>
    </row>
    <row r="780" ht="15.75" customHeight="1">
      <c r="B780" s="78"/>
      <c r="C780" s="79"/>
      <c r="D780" s="79"/>
      <c r="E780" s="80"/>
      <c r="F780" s="81"/>
      <c r="G780" s="79"/>
      <c r="H780" s="79"/>
      <c r="I780" s="79"/>
      <c r="J780" s="79"/>
      <c r="K780" s="79"/>
      <c r="L780" s="79"/>
      <c r="M780" s="79"/>
      <c r="N780" s="50"/>
      <c r="O780" s="82"/>
      <c r="P780" s="70"/>
      <c r="Q780" s="70"/>
      <c r="R780" s="70"/>
      <c r="S780" s="70"/>
    </row>
    <row r="781" ht="15.75" customHeight="1">
      <c r="B781" s="78"/>
      <c r="C781" s="79"/>
      <c r="D781" s="79"/>
      <c r="E781" s="80"/>
      <c r="F781" s="81"/>
      <c r="G781" s="79"/>
      <c r="H781" s="79"/>
      <c r="I781" s="79"/>
      <c r="J781" s="79"/>
      <c r="K781" s="79"/>
      <c r="L781" s="79"/>
      <c r="M781" s="79"/>
      <c r="N781" s="50"/>
      <c r="O781" s="82"/>
      <c r="P781" s="70"/>
      <c r="Q781" s="70"/>
      <c r="R781" s="70"/>
      <c r="S781" s="70"/>
    </row>
    <row r="782" ht="15.75" customHeight="1">
      <c r="B782" s="78"/>
      <c r="C782" s="79"/>
      <c r="D782" s="79"/>
      <c r="E782" s="80"/>
      <c r="F782" s="81"/>
      <c r="G782" s="79"/>
      <c r="H782" s="79"/>
      <c r="I782" s="79"/>
      <c r="J782" s="79"/>
      <c r="K782" s="79"/>
      <c r="L782" s="79"/>
      <c r="M782" s="79"/>
      <c r="N782" s="50"/>
      <c r="O782" s="82"/>
      <c r="P782" s="70"/>
      <c r="Q782" s="70"/>
      <c r="R782" s="70"/>
      <c r="S782" s="70"/>
    </row>
    <row r="783" ht="15.75" customHeight="1">
      <c r="B783" s="78"/>
      <c r="C783" s="79"/>
      <c r="D783" s="79"/>
      <c r="E783" s="80"/>
      <c r="F783" s="81"/>
      <c r="G783" s="79"/>
      <c r="H783" s="79"/>
      <c r="I783" s="79"/>
      <c r="J783" s="79"/>
      <c r="K783" s="79"/>
      <c r="L783" s="79"/>
      <c r="M783" s="79"/>
      <c r="N783" s="50"/>
      <c r="O783" s="82"/>
      <c r="P783" s="70"/>
      <c r="Q783" s="70"/>
      <c r="R783" s="70"/>
      <c r="S783" s="70"/>
    </row>
    <row r="784" ht="15.75" customHeight="1">
      <c r="B784" s="78"/>
      <c r="C784" s="79"/>
      <c r="D784" s="79"/>
      <c r="E784" s="80"/>
      <c r="F784" s="81"/>
      <c r="G784" s="79"/>
      <c r="H784" s="79"/>
      <c r="I784" s="79"/>
      <c r="J784" s="79"/>
      <c r="K784" s="79"/>
      <c r="L784" s="79"/>
      <c r="M784" s="79"/>
      <c r="N784" s="50"/>
      <c r="O784" s="82"/>
      <c r="P784" s="70"/>
      <c r="Q784" s="70"/>
      <c r="R784" s="70"/>
      <c r="S784" s="70"/>
    </row>
    <row r="785" ht="15.75" customHeight="1">
      <c r="B785" s="78"/>
      <c r="C785" s="79"/>
      <c r="D785" s="79"/>
      <c r="E785" s="80"/>
      <c r="F785" s="81"/>
      <c r="G785" s="79"/>
      <c r="H785" s="79"/>
      <c r="I785" s="79"/>
      <c r="J785" s="79"/>
      <c r="K785" s="79"/>
      <c r="L785" s="79"/>
      <c r="M785" s="79"/>
      <c r="N785" s="50"/>
      <c r="O785" s="82"/>
      <c r="P785" s="70"/>
      <c r="Q785" s="70"/>
      <c r="R785" s="70"/>
      <c r="S785" s="70"/>
    </row>
    <row r="786" ht="15.75" customHeight="1">
      <c r="B786" s="78"/>
      <c r="C786" s="79"/>
      <c r="D786" s="79"/>
      <c r="E786" s="80"/>
      <c r="F786" s="81"/>
      <c r="G786" s="79"/>
      <c r="H786" s="79"/>
      <c r="I786" s="79"/>
      <c r="J786" s="79"/>
      <c r="K786" s="79"/>
      <c r="L786" s="79"/>
      <c r="M786" s="79"/>
      <c r="N786" s="50"/>
      <c r="O786" s="82"/>
      <c r="P786" s="70"/>
      <c r="Q786" s="70"/>
      <c r="R786" s="70"/>
      <c r="S786" s="70"/>
    </row>
    <row r="787" ht="15.75" customHeight="1">
      <c r="B787" s="78"/>
      <c r="C787" s="79"/>
      <c r="D787" s="79"/>
      <c r="E787" s="80"/>
      <c r="F787" s="81"/>
      <c r="G787" s="79"/>
      <c r="H787" s="79"/>
      <c r="I787" s="79"/>
      <c r="J787" s="79"/>
      <c r="K787" s="79"/>
      <c r="L787" s="79"/>
      <c r="M787" s="79"/>
      <c r="N787" s="50"/>
      <c r="O787" s="82"/>
      <c r="P787" s="70"/>
      <c r="Q787" s="70"/>
      <c r="R787" s="70"/>
      <c r="S787" s="70"/>
    </row>
    <row r="788" ht="15.75" customHeight="1">
      <c r="B788" s="78"/>
      <c r="C788" s="79"/>
      <c r="D788" s="79"/>
      <c r="E788" s="80"/>
      <c r="F788" s="81"/>
      <c r="G788" s="79"/>
      <c r="H788" s="79"/>
      <c r="I788" s="79"/>
      <c r="J788" s="79"/>
      <c r="K788" s="79"/>
      <c r="L788" s="79"/>
      <c r="M788" s="79"/>
      <c r="N788" s="50"/>
      <c r="O788" s="82"/>
      <c r="P788" s="70"/>
      <c r="Q788" s="70"/>
      <c r="R788" s="70"/>
      <c r="S788" s="70"/>
    </row>
    <row r="789" ht="15.75" customHeight="1">
      <c r="B789" s="78"/>
      <c r="C789" s="79"/>
      <c r="D789" s="79"/>
      <c r="E789" s="80"/>
      <c r="F789" s="81"/>
      <c r="G789" s="79"/>
      <c r="H789" s="79"/>
      <c r="I789" s="79"/>
      <c r="J789" s="79"/>
      <c r="K789" s="79"/>
      <c r="L789" s="79"/>
      <c r="M789" s="79"/>
      <c r="N789" s="50"/>
      <c r="O789" s="82"/>
      <c r="P789" s="70"/>
      <c r="Q789" s="70"/>
      <c r="R789" s="70"/>
      <c r="S789" s="70"/>
    </row>
    <row r="790" ht="15.75" customHeight="1">
      <c r="B790" s="78"/>
      <c r="C790" s="79"/>
      <c r="D790" s="79"/>
      <c r="E790" s="80"/>
      <c r="F790" s="81"/>
      <c r="G790" s="79"/>
      <c r="H790" s="79"/>
      <c r="I790" s="79"/>
      <c r="J790" s="79"/>
      <c r="K790" s="79"/>
      <c r="L790" s="79"/>
      <c r="M790" s="79"/>
      <c r="N790" s="50"/>
      <c r="O790" s="82"/>
      <c r="P790" s="70"/>
      <c r="Q790" s="70"/>
      <c r="R790" s="70"/>
      <c r="S790" s="70"/>
    </row>
    <row r="791" ht="15.75" customHeight="1">
      <c r="B791" s="78"/>
      <c r="C791" s="79"/>
      <c r="D791" s="79"/>
      <c r="E791" s="80"/>
      <c r="F791" s="81"/>
      <c r="G791" s="79"/>
      <c r="H791" s="79"/>
      <c r="I791" s="79"/>
      <c r="J791" s="79"/>
      <c r="K791" s="79"/>
      <c r="L791" s="79"/>
      <c r="M791" s="79"/>
      <c r="N791" s="50"/>
      <c r="O791" s="82"/>
      <c r="P791" s="70"/>
      <c r="Q791" s="70"/>
      <c r="R791" s="70"/>
      <c r="S791" s="70"/>
    </row>
    <row r="792" ht="15.75" customHeight="1">
      <c r="B792" s="78"/>
      <c r="C792" s="79"/>
      <c r="D792" s="79"/>
      <c r="E792" s="80"/>
      <c r="F792" s="81"/>
      <c r="G792" s="79"/>
      <c r="H792" s="79"/>
      <c r="I792" s="79"/>
      <c r="J792" s="79"/>
      <c r="K792" s="79"/>
      <c r="L792" s="79"/>
      <c r="M792" s="79"/>
      <c r="N792" s="50"/>
      <c r="O792" s="82"/>
      <c r="P792" s="70"/>
      <c r="Q792" s="70"/>
      <c r="R792" s="70"/>
      <c r="S792" s="70"/>
    </row>
    <row r="793" ht="15.75" customHeight="1">
      <c r="B793" s="78"/>
      <c r="C793" s="79"/>
      <c r="D793" s="79"/>
      <c r="E793" s="80"/>
      <c r="F793" s="81"/>
      <c r="G793" s="79"/>
      <c r="H793" s="79"/>
      <c r="I793" s="79"/>
      <c r="J793" s="79"/>
      <c r="K793" s="79"/>
      <c r="L793" s="79"/>
      <c r="M793" s="79"/>
      <c r="N793" s="50"/>
      <c r="O793" s="82"/>
      <c r="P793" s="70"/>
      <c r="Q793" s="70"/>
      <c r="R793" s="70"/>
      <c r="S793" s="70"/>
    </row>
    <row r="794" ht="15.75" customHeight="1">
      <c r="B794" s="78"/>
      <c r="C794" s="79"/>
      <c r="D794" s="79"/>
      <c r="E794" s="80"/>
      <c r="F794" s="81"/>
      <c r="G794" s="79"/>
      <c r="H794" s="79"/>
      <c r="I794" s="79"/>
      <c r="J794" s="79"/>
      <c r="K794" s="79"/>
      <c r="L794" s="79"/>
      <c r="M794" s="79"/>
      <c r="N794" s="50"/>
      <c r="O794" s="82"/>
      <c r="P794" s="70"/>
      <c r="Q794" s="70"/>
      <c r="R794" s="70"/>
      <c r="S794" s="70"/>
    </row>
    <row r="795" ht="15.75" customHeight="1">
      <c r="B795" s="78"/>
      <c r="C795" s="79"/>
      <c r="D795" s="79"/>
      <c r="E795" s="80"/>
      <c r="F795" s="81"/>
      <c r="G795" s="79"/>
      <c r="H795" s="79"/>
      <c r="I795" s="79"/>
      <c r="J795" s="79"/>
      <c r="K795" s="79"/>
      <c r="L795" s="79"/>
      <c r="M795" s="79"/>
      <c r="N795" s="50"/>
      <c r="O795" s="82"/>
      <c r="P795" s="70"/>
      <c r="Q795" s="70"/>
      <c r="R795" s="70"/>
      <c r="S795" s="70"/>
    </row>
    <row r="796" ht="15.75" customHeight="1">
      <c r="B796" s="78"/>
      <c r="C796" s="79"/>
      <c r="D796" s="79"/>
      <c r="E796" s="80"/>
      <c r="F796" s="81"/>
      <c r="G796" s="79"/>
      <c r="H796" s="79"/>
      <c r="I796" s="79"/>
      <c r="J796" s="79"/>
      <c r="K796" s="79"/>
      <c r="L796" s="79"/>
      <c r="M796" s="79"/>
      <c r="N796" s="50"/>
      <c r="O796" s="82"/>
      <c r="P796" s="70"/>
      <c r="Q796" s="70"/>
      <c r="R796" s="70"/>
      <c r="S796" s="70"/>
    </row>
    <row r="797" ht="15.75" customHeight="1">
      <c r="B797" s="78"/>
      <c r="C797" s="79"/>
      <c r="D797" s="79"/>
      <c r="E797" s="80"/>
      <c r="F797" s="81"/>
      <c r="G797" s="79"/>
      <c r="H797" s="79"/>
      <c r="I797" s="79"/>
      <c r="J797" s="79"/>
      <c r="K797" s="79"/>
      <c r="L797" s="79"/>
      <c r="M797" s="79"/>
      <c r="N797" s="50"/>
      <c r="O797" s="82"/>
      <c r="P797" s="70"/>
      <c r="Q797" s="70"/>
      <c r="R797" s="70"/>
      <c r="S797" s="70"/>
    </row>
    <row r="798" ht="15.75" customHeight="1">
      <c r="B798" s="78"/>
      <c r="C798" s="79"/>
      <c r="D798" s="79"/>
      <c r="E798" s="80"/>
      <c r="F798" s="81"/>
      <c r="G798" s="79"/>
      <c r="H798" s="79"/>
      <c r="I798" s="79"/>
      <c r="J798" s="79"/>
      <c r="K798" s="79"/>
      <c r="L798" s="79"/>
      <c r="M798" s="79"/>
      <c r="N798" s="50"/>
      <c r="O798" s="82"/>
      <c r="P798" s="70"/>
      <c r="Q798" s="70"/>
      <c r="R798" s="70"/>
      <c r="S798" s="70"/>
    </row>
    <row r="799" ht="15.75" customHeight="1">
      <c r="B799" s="78"/>
      <c r="C799" s="79"/>
      <c r="D799" s="79"/>
      <c r="E799" s="80"/>
      <c r="F799" s="81"/>
      <c r="G799" s="79"/>
      <c r="H799" s="79"/>
      <c r="I799" s="79"/>
      <c r="J799" s="79"/>
      <c r="K799" s="79"/>
      <c r="L799" s="79"/>
      <c r="M799" s="79"/>
      <c r="N799" s="50"/>
      <c r="O799" s="82"/>
      <c r="P799" s="70"/>
      <c r="Q799" s="70"/>
      <c r="R799" s="70"/>
      <c r="S799" s="70"/>
    </row>
    <row r="800" ht="15.75" customHeight="1">
      <c r="B800" s="78"/>
      <c r="C800" s="79"/>
      <c r="D800" s="79"/>
      <c r="E800" s="80"/>
      <c r="F800" s="81"/>
      <c r="G800" s="79"/>
      <c r="H800" s="79"/>
      <c r="I800" s="79"/>
      <c r="J800" s="79"/>
      <c r="K800" s="79"/>
      <c r="L800" s="79"/>
      <c r="M800" s="79"/>
      <c r="N800" s="50"/>
      <c r="O800" s="82"/>
      <c r="P800" s="70"/>
      <c r="Q800" s="70"/>
      <c r="R800" s="70"/>
      <c r="S800" s="70"/>
    </row>
    <row r="801" ht="15.75" customHeight="1">
      <c r="B801" s="78"/>
      <c r="C801" s="79"/>
      <c r="D801" s="79"/>
      <c r="E801" s="80"/>
      <c r="F801" s="81"/>
      <c r="G801" s="79"/>
      <c r="H801" s="79"/>
      <c r="I801" s="79"/>
      <c r="J801" s="79"/>
      <c r="K801" s="79"/>
      <c r="L801" s="79"/>
      <c r="M801" s="79"/>
      <c r="N801" s="50"/>
      <c r="O801" s="82"/>
      <c r="P801" s="70"/>
      <c r="Q801" s="70"/>
      <c r="R801" s="70"/>
      <c r="S801" s="70"/>
    </row>
    <row r="802" ht="15.75" customHeight="1">
      <c r="B802" s="78"/>
      <c r="C802" s="79"/>
      <c r="D802" s="79"/>
      <c r="E802" s="80"/>
      <c r="F802" s="81"/>
      <c r="G802" s="79"/>
      <c r="H802" s="79"/>
      <c r="I802" s="79"/>
      <c r="J802" s="79"/>
      <c r="K802" s="79"/>
      <c r="L802" s="79"/>
      <c r="M802" s="79"/>
      <c r="N802" s="50"/>
      <c r="O802" s="82"/>
      <c r="P802" s="70"/>
      <c r="Q802" s="70"/>
      <c r="R802" s="70"/>
      <c r="S802" s="70"/>
    </row>
    <row r="803" ht="15.75" customHeight="1">
      <c r="B803" s="78"/>
      <c r="C803" s="79"/>
      <c r="D803" s="79"/>
      <c r="E803" s="80"/>
      <c r="F803" s="81"/>
      <c r="G803" s="79"/>
      <c r="H803" s="79"/>
      <c r="I803" s="79"/>
      <c r="J803" s="79"/>
      <c r="K803" s="79"/>
      <c r="L803" s="79"/>
      <c r="M803" s="79"/>
      <c r="N803" s="50"/>
      <c r="O803" s="82"/>
      <c r="P803" s="70"/>
      <c r="Q803" s="70"/>
      <c r="R803" s="70"/>
      <c r="S803" s="70"/>
    </row>
    <row r="804" ht="15.75" customHeight="1">
      <c r="B804" s="78"/>
      <c r="C804" s="79"/>
      <c r="D804" s="79"/>
      <c r="E804" s="80"/>
      <c r="F804" s="81"/>
      <c r="G804" s="79"/>
      <c r="H804" s="79"/>
      <c r="I804" s="79"/>
      <c r="J804" s="79"/>
      <c r="K804" s="79"/>
      <c r="L804" s="79"/>
      <c r="M804" s="79"/>
      <c r="N804" s="50"/>
      <c r="O804" s="82"/>
      <c r="P804" s="70"/>
      <c r="Q804" s="70"/>
      <c r="R804" s="70"/>
      <c r="S804" s="70"/>
    </row>
    <row r="805" ht="15.75" customHeight="1">
      <c r="B805" s="78"/>
      <c r="C805" s="79"/>
      <c r="D805" s="79"/>
      <c r="E805" s="80"/>
      <c r="F805" s="81"/>
      <c r="G805" s="79"/>
      <c r="H805" s="79"/>
      <c r="I805" s="79"/>
      <c r="J805" s="79"/>
      <c r="K805" s="79"/>
      <c r="L805" s="79"/>
      <c r="M805" s="79"/>
      <c r="N805" s="50"/>
      <c r="O805" s="82"/>
      <c r="P805" s="70"/>
      <c r="Q805" s="70"/>
      <c r="R805" s="70"/>
      <c r="S805" s="70"/>
    </row>
    <row r="806" ht="15.75" customHeight="1">
      <c r="B806" s="78"/>
      <c r="C806" s="79"/>
      <c r="D806" s="79"/>
      <c r="E806" s="80"/>
      <c r="F806" s="81"/>
      <c r="G806" s="79"/>
      <c r="H806" s="79"/>
      <c r="I806" s="79"/>
      <c r="J806" s="79"/>
      <c r="K806" s="79"/>
      <c r="L806" s="79"/>
      <c r="M806" s="79"/>
      <c r="N806" s="50"/>
      <c r="O806" s="82"/>
      <c r="P806" s="70"/>
      <c r="Q806" s="70"/>
      <c r="R806" s="70"/>
      <c r="S806" s="70"/>
    </row>
    <row r="807" ht="15.75" customHeight="1">
      <c r="B807" s="78"/>
      <c r="C807" s="79"/>
      <c r="D807" s="79"/>
      <c r="E807" s="80"/>
      <c r="F807" s="81"/>
      <c r="G807" s="79"/>
      <c r="H807" s="79"/>
      <c r="I807" s="79"/>
      <c r="J807" s="79"/>
      <c r="K807" s="79"/>
      <c r="L807" s="79"/>
      <c r="M807" s="79"/>
      <c r="N807" s="50"/>
      <c r="O807" s="82"/>
      <c r="P807" s="70"/>
      <c r="Q807" s="70"/>
      <c r="R807" s="70"/>
      <c r="S807" s="70"/>
    </row>
    <row r="808" ht="15.75" customHeight="1">
      <c r="B808" s="78"/>
      <c r="C808" s="79"/>
      <c r="D808" s="79"/>
      <c r="E808" s="80"/>
      <c r="F808" s="81"/>
      <c r="G808" s="79"/>
      <c r="H808" s="79"/>
      <c r="I808" s="79"/>
      <c r="J808" s="79"/>
      <c r="K808" s="79"/>
      <c r="L808" s="79"/>
      <c r="M808" s="79"/>
      <c r="N808" s="50"/>
      <c r="O808" s="82"/>
      <c r="P808" s="70"/>
      <c r="Q808" s="70"/>
      <c r="R808" s="70"/>
      <c r="S808" s="70"/>
    </row>
    <row r="809" ht="15.75" customHeight="1">
      <c r="B809" s="78"/>
      <c r="C809" s="79"/>
      <c r="D809" s="79"/>
      <c r="E809" s="80"/>
      <c r="F809" s="81"/>
      <c r="G809" s="79"/>
      <c r="H809" s="79"/>
      <c r="I809" s="79"/>
      <c r="J809" s="79"/>
      <c r="K809" s="79"/>
      <c r="L809" s="79"/>
      <c r="M809" s="79"/>
      <c r="N809" s="50"/>
      <c r="O809" s="82"/>
      <c r="P809" s="70"/>
      <c r="Q809" s="70"/>
      <c r="R809" s="70"/>
      <c r="S809" s="70"/>
    </row>
    <row r="810" ht="15.75" customHeight="1">
      <c r="B810" s="78"/>
      <c r="C810" s="79"/>
      <c r="D810" s="79"/>
      <c r="E810" s="80"/>
      <c r="F810" s="81"/>
      <c r="G810" s="79"/>
      <c r="H810" s="79"/>
      <c r="I810" s="79"/>
      <c r="J810" s="79"/>
      <c r="K810" s="79"/>
      <c r="L810" s="79"/>
      <c r="M810" s="79"/>
      <c r="N810" s="50"/>
      <c r="O810" s="82"/>
      <c r="P810" s="70"/>
      <c r="Q810" s="70"/>
      <c r="R810" s="70"/>
      <c r="S810" s="70"/>
    </row>
    <row r="811" ht="15.75" customHeight="1">
      <c r="B811" s="78"/>
      <c r="C811" s="79"/>
      <c r="D811" s="79"/>
      <c r="E811" s="80"/>
      <c r="F811" s="81"/>
      <c r="G811" s="79"/>
      <c r="H811" s="79"/>
      <c r="I811" s="79"/>
      <c r="J811" s="79"/>
      <c r="K811" s="79"/>
      <c r="L811" s="79"/>
      <c r="M811" s="79"/>
      <c r="N811" s="50"/>
      <c r="O811" s="82"/>
      <c r="P811" s="70"/>
      <c r="Q811" s="70"/>
      <c r="R811" s="70"/>
      <c r="S811" s="70"/>
    </row>
    <row r="812" ht="15.75" customHeight="1">
      <c r="B812" s="78"/>
      <c r="C812" s="79"/>
      <c r="D812" s="79"/>
      <c r="E812" s="80"/>
      <c r="F812" s="81"/>
      <c r="G812" s="79"/>
      <c r="H812" s="79"/>
      <c r="I812" s="79"/>
      <c r="J812" s="79"/>
      <c r="K812" s="79"/>
      <c r="L812" s="79"/>
      <c r="M812" s="79"/>
      <c r="N812" s="50"/>
      <c r="O812" s="82"/>
      <c r="P812" s="70"/>
      <c r="Q812" s="70"/>
      <c r="R812" s="70"/>
      <c r="S812" s="70"/>
    </row>
    <row r="813" ht="15.75" customHeight="1">
      <c r="B813" s="78"/>
      <c r="C813" s="79"/>
      <c r="D813" s="79"/>
      <c r="E813" s="80"/>
      <c r="F813" s="81"/>
      <c r="G813" s="79"/>
      <c r="H813" s="79"/>
      <c r="I813" s="79"/>
      <c r="J813" s="79"/>
      <c r="K813" s="79"/>
      <c r="L813" s="79"/>
      <c r="M813" s="79"/>
      <c r="N813" s="50"/>
      <c r="O813" s="82"/>
      <c r="P813" s="70"/>
      <c r="Q813" s="70"/>
      <c r="R813" s="70"/>
      <c r="S813" s="70"/>
    </row>
    <row r="814" ht="15.75" customHeight="1">
      <c r="B814" s="78"/>
      <c r="C814" s="79"/>
      <c r="D814" s="79"/>
      <c r="E814" s="80"/>
      <c r="F814" s="81"/>
      <c r="G814" s="79"/>
      <c r="H814" s="79"/>
      <c r="I814" s="79"/>
      <c r="J814" s="79"/>
      <c r="K814" s="79"/>
      <c r="L814" s="79"/>
      <c r="M814" s="79"/>
      <c r="N814" s="50"/>
      <c r="O814" s="82"/>
      <c r="P814" s="70"/>
      <c r="Q814" s="70"/>
      <c r="R814" s="70"/>
      <c r="S814" s="70"/>
    </row>
    <row r="815" ht="15.75" customHeight="1">
      <c r="B815" s="78"/>
      <c r="C815" s="79"/>
      <c r="D815" s="79"/>
      <c r="E815" s="80"/>
      <c r="F815" s="81"/>
      <c r="G815" s="79"/>
      <c r="H815" s="79"/>
      <c r="I815" s="79"/>
      <c r="J815" s="79"/>
      <c r="K815" s="79"/>
      <c r="L815" s="79"/>
      <c r="M815" s="79"/>
      <c r="N815" s="50"/>
      <c r="O815" s="82"/>
      <c r="P815" s="70"/>
      <c r="Q815" s="70"/>
      <c r="R815" s="70"/>
      <c r="S815" s="70"/>
    </row>
    <row r="816" ht="15.75" customHeight="1">
      <c r="B816" s="78"/>
      <c r="C816" s="79"/>
      <c r="D816" s="79"/>
      <c r="E816" s="80"/>
      <c r="F816" s="81"/>
      <c r="G816" s="79"/>
      <c r="H816" s="79"/>
      <c r="I816" s="79"/>
      <c r="J816" s="79"/>
      <c r="K816" s="79"/>
      <c r="L816" s="79"/>
      <c r="M816" s="79"/>
      <c r="N816" s="50"/>
      <c r="O816" s="82"/>
      <c r="P816" s="70"/>
      <c r="Q816" s="70"/>
      <c r="R816" s="70"/>
      <c r="S816" s="70"/>
    </row>
    <row r="817" ht="15.75" customHeight="1">
      <c r="B817" s="78"/>
      <c r="C817" s="79"/>
      <c r="D817" s="79"/>
      <c r="E817" s="80"/>
      <c r="F817" s="81"/>
      <c r="G817" s="79"/>
      <c r="H817" s="79"/>
      <c r="I817" s="79"/>
      <c r="J817" s="79"/>
      <c r="K817" s="79"/>
      <c r="L817" s="79"/>
      <c r="M817" s="79"/>
      <c r="N817" s="50"/>
      <c r="O817" s="82"/>
      <c r="P817" s="70"/>
      <c r="Q817" s="70"/>
      <c r="R817" s="70"/>
      <c r="S817" s="70"/>
    </row>
    <row r="818" ht="15.75" customHeight="1">
      <c r="B818" s="78"/>
      <c r="C818" s="79"/>
      <c r="D818" s="79"/>
      <c r="E818" s="80"/>
      <c r="F818" s="81"/>
      <c r="G818" s="79"/>
      <c r="H818" s="79"/>
      <c r="I818" s="79"/>
      <c r="J818" s="79"/>
      <c r="K818" s="79"/>
      <c r="L818" s="79"/>
      <c r="M818" s="79"/>
      <c r="N818" s="50"/>
      <c r="O818" s="82"/>
      <c r="P818" s="70"/>
      <c r="Q818" s="70"/>
      <c r="R818" s="70"/>
      <c r="S818" s="70"/>
    </row>
    <row r="819" ht="15.75" customHeight="1">
      <c r="B819" s="78"/>
      <c r="C819" s="79"/>
      <c r="D819" s="79"/>
      <c r="E819" s="80"/>
      <c r="F819" s="81"/>
      <c r="G819" s="79"/>
      <c r="H819" s="79"/>
      <c r="I819" s="79"/>
      <c r="J819" s="79"/>
      <c r="K819" s="79"/>
      <c r="L819" s="79"/>
      <c r="M819" s="79"/>
      <c r="N819" s="50"/>
      <c r="O819" s="82"/>
      <c r="P819" s="70"/>
      <c r="Q819" s="70"/>
      <c r="R819" s="70"/>
      <c r="S819" s="70"/>
    </row>
    <row r="820" ht="15.75" customHeight="1">
      <c r="B820" s="78"/>
      <c r="C820" s="79"/>
      <c r="D820" s="79"/>
      <c r="E820" s="80"/>
      <c r="F820" s="81"/>
      <c r="G820" s="79"/>
      <c r="H820" s="79"/>
      <c r="I820" s="79"/>
      <c r="J820" s="79"/>
      <c r="K820" s="79"/>
      <c r="L820" s="79"/>
      <c r="M820" s="79"/>
      <c r="N820" s="50"/>
      <c r="O820" s="82"/>
      <c r="P820" s="70"/>
      <c r="Q820" s="70"/>
      <c r="R820" s="70"/>
      <c r="S820" s="70"/>
    </row>
    <row r="821" ht="15.75" customHeight="1">
      <c r="B821" s="78"/>
      <c r="C821" s="79"/>
      <c r="D821" s="79"/>
      <c r="E821" s="80"/>
      <c r="F821" s="81"/>
      <c r="G821" s="79"/>
      <c r="H821" s="79"/>
      <c r="I821" s="79"/>
      <c r="J821" s="79"/>
      <c r="K821" s="79"/>
      <c r="L821" s="79"/>
      <c r="M821" s="79"/>
      <c r="N821" s="50"/>
      <c r="O821" s="82"/>
      <c r="P821" s="70"/>
      <c r="Q821" s="70"/>
      <c r="R821" s="70"/>
      <c r="S821" s="70"/>
    </row>
    <row r="822" ht="15.75" customHeight="1">
      <c r="B822" s="78"/>
      <c r="C822" s="79"/>
      <c r="D822" s="79"/>
      <c r="E822" s="80"/>
      <c r="F822" s="81"/>
      <c r="G822" s="79"/>
      <c r="H822" s="79"/>
      <c r="I822" s="79"/>
      <c r="J822" s="79"/>
      <c r="K822" s="79"/>
      <c r="L822" s="79"/>
      <c r="M822" s="79"/>
      <c r="N822" s="50"/>
      <c r="O822" s="82"/>
      <c r="P822" s="70"/>
      <c r="Q822" s="70"/>
      <c r="R822" s="70"/>
      <c r="S822" s="70"/>
    </row>
    <row r="823" ht="15.75" customHeight="1">
      <c r="B823" s="78"/>
      <c r="C823" s="79"/>
      <c r="D823" s="79"/>
      <c r="E823" s="80"/>
      <c r="F823" s="81"/>
      <c r="G823" s="79"/>
      <c r="H823" s="79"/>
      <c r="I823" s="79"/>
      <c r="J823" s="79"/>
      <c r="K823" s="79"/>
      <c r="L823" s="79"/>
      <c r="M823" s="79"/>
      <c r="N823" s="50"/>
      <c r="O823" s="82"/>
      <c r="P823" s="70"/>
      <c r="Q823" s="70"/>
      <c r="R823" s="70"/>
      <c r="S823" s="70"/>
    </row>
    <row r="824" ht="15.75" customHeight="1">
      <c r="B824" s="78"/>
      <c r="C824" s="79"/>
      <c r="D824" s="79"/>
      <c r="E824" s="80"/>
      <c r="F824" s="81"/>
      <c r="G824" s="79"/>
      <c r="H824" s="79"/>
      <c r="I824" s="79"/>
      <c r="J824" s="79"/>
      <c r="K824" s="79"/>
      <c r="L824" s="79"/>
      <c r="M824" s="79"/>
      <c r="N824" s="50"/>
      <c r="O824" s="82"/>
      <c r="P824" s="70"/>
      <c r="Q824" s="70"/>
      <c r="R824" s="70"/>
      <c r="S824" s="70"/>
    </row>
    <row r="825" ht="15.75" customHeight="1">
      <c r="B825" s="78"/>
      <c r="C825" s="79"/>
      <c r="D825" s="79"/>
      <c r="E825" s="80"/>
      <c r="F825" s="81"/>
      <c r="G825" s="79"/>
      <c r="H825" s="79"/>
      <c r="I825" s="79"/>
      <c r="J825" s="79"/>
      <c r="K825" s="79"/>
      <c r="L825" s="79"/>
      <c r="M825" s="79"/>
      <c r="N825" s="50"/>
      <c r="O825" s="82"/>
      <c r="P825" s="70"/>
      <c r="Q825" s="70"/>
      <c r="R825" s="70"/>
      <c r="S825" s="70"/>
    </row>
    <row r="826" ht="15.75" customHeight="1">
      <c r="B826" s="78"/>
      <c r="C826" s="79"/>
      <c r="D826" s="79"/>
      <c r="E826" s="80"/>
      <c r="F826" s="81"/>
      <c r="G826" s="79"/>
      <c r="H826" s="79"/>
      <c r="I826" s="79"/>
      <c r="J826" s="79"/>
      <c r="K826" s="79"/>
      <c r="L826" s="79"/>
      <c r="M826" s="79"/>
      <c r="N826" s="50"/>
      <c r="O826" s="82"/>
      <c r="P826" s="70"/>
      <c r="Q826" s="70"/>
      <c r="R826" s="70"/>
      <c r="S826" s="70"/>
    </row>
    <row r="827" ht="15.75" customHeight="1">
      <c r="B827" s="78"/>
      <c r="C827" s="79"/>
      <c r="D827" s="79"/>
      <c r="E827" s="80"/>
      <c r="F827" s="81"/>
      <c r="G827" s="79"/>
      <c r="H827" s="79"/>
      <c r="I827" s="79"/>
      <c r="J827" s="79"/>
      <c r="K827" s="79"/>
      <c r="L827" s="79"/>
      <c r="M827" s="79"/>
      <c r="N827" s="50"/>
      <c r="O827" s="82"/>
      <c r="P827" s="70"/>
      <c r="Q827" s="70"/>
      <c r="R827" s="70"/>
      <c r="S827" s="70"/>
    </row>
    <row r="828" ht="15.75" customHeight="1">
      <c r="B828" s="78"/>
      <c r="C828" s="79"/>
      <c r="D828" s="79"/>
      <c r="E828" s="80"/>
      <c r="F828" s="81"/>
      <c r="G828" s="79"/>
      <c r="H828" s="79"/>
      <c r="I828" s="79"/>
      <c r="J828" s="79"/>
      <c r="K828" s="79"/>
      <c r="L828" s="79"/>
      <c r="M828" s="79"/>
      <c r="N828" s="50"/>
      <c r="O828" s="82"/>
      <c r="P828" s="70"/>
      <c r="Q828" s="70"/>
      <c r="R828" s="70"/>
      <c r="S828" s="70"/>
    </row>
    <row r="829" ht="15.75" customHeight="1">
      <c r="B829" s="78"/>
      <c r="C829" s="79"/>
      <c r="D829" s="79"/>
      <c r="E829" s="80"/>
      <c r="F829" s="81"/>
      <c r="G829" s="79"/>
      <c r="H829" s="79"/>
      <c r="I829" s="79"/>
      <c r="J829" s="79"/>
      <c r="K829" s="79"/>
      <c r="L829" s="79"/>
      <c r="M829" s="79"/>
      <c r="N829" s="50"/>
      <c r="O829" s="82"/>
      <c r="P829" s="70"/>
      <c r="Q829" s="70"/>
      <c r="R829" s="70"/>
      <c r="S829" s="70"/>
    </row>
    <row r="830" ht="15.75" customHeight="1">
      <c r="B830" s="78"/>
      <c r="C830" s="79"/>
      <c r="D830" s="79"/>
      <c r="E830" s="80"/>
      <c r="F830" s="81"/>
      <c r="G830" s="79"/>
      <c r="H830" s="79"/>
      <c r="I830" s="79"/>
      <c r="J830" s="79"/>
      <c r="K830" s="79"/>
      <c r="L830" s="79"/>
      <c r="M830" s="79"/>
      <c r="N830" s="50"/>
      <c r="O830" s="82"/>
      <c r="P830" s="70"/>
      <c r="Q830" s="70"/>
      <c r="R830" s="70"/>
      <c r="S830" s="70"/>
    </row>
    <row r="831" ht="15.75" customHeight="1">
      <c r="B831" s="78"/>
      <c r="C831" s="79"/>
      <c r="D831" s="79"/>
      <c r="E831" s="80"/>
      <c r="F831" s="81"/>
      <c r="G831" s="79"/>
      <c r="H831" s="79"/>
      <c r="I831" s="79"/>
      <c r="J831" s="79"/>
      <c r="K831" s="79"/>
      <c r="L831" s="79"/>
      <c r="M831" s="79"/>
      <c r="N831" s="50"/>
      <c r="O831" s="82"/>
      <c r="P831" s="70"/>
      <c r="Q831" s="70"/>
      <c r="R831" s="70"/>
      <c r="S831" s="70"/>
    </row>
    <row r="832" ht="15.75" customHeight="1">
      <c r="B832" s="78"/>
      <c r="C832" s="79"/>
      <c r="D832" s="79"/>
      <c r="E832" s="80"/>
      <c r="F832" s="81"/>
      <c r="G832" s="79"/>
      <c r="H832" s="79"/>
      <c r="I832" s="79"/>
      <c r="J832" s="79"/>
      <c r="K832" s="79"/>
      <c r="L832" s="79"/>
      <c r="M832" s="79"/>
      <c r="N832" s="50"/>
      <c r="O832" s="82"/>
      <c r="P832" s="70"/>
      <c r="Q832" s="70"/>
      <c r="R832" s="70"/>
      <c r="S832" s="70"/>
    </row>
    <row r="833" ht="15.75" customHeight="1">
      <c r="B833" s="78"/>
      <c r="C833" s="79"/>
      <c r="D833" s="79"/>
      <c r="E833" s="80"/>
      <c r="F833" s="81"/>
      <c r="G833" s="79"/>
      <c r="H833" s="79"/>
      <c r="I833" s="79"/>
      <c r="J833" s="79"/>
      <c r="K833" s="79"/>
      <c r="L833" s="79"/>
      <c r="M833" s="79"/>
      <c r="N833" s="50"/>
      <c r="O833" s="82"/>
      <c r="P833" s="70"/>
      <c r="Q833" s="70"/>
      <c r="R833" s="70"/>
      <c r="S833" s="70"/>
    </row>
    <row r="834" ht="15.75" customHeight="1">
      <c r="B834" s="78"/>
      <c r="C834" s="79"/>
      <c r="D834" s="79"/>
      <c r="E834" s="80"/>
      <c r="F834" s="81"/>
      <c r="G834" s="79"/>
      <c r="H834" s="79"/>
      <c r="I834" s="79"/>
      <c r="J834" s="79"/>
      <c r="K834" s="79"/>
      <c r="L834" s="79"/>
      <c r="M834" s="79"/>
      <c r="N834" s="50"/>
      <c r="O834" s="82"/>
      <c r="P834" s="70"/>
      <c r="Q834" s="70"/>
      <c r="R834" s="70"/>
      <c r="S834" s="70"/>
    </row>
    <row r="835" ht="15.75" customHeight="1">
      <c r="B835" s="78"/>
      <c r="C835" s="79"/>
      <c r="D835" s="79"/>
      <c r="E835" s="80"/>
      <c r="F835" s="81"/>
      <c r="G835" s="79"/>
      <c r="H835" s="79"/>
      <c r="I835" s="79"/>
      <c r="J835" s="79"/>
      <c r="K835" s="79"/>
      <c r="L835" s="79"/>
      <c r="M835" s="79"/>
      <c r="N835" s="50"/>
      <c r="O835" s="82"/>
      <c r="P835" s="70"/>
      <c r="Q835" s="70"/>
      <c r="R835" s="70"/>
      <c r="S835" s="70"/>
    </row>
    <row r="836" ht="15.75" customHeight="1">
      <c r="B836" s="78"/>
      <c r="C836" s="79"/>
      <c r="D836" s="79"/>
      <c r="E836" s="80"/>
      <c r="F836" s="81"/>
      <c r="G836" s="79"/>
      <c r="H836" s="79"/>
      <c r="I836" s="79"/>
      <c r="J836" s="79"/>
      <c r="K836" s="79"/>
      <c r="L836" s="79"/>
      <c r="M836" s="79"/>
      <c r="N836" s="50"/>
      <c r="O836" s="82"/>
      <c r="P836" s="70"/>
      <c r="Q836" s="70"/>
      <c r="R836" s="70"/>
      <c r="S836" s="70"/>
    </row>
    <row r="837" ht="15.75" customHeight="1">
      <c r="B837" s="78"/>
      <c r="C837" s="79"/>
      <c r="D837" s="79"/>
      <c r="E837" s="80"/>
      <c r="F837" s="81"/>
      <c r="G837" s="79"/>
      <c r="H837" s="79"/>
      <c r="I837" s="79"/>
      <c r="J837" s="79"/>
      <c r="K837" s="79"/>
      <c r="L837" s="79"/>
      <c r="M837" s="79"/>
      <c r="N837" s="50"/>
      <c r="O837" s="82"/>
      <c r="P837" s="70"/>
      <c r="Q837" s="70"/>
      <c r="R837" s="70"/>
      <c r="S837" s="70"/>
    </row>
    <row r="838" ht="15.75" customHeight="1">
      <c r="B838" s="78"/>
      <c r="C838" s="79"/>
      <c r="D838" s="79"/>
      <c r="E838" s="80"/>
      <c r="F838" s="81"/>
      <c r="G838" s="79"/>
      <c r="H838" s="79"/>
      <c r="I838" s="79"/>
      <c r="J838" s="79"/>
      <c r="K838" s="79"/>
      <c r="L838" s="79"/>
      <c r="M838" s="79"/>
      <c r="N838" s="50"/>
      <c r="O838" s="82"/>
      <c r="P838" s="70"/>
      <c r="Q838" s="70"/>
      <c r="R838" s="70"/>
      <c r="S838" s="70"/>
    </row>
    <row r="839" ht="15.75" customHeight="1">
      <c r="B839" s="78"/>
      <c r="C839" s="79"/>
      <c r="D839" s="79"/>
      <c r="E839" s="80"/>
      <c r="F839" s="81"/>
      <c r="G839" s="79"/>
      <c r="H839" s="79"/>
      <c r="I839" s="79"/>
      <c r="J839" s="79"/>
      <c r="K839" s="79"/>
      <c r="L839" s="79"/>
      <c r="M839" s="79"/>
      <c r="N839" s="50"/>
      <c r="O839" s="82"/>
      <c r="P839" s="70"/>
      <c r="Q839" s="70"/>
      <c r="R839" s="70"/>
      <c r="S839" s="70"/>
    </row>
    <row r="840" ht="15.75" customHeight="1">
      <c r="B840" s="78"/>
      <c r="C840" s="79"/>
      <c r="D840" s="79"/>
      <c r="E840" s="80"/>
      <c r="F840" s="81"/>
      <c r="G840" s="79"/>
      <c r="H840" s="79"/>
      <c r="I840" s="79"/>
      <c r="J840" s="79"/>
      <c r="K840" s="79"/>
      <c r="L840" s="79"/>
      <c r="M840" s="79"/>
      <c r="N840" s="50"/>
      <c r="O840" s="82"/>
      <c r="P840" s="70"/>
      <c r="Q840" s="70"/>
      <c r="R840" s="70"/>
      <c r="S840" s="70"/>
    </row>
    <row r="841" ht="15.75" customHeight="1">
      <c r="B841" s="78"/>
      <c r="C841" s="79"/>
      <c r="D841" s="79"/>
      <c r="E841" s="80"/>
      <c r="F841" s="81"/>
      <c r="G841" s="79"/>
      <c r="H841" s="79"/>
      <c r="I841" s="79"/>
      <c r="J841" s="79"/>
      <c r="K841" s="79"/>
      <c r="L841" s="79"/>
      <c r="M841" s="79"/>
      <c r="N841" s="50"/>
      <c r="O841" s="82"/>
      <c r="P841" s="70"/>
      <c r="Q841" s="70"/>
      <c r="R841" s="70"/>
      <c r="S841" s="70"/>
    </row>
    <row r="842" ht="15.75" customHeight="1">
      <c r="B842" s="78"/>
      <c r="C842" s="79"/>
      <c r="D842" s="79"/>
      <c r="E842" s="80"/>
      <c r="F842" s="81"/>
      <c r="G842" s="79"/>
      <c r="H842" s="79"/>
      <c r="I842" s="79"/>
      <c r="J842" s="79"/>
      <c r="K842" s="79"/>
      <c r="L842" s="79"/>
      <c r="M842" s="79"/>
      <c r="N842" s="50"/>
      <c r="O842" s="82"/>
      <c r="P842" s="70"/>
      <c r="Q842" s="70"/>
      <c r="R842" s="70"/>
      <c r="S842" s="70"/>
    </row>
    <row r="843" ht="15.75" customHeight="1">
      <c r="B843" s="78"/>
      <c r="C843" s="79"/>
      <c r="D843" s="79"/>
      <c r="E843" s="80"/>
      <c r="F843" s="81"/>
      <c r="G843" s="79"/>
      <c r="H843" s="79"/>
      <c r="I843" s="79"/>
      <c r="J843" s="79"/>
      <c r="K843" s="79"/>
      <c r="L843" s="79"/>
      <c r="M843" s="79"/>
      <c r="N843" s="50"/>
      <c r="O843" s="82"/>
      <c r="P843" s="70"/>
      <c r="Q843" s="70"/>
      <c r="R843" s="70"/>
      <c r="S843" s="70"/>
    </row>
    <row r="844" ht="15.75" customHeight="1">
      <c r="B844" s="78"/>
      <c r="C844" s="79"/>
      <c r="D844" s="79"/>
      <c r="E844" s="80"/>
      <c r="F844" s="81"/>
      <c r="G844" s="79"/>
      <c r="H844" s="79"/>
      <c r="I844" s="79"/>
      <c r="J844" s="79"/>
      <c r="K844" s="79"/>
      <c r="L844" s="79"/>
      <c r="M844" s="79"/>
      <c r="N844" s="50"/>
      <c r="O844" s="82"/>
      <c r="P844" s="70"/>
      <c r="Q844" s="70"/>
      <c r="R844" s="70"/>
      <c r="S844" s="70"/>
    </row>
    <row r="845" ht="15.75" customHeight="1">
      <c r="B845" s="78"/>
      <c r="C845" s="79"/>
      <c r="D845" s="79"/>
      <c r="E845" s="80"/>
      <c r="F845" s="81"/>
      <c r="G845" s="79"/>
      <c r="H845" s="79"/>
      <c r="I845" s="79"/>
      <c r="J845" s="79"/>
      <c r="K845" s="79"/>
      <c r="L845" s="79"/>
      <c r="M845" s="79"/>
      <c r="N845" s="50"/>
      <c r="O845" s="82"/>
      <c r="P845" s="70"/>
      <c r="Q845" s="70"/>
      <c r="R845" s="70"/>
      <c r="S845" s="70"/>
    </row>
    <row r="846" ht="15.75" customHeight="1">
      <c r="B846" s="78"/>
      <c r="C846" s="79"/>
      <c r="D846" s="79"/>
      <c r="E846" s="80"/>
      <c r="F846" s="81"/>
      <c r="G846" s="79"/>
      <c r="H846" s="79"/>
      <c r="I846" s="79"/>
      <c r="J846" s="79"/>
      <c r="K846" s="79"/>
      <c r="L846" s="79"/>
      <c r="M846" s="79"/>
      <c r="N846" s="50"/>
      <c r="O846" s="82"/>
      <c r="P846" s="70"/>
      <c r="Q846" s="70"/>
      <c r="R846" s="70"/>
      <c r="S846" s="70"/>
    </row>
    <row r="847" ht="15.75" customHeight="1">
      <c r="B847" s="78"/>
      <c r="C847" s="79"/>
      <c r="D847" s="79"/>
      <c r="E847" s="80"/>
      <c r="F847" s="81"/>
      <c r="G847" s="79"/>
      <c r="H847" s="79"/>
      <c r="I847" s="79"/>
      <c r="J847" s="79"/>
      <c r="K847" s="79"/>
      <c r="L847" s="79"/>
      <c r="M847" s="79"/>
      <c r="N847" s="50"/>
      <c r="O847" s="82"/>
      <c r="P847" s="70"/>
      <c r="Q847" s="70"/>
      <c r="R847" s="70"/>
      <c r="S847" s="70"/>
    </row>
    <row r="848" ht="15.75" customHeight="1">
      <c r="B848" s="78"/>
      <c r="C848" s="79"/>
      <c r="D848" s="79"/>
      <c r="E848" s="80"/>
      <c r="F848" s="81"/>
      <c r="G848" s="79"/>
      <c r="H848" s="79"/>
      <c r="I848" s="79"/>
      <c r="J848" s="79"/>
      <c r="K848" s="79"/>
      <c r="L848" s="79"/>
      <c r="M848" s="79"/>
      <c r="N848" s="50"/>
      <c r="O848" s="82"/>
      <c r="P848" s="70"/>
      <c r="Q848" s="70"/>
      <c r="R848" s="70"/>
      <c r="S848" s="70"/>
    </row>
    <row r="849" ht="15.75" customHeight="1">
      <c r="B849" s="78"/>
      <c r="C849" s="79"/>
      <c r="D849" s="79"/>
      <c r="E849" s="80"/>
      <c r="F849" s="81"/>
      <c r="G849" s="79"/>
      <c r="H849" s="79"/>
      <c r="I849" s="79"/>
      <c r="J849" s="79"/>
      <c r="K849" s="79"/>
      <c r="L849" s="79"/>
      <c r="M849" s="79"/>
      <c r="N849" s="50"/>
      <c r="O849" s="82"/>
      <c r="P849" s="70"/>
      <c r="Q849" s="70"/>
      <c r="R849" s="70"/>
      <c r="S849" s="70"/>
    </row>
    <row r="850" ht="15.75" customHeight="1">
      <c r="B850" s="78"/>
      <c r="C850" s="79"/>
      <c r="D850" s="79"/>
      <c r="E850" s="80"/>
      <c r="F850" s="81"/>
      <c r="G850" s="79"/>
      <c r="H850" s="79"/>
      <c r="I850" s="79"/>
      <c r="J850" s="79"/>
      <c r="K850" s="79"/>
      <c r="L850" s="79"/>
      <c r="M850" s="79"/>
      <c r="N850" s="50"/>
      <c r="O850" s="82"/>
      <c r="P850" s="70"/>
      <c r="Q850" s="70"/>
      <c r="R850" s="70"/>
      <c r="S850" s="70"/>
    </row>
    <row r="851" ht="15.75" customHeight="1">
      <c r="B851" s="78"/>
      <c r="C851" s="79"/>
      <c r="D851" s="79"/>
      <c r="E851" s="80"/>
      <c r="F851" s="81"/>
      <c r="G851" s="79"/>
      <c r="H851" s="79"/>
      <c r="I851" s="79"/>
      <c r="J851" s="79"/>
      <c r="K851" s="79"/>
      <c r="L851" s="79"/>
      <c r="M851" s="79"/>
      <c r="N851" s="50"/>
      <c r="O851" s="82"/>
      <c r="P851" s="70"/>
      <c r="Q851" s="70"/>
      <c r="R851" s="70"/>
      <c r="S851" s="70"/>
    </row>
    <row r="852" ht="15.75" customHeight="1">
      <c r="B852" s="78"/>
      <c r="C852" s="79"/>
      <c r="D852" s="79"/>
      <c r="E852" s="80"/>
      <c r="F852" s="81"/>
      <c r="G852" s="79"/>
      <c r="H852" s="79"/>
      <c r="I852" s="79"/>
      <c r="J852" s="79"/>
      <c r="K852" s="79"/>
      <c r="L852" s="79"/>
      <c r="M852" s="79"/>
      <c r="N852" s="50"/>
      <c r="O852" s="82"/>
      <c r="P852" s="70"/>
      <c r="Q852" s="70"/>
      <c r="R852" s="70"/>
      <c r="S852" s="70"/>
    </row>
    <row r="853" ht="15.75" customHeight="1">
      <c r="B853" s="78"/>
      <c r="C853" s="79"/>
      <c r="D853" s="79"/>
      <c r="E853" s="80"/>
      <c r="F853" s="81"/>
      <c r="G853" s="79"/>
      <c r="H853" s="79"/>
      <c r="I853" s="79"/>
      <c r="J853" s="79"/>
      <c r="K853" s="79"/>
      <c r="L853" s="79"/>
      <c r="M853" s="79"/>
      <c r="N853" s="50"/>
      <c r="O853" s="82"/>
      <c r="P853" s="70"/>
      <c r="Q853" s="70"/>
      <c r="R853" s="70"/>
      <c r="S853" s="70"/>
    </row>
    <row r="854" ht="15.75" customHeight="1">
      <c r="B854" s="78"/>
      <c r="C854" s="79"/>
      <c r="D854" s="79"/>
      <c r="E854" s="80"/>
      <c r="F854" s="81"/>
      <c r="G854" s="79"/>
      <c r="H854" s="79"/>
      <c r="I854" s="79"/>
      <c r="J854" s="79"/>
      <c r="K854" s="79"/>
      <c r="L854" s="79"/>
      <c r="M854" s="79"/>
      <c r="N854" s="50"/>
      <c r="O854" s="82"/>
      <c r="P854" s="70"/>
      <c r="Q854" s="70"/>
      <c r="R854" s="70"/>
      <c r="S854" s="70"/>
    </row>
    <row r="855" ht="15.75" customHeight="1">
      <c r="B855" s="78"/>
      <c r="C855" s="79"/>
      <c r="D855" s="79"/>
      <c r="E855" s="80"/>
      <c r="F855" s="81"/>
      <c r="G855" s="79"/>
      <c r="H855" s="79"/>
      <c r="I855" s="79"/>
      <c r="J855" s="79"/>
      <c r="K855" s="79"/>
      <c r="L855" s="79"/>
      <c r="M855" s="79"/>
      <c r="N855" s="50"/>
      <c r="O855" s="82"/>
      <c r="P855" s="70"/>
      <c r="Q855" s="70"/>
      <c r="R855" s="70"/>
      <c r="S855" s="70"/>
    </row>
    <row r="856" ht="15.75" customHeight="1">
      <c r="B856" s="78"/>
      <c r="C856" s="79"/>
      <c r="D856" s="79"/>
      <c r="E856" s="80"/>
      <c r="F856" s="81"/>
      <c r="G856" s="79"/>
      <c r="H856" s="79"/>
      <c r="I856" s="79"/>
      <c r="J856" s="79"/>
      <c r="K856" s="79"/>
      <c r="L856" s="79"/>
      <c r="M856" s="79"/>
      <c r="N856" s="50"/>
      <c r="O856" s="82"/>
      <c r="P856" s="70"/>
      <c r="Q856" s="70"/>
      <c r="R856" s="70"/>
      <c r="S856" s="70"/>
    </row>
    <row r="857" ht="15.75" customHeight="1">
      <c r="B857" s="78"/>
      <c r="C857" s="79"/>
      <c r="D857" s="79"/>
      <c r="E857" s="80"/>
      <c r="F857" s="81"/>
      <c r="G857" s="79"/>
      <c r="H857" s="79"/>
      <c r="I857" s="79"/>
      <c r="J857" s="79"/>
      <c r="K857" s="79"/>
      <c r="L857" s="79"/>
      <c r="M857" s="79"/>
      <c r="N857" s="50"/>
      <c r="O857" s="82"/>
      <c r="P857" s="70"/>
      <c r="Q857" s="70"/>
      <c r="R857" s="70"/>
      <c r="S857" s="70"/>
    </row>
    <row r="858" ht="15.75" customHeight="1">
      <c r="B858" s="78"/>
      <c r="C858" s="79"/>
      <c r="D858" s="79"/>
      <c r="E858" s="80"/>
      <c r="F858" s="81"/>
      <c r="G858" s="79"/>
      <c r="H858" s="79"/>
      <c r="I858" s="79"/>
      <c r="J858" s="79"/>
      <c r="K858" s="79"/>
      <c r="L858" s="79"/>
      <c r="M858" s="79"/>
      <c r="N858" s="50"/>
      <c r="O858" s="82"/>
      <c r="P858" s="70"/>
      <c r="Q858" s="70"/>
      <c r="R858" s="70"/>
      <c r="S858" s="70"/>
    </row>
    <row r="859" ht="15.75" customHeight="1">
      <c r="B859" s="78"/>
      <c r="C859" s="79"/>
      <c r="D859" s="79"/>
      <c r="E859" s="80"/>
      <c r="F859" s="81"/>
      <c r="G859" s="79"/>
      <c r="H859" s="79"/>
      <c r="I859" s="79"/>
      <c r="J859" s="79"/>
      <c r="K859" s="79"/>
      <c r="L859" s="79"/>
      <c r="M859" s="79"/>
      <c r="N859" s="50"/>
      <c r="O859" s="82"/>
      <c r="P859" s="70"/>
      <c r="Q859" s="70"/>
      <c r="R859" s="70"/>
      <c r="S859" s="70"/>
    </row>
    <row r="860" ht="15.75" customHeight="1">
      <c r="B860" s="78"/>
      <c r="C860" s="79"/>
      <c r="D860" s="79"/>
      <c r="E860" s="80"/>
      <c r="F860" s="81"/>
      <c r="G860" s="79"/>
      <c r="H860" s="79"/>
      <c r="I860" s="79"/>
      <c r="J860" s="79"/>
      <c r="K860" s="79"/>
      <c r="L860" s="79"/>
      <c r="M860" s="79"/>
      <c r="N860" s="50"/>
      <c r="O860" s="82"/>
      <c r="P860" s="70"/>
      <c r="Q860" s="70"/>
      <c r="R860" s="70"/>
      <c r="S860" s="70"/>
    </row>
    <row r="861" ht="15.75" customHeight="1">
      <c r="B861" s="78"/>
      <c r="C861" s="79"/>
      <c r="D861" s="79"/>
      <c r="E861" s="80"/>
      <c r="F861" s="81"/>
      <c r="G861" s="79"/>
      <c r="H861" s="79"/>
      <c r="I861" s="79"/>
      <c r="J861" s="79"/>
      <c r="K861" s="79"/>
      <c r="L861" s="79"/>
      <c r="M861" s="79"/>
      <c r="N861" s="50"/>
      <c r="O861" s="82"/>
      <c r="P861" s="70"/>
      <c r="Q861" s="70"/>
      <c r="R861" s="70"/>
      <c r="S861" s="70"/>
    </row>
    <row r="862" ht="15.75" customHeight="1">
      <c r="B862" s="78"/>
      <c r="C862" s="79"/>
      <c r="D862" s="79"/>
      <c r="E862" s="80"/>
      <c r="F862" s="81"/>
      <c r="G862" s="79"/>
      <c r="H862" s="79"/>
      <c r="I862" s="79"/>
      <c r="J862" s="79"/>
      <c r="K862" s="79"/>
      <c r="L862" s="79"/>
      <c r="M862" s="79"/>
      <c r="N862" s="50"/>
      <c r="O862" s="82"/>
      <c r="P862" s="70"/>
      <c r="Q862" s="70"/>
      <c r="R862" s="70"/>
      <c r="S862" s="70"/>
    </row>
    <row r="863" ht="15.75" customHeight="1">
      <c r="B863" s="78"/>
      <c r="C863" s="79"/>
      <c r="D863" s="79"/>
      <c r="E863" s="80"/>
      <c r="F863" s="81"/>
      <c r="G863" s="79"/>
      <c r="H863" s="79"/>
      <c r="I863" s="79"/>
      <c r="J863" s="79"/>
      <c r="K863" s="79"/>
      <c r="L863" s="79"/>
      <c r="M863" s="79"/>
      <c r="N863" s="50"/>
      <c r="O863" s="82"/>
      <c r="P863" s="70"/>
      <c r="Q863" s="70"/>
      <c r="R863" s="70"/>
      <c r="S863" s="70"/>
    </row>
    <row r="864" ht="15.75" customHeight="1">
      <c r="B864" s="78"/>
      <c r="C864" s="79"/>
      <c r="D864" s="79"/>
      <c r="E864" s="80"/>
      <c r="F864" s="81"/>
      <c r="G864" s="79"/>
      <c r="H864" s="79"/>
      <c r="I864" s="79"/>
      <c r="J864" s="79"/>
      <c r="K864" s="79"/>
      <c r="L864" s="79"/>
      <c r="M864" s="79"/>
      <c r="N864" s="50"/>
      <c r="O864" s="82"/>
      <c r="P864" s="70"/>
      <c r="Q864" s="70"/>
      <c r="R864" s="70"/>
      <c r="S864" s="70"/>
    </row>
    <row r="865" ht="15.75" customHeight="1">
      <c r="B865" s="78"/>
      <c r="C865" s="79"/>
      <c r="D865" s="79"/>
      <c r="E865" s="80"/>
      <c r="F865" s="81"/>
      <c r="G865" s="79"/>
      <c r="H865" s="79"/>
      <c r="I865" s="79"/>
      <c r="J865" s="79"/>
      <c r="K865" s="79"/>
      <c r="L865" s="79"/>
      <c r="M865" s="79"/>
      <c r="N865" s="50"/>
      <c r="O865" s="82"/>
      <c r="P865" s="70"/>
      <c r="Q865" s="70"/>
      <c r="R865" s="70"/>
      <c r="S865" s="70"/>
    </row>
    <row r="866" ht="15.75" customHeight="1">
      <c r="B866" s="78"/>
      <c r="C866" s="79"/>
      <c r="D866" s="79"/>
      <c r="E866" s="80"/>
      <c r="F866" s="81"/>
      <c r="G866" s="79"/>
      <c r="H866" s="79"/>
      <c r="I866" s="79"/>
      <c r="J866" s="79"/>
      <c r="K866" s="79"/>
      <c r="L866" s="79"/>
      <c r="M866" s="79"/>
      <c r="N866" s="50"/>
      <c r="O866" s="82"/>
      <c r="P866" s="70"/>
      <c r="Q866" s="70"/>
      <c r="R866" s="70"/>
      <c r="S866" s="70"/>
    </row>
    <row r="867" ht="15.75" customHeight="1">
      <c r="B867" s="78"/>
      <c r="C867" s="79"/>
      <c r="D867" s="79"/>
      <c r="E867" s="80"/>
      <c r="F867" s="81"/>
      <c r="G867" s="79"/>
      <c r="H867" s="79"/>
      <c r="I867" s="79"/>
      <c r="J867" s="79"/>
      <c r="K867" s="79"/>
      <c r="L867" s="79"/>
      <c r="M867" s="79"/>
      <c r="N867" s="50"/>
      <c r="O867" s="82"/>
      <c r="P867" s="70"/>
      <c r="Q867" s="70"/>
      <c r="R867" s="70"/>
      <c r="S867" s="70"/>
    </row>
    <row r="868" ht="15.75" customHeight="1">
      <c r="B868" s="78"/>
      <c r="C868" s="79"/>
      <c r="D868" s="79"/>
      <c r="E868" s="80"/>
      <c r="F868" s="81"/>
      <c r="G868" s="79"/>
      <c r="H868" s="79"/>
      <c r="I868" s="79"/>
      <c r="J868" s="79"/>
      <c r="K868" s="79"/>
      <c r="L868" s="79"/>
      <c r="M868" s="79"/>
      <c r="N868" s="50"/>
      <c r="O868" s="82"/>
      <c r="P868" s="70"/>
      <c r="Q868" s="70"/>
      <c r="R868" s="70"/>
      <c r="S868" s="70"/>
    </row>
    <row r="869" ht="15.75" customHeight="1">
      <c r="B869" s="78"/>
      <c r="C869" s="79"/>
      <c r="D869" s="79"/>
      <c r="E869" s="80"/>
      <c r="F869" s="81"/>
      <c r="G869" s="79"/>
      <c r="H869" s="79"/>
      <c r="I869" s="79"/>
      <c r="J869" s="79"/>
      <c r="K869" s="79"/>
      <c r="L869" s="79"/>
      <c r="M869" s="79"/>
      <c r="N869" s="50"/>
      <c r="O869" s="82"/>
      <c r="P869" s="70"/>
      <c r="Q869" s="70"/>
      <c r="R869" s="70"/>
      <c r="S869" s="70"/>
    </row>
    <row r="870" ht="15.75" customHeight="1">
      <c r="B870" s="78"/>
      <c r="C870" s="79"/>
      <c r="D870" s="79"/>
      <c r="E870" s="80"/>
      <c r="F870" s="81"/>
      <c r="G870" s="79"/>
      <c r="H870" s="79"/>
      <c r="I870" s="79"/>
      <c r="J870" s="79"/>
      <c r="K870" s="79"/>
      <c r="L870" s="79"/>
      <c r="M870" s="79"/>
      <c r="N870" s="50"/>
      <c r="O870" s="82"/>
      <c r="P870" s="70"/>
      <c r="Q870" s="70"/>
      <c r="R870" s="70"/>
      <c r="S870" s="70"/>
    </row>
    <row r="871" ht="15.75" customHeight="1">
      <c r="B871" s="78"/>
      <c r="C871" s="79"/>
      <c r="D871" s="79"/>
      <c r="E871" s="80"/>
      <c r="F871" s="81"/>
      <c r="G871" s="79"/>
      <c r="H871" s="79"/>
      <c r="I871" s="79"/>
      <c r="J871" s="79"/>
      <c r="K871" s="79"/>
      <c r="L871" s="79"/>
      <c r="M871" s="79"/>
      <c r="N871" s="50"/>
      <c r="O871" s="82"/>
      <c r="P871" s="70"/>
      <c r="Q871" s="70"/>
      <c r="R871" s="70"/>
      <c r="S871" s="70"/>
    </row>
    <row r="872" ht="15.75" customHeight="1">
      <c r="B872" s="78"/>
      <c r="C872" s="79"/>
      <c r="D872" s="79"/>
      <c r="E872" s="80"/>
      <c r="F872" s="81"/>
      <c r="G872" s="79"/>
      <c r="H872" s="79"/>
      <c r="I872" s="79"/>
      <c r="J872" s="79"/>
      <c r="K872" s="79"/>
      <c r="L872" s="79"/>
      <c r="M872" s="79"/>
      <c r="N872" s="50"/>
      <c r="O872" s="82"/>
      <c r="P872" s="70"/>
      <c r="Q872" s="70"/>
      <c r="R872" s="70"/>
      <c r="S872" s="70"/>
    </row>
    <row r="873" ht="15.75" customHeight="1">
      <c r="B873" s="78"/>
      <c r="C873" s="79"/>
      <c r="D873" s="79"/>
      <c r="E873" s="80"/>
      <c r="F873" s="81"/>
      <c r="G873" s="79"/>
      <c r="H873" s="79"/>
      <c r="I873" s="79"/>
      <c r="J873" s="79"/>
      <c r="K873" s="79"/>
      <c r="L873" s="79"/>
      <c r="M873" s="79"/>
      <c r="N873" s="50"/>
      <c r="O873" s="82"/>
      <c r="P873" s="70"/>
      <c r="Q873" s="70"/>
      <c r="R873" s="70"/>
      <c r="S873" s="70"/>
    </row>
    <row r="874" ht="15.75" customHeight="1">
      <c r="B874" s="78"/>
      <c r="C874" s="79"/>
      <c r="D874" s="79"/>
      <c r="E874" s="80"/>
      <c r="F874" s="81"/>
      <c r="G874" s="79"/>
      <c r="H874" s="79"/>
      <c r="I874" s="79"/>
      <c r="J874" s="79"/>
      <c r="K874" s="79"/>
      <c r="L874" s="79"/>
      <c r="M874" s="79"/>
      <c r="N874" s="50"/>
      <c r="O874" s="82"/>
      <c r="P874" s="70"/>
      <c r="Q874" s="70"/>
      <c r="R874" s="70"/>
      <c r="S874" s="70"/>
    </row>
    <row r="875" ht="15.75" customHeight="1">
      <c r="B875" s="78"/>
      <c r="C875" s="79"/>
      <c r="D875" s="79"/>
      <c r="E875" s="80"/>
      <c r="F875" s="81"/>
      <c r="G875" s="79"/>
      <c r="H875" s="79"/>
      <c r="I875" s="79"/>
      <c r="J875" s="79"/>
      <c r="K875" s="79"/>
      <c r="L875" s="79"/>
      <c r="M875" s="79"/>
      <c r="N875" s="50"/>
      <c r="O875" s="82"/>
      <c r="P875" s="70"/>
      <c r="Q875" s="70"/>
      <c r="R875" s="70"/>
      <c r="S875" s="70"/>
    </row>
    <row r="876" ht="15.75" customHeight="1">
      <c r="B876" s="78"/>
      <c r="C876" s="79"/>
      <c r="D876" s="79"/>
      <c r="E876" s="80"/>
      <c r="F876" s="81"/>
      <c r="G876" s="79"/>
      <c r="H876" s="79"/>
      <c r="I876" s="79"/>
      <c r="J876" s="79"/>
      <c r="K876" s="79"/>
      <c r="L876" s="79"/>
      <c r="M876" s="79"/>
      <c r="N876" s="50"/>
      <c r="O876" s="82"/>
      <c r="P876" s="70"/>
      <c r="Q876" s="70"/>
      <c r="R876" s="70"/>
      <c r="S876" s="70"/>
    </row>
    <row r="877" ht="15.75" customHeight="1">
      <c r="B877" s="78"/>
      <c r="C877" s="79"/>
      <c r="D877" s="79"/>
      <c r="E877" s="80"/>
      <c r="F877" s="81"/>
      <c r="G877" s="79"/>
      <c r="H877" s="79"/>
      <c r="I877" s="79"/>
      <c r="J877" s="79"/>
      <c r="K877" s="79"/>
      <c r="L877" s="79"/>
      <c r="M877" s="79"/>
      <c r="N877" s="50"/>
      <c r="O877" s="82"/>
      <c r="P877" s="70"/>
      <c r="Q877" s="70"/>
      <c r="R877" s="70"/>
      <c r="S877" s="70"/>
    </row>
    <row r="878" ht="15.75" customHeight="1">
      <c r="B878" s="78"/>
      <c r="C878" s="79"/>
      <c r="D878" s="79"/>
      <c r="E878" s="80"/>
      <c r="F878" s="81"/>
      <c r="G878" s="79"/>
      <c r="H878" s="79"/>
      <c r="I878" s="79"/>
      <c r="J878" s="79"/>
      <c r="K878" s="79"/>
      <c r="L878" s="79"/>
      <c r="M878" s="79"/>
      <c r="N878" s="50"/>
      <c r="O878" s="82"/>
      <c r="P878" s="70"/>
      <c r="Q878" s="70"/>
      <c r="R878" s="70"/>
      <c r="S878" s="70"/>
    </row>
    <row r="879" ht="15.75" customHeight="1">
      <c r="B879" s="78"/>
      <c r="C879" s="79"/>
      <c r="D879" s="79"/>
      <c r="E879" s="80"/>
      <c r="F879" s="81"/>
      <c r="G879" s="79"/>
      <c r="H879" s="79"/>
      <c r="I879" s="79"/>
      <c r="J879" s="79"/>
      <c r="K879" s="79"/>
      <c r="L879" s="79"/>
      <c r="M879" s="79"/>
      <c r="N879" s="50"/>
      <c r="O879" s="82"/>
      <c r="P879" s="70"/>
      <c r="Q879" s="70"/>
      <c r="R879" s="70"/>
      <c r="S879" s="70"/>
    </row>
    <row r="880" ht="15.75" customHeight="1">
      <c r="B880" s="78"/>
      <c r="C880" s="79"/>
      <c r="D880" s="79"/>
      <c r="E880" s="80"/>
      <c r="F880" s="81"/>
      <c r="G880" s="79"/>
      <c r="H880" s="79"/>
      <c r="I880" s="79"/>
      <c r="J880" s="79"/>
      <c r="K880" s="79"/>
      <c r="L880" s="79"/>
      <c r="M880" s="79"/>
      <c r="N880" s="50"/>
      <c r="O880" s="82"/>
      <c r="P880" s="70"/>
      <c r="Q880" s="70"/>
      <c r="R880" s="70"/>
      <c r="S880" s="70"/>
    </row>
    <row r="881" ht="15.75" customHeight="1">
      <c r="B881" s="78"/>
      <c r="C881" s="79"/>
      <c r="D881" s="79"/>
      <c r="E881" s="80"/>
      <c r="F881" s="81"/>
      <c r="G881" s="79"/>
      <c r="H881" s="79"/>
      <c r="I881" s="79"/>
      <c r="J881" s="79"/>
      <c r="K881" s="79"/>
      <c r="L881" s="79"/>
      <c r="M881" s="79"/>
      <c r="N881" s="50"/>
      <c r="O881" s="82"/>
      <c r="P881" s="70"/>
      <c r="Q881" s="70"/>
      <c r="R881" s="70"/>
      <c r="S881" s="70"/>
    </row>
    <row r="882" ht="15.75" customHeight="1">
      <c r="B882" s="78"/>
      <c r="C882" s="79"/>
      <c r="D882" s="79"/>
      <c r="E882" s="80"/>
      <c r="F882" s="81"/>
      <c r="G882" s="79"/>
      <c r="H882" s="79"/>
      <c r="I882" s="79"/>
      <c r="J882" s="79"/>
      <c r="K882" s="79"/>
      <c r="L882" s="79"/>
      <c r="M882" s="79"/>
      <c r="N882" s="50"/>
      <c r="O882" s="82"/>
      <c r="P882" s="70"/>
      <c r="Q882" s="70"/>
      <c r="R882" s="70"/>
      <c r="S882" s="70"/>
    </row>
    <row r="883" ht="15.75" customHeight="1">
      <c r="B883" s="78"/>
      <c r="C883" s="79"/>
      <c r="D883" s="79"/>
      <c r="E883" s="80"/>
      <c r="F883" s="81"/>
      <c r="G883" s="79"/>
      <c r="H883" s="79"/>
      <c r="I883" s="79"/>
      <c r="J883" s="79"/>
      <c r="K883" s="79"/>
      <c r="L883" s="79"/>
      <c r="M883" s="79"/>
      <c r="N883" s="50"/>
      <c r="O883" s="82"/>
      <c r="P883" s="70"/>
      <c r="Q883" s="70"/>
      <c r="R883" s="70"/>
      <c r="S883" s="70"/>
    </row>
    <row r="884" ht="15.75" customHeight="1">
      <c r="B884" s="78"/>
      <c r="C884" s="79"/>
      <c r="D884" s="79"/>
      <c r="E884" s="80"/>
      <c r="F884" s="81"/>
      <c r="G884" s="79"/>
      <c r="H884" s="79"/>
      <c r="I884" s="79"/>
      <c r="J884" s="79"/>
      <c r="K884" s="79"/>
      <c r="L884" s="79"/>
      <c r="M884" s="79"/>
      <c r="N884" s="50"/>
      <c r="O884" s="82"/>
      <c r="P884" s="70"/>
      <c r="Q884" s="70"/>
      <c r="R884" s="70"/>
      <c r="S884" s="70"/>
    </row>
    <row r="885" ht="15.75" customHeight="1">
      <c r="B885" s="78"/>
      <c r="C885" s="79"/>
      <c r="D885" s="79"/>
      <c r="E885" s="80"/>
      <c r="F885" s="81"/>
      <c r="G885" s="79"/>
      <c r="H885" s="79"/>
      <c r="I885" s="79"/>
      <c r="J885" s="79"/>
      <c r="K885" s="79"/>
      <c r="L885" s="79"/>
      <c r="M885" s="79"/>
      <c r="N885" s="50"/>
      <c r="O885" s="82"/>
      <c r="P885" s="70"/>
      <c r="Q885" s="70"/>
      <c r="R885" s="70"/>
      <c r="S885" s="70"/>
    </row>
    <row r="886" ht="15.75" customHeight="1">
      <c r="B886" s="78"/>
      <c r="C886" s="79"/>
      <c r="D886" s="79"/>
      <c r="E886" s="80"/>
      <c r="F886" s="81"/>
      <c r="G886" s="79"/>
      <c r="H886" s="79"/>
      <c r="I886" s="79"/>
      <c r="J886" s="79"/>
      <c r="K886" s="79"/>
      <c r="L886" s="79"/>
      <c r="M886" s="79"/>
      <c r="N886" s="50"/>
      <c r="O886" s="82"/>
      <c r="P886" s="70"/>
      <c r="Q886" s="70"/>
      <c r="R886" s="70"/>
      <c r="S886" s="70"/>
    </row>
    <row r="887" ht="15.75" customHeight="1">
      <c r="B887" s="78"/>
      <c r="C887" s="79"/>
      <c r="D887" s="79"/>
      <c r="E887" s="80"/>
      <c r="F887" s="81"/>
      <c r="G887" s="79"/>
      <c r="H887" s="79"/>
      <c r="I887" s="79"/>
      <c r="J887" s="79"/>
      <c r="K887" s="79"/>
      <c r="L887" s="79"/>
      <c r="M887" s="79"/>
      <c r="N887" s="50"/>
      <c r="O887" s="82"/>
      <c r="P887" s="70"/>
      <c r="Q887" s="70"/>
      <c r="R887" s="70"/>
      <c r="S887" s="70"/>
    </row>
    <row r="888" ht="15.75" customHeight="1">
      <c r="B888" s="78"/>
      <c r="C888" s="79"/>
      <c r="D888" s="79"/>
      <c r="E888" s="80"/>
      <c r="F888" s="81"/>
      <c r="G888" s="79"/>
      <c r="H888" s="79"/>
      <c r="I888" s="79"/>
      <c r="J888" s="79"/>
      <c r="K888" s="79"/>
      <c r="L888" s="79"/>
      <c r="M888" s="79"/>
      <c r="N888" s="50"/>
      <c r="O888" s="82"/>
      <c r="P888" s="70"/>
      <c r="Q888" s="70"/>
      <c r="R888" s="70"/>
      <c r="S888" s="70"/>
    </row>
    <row r="889" ht="15.75" customHeight="1">
      <c r="B889" s="78"/>
      <c r="C889" s="79"/>
      <c r="D889" s="79"/>
      <c r="E889" s="80"/>
      <c r="F889" s="81"/>
      <c r="G889" s="79"/>
      <c r="H889" s="79"/>
      <c r="I889" s="79"/>
      <c r="J889" s="79"/>
      <c r="K889" s="79"/>
      <c r="L889" s="79"/>
      <c r="M889" s="79"/>
      <c r="N889" s="50"/>
      <c r="O889" s="82"/>
      <c r="P889" s="70"/>
      <c r="Q889" s="70"/>
      <c r="R889" s="70"/>
      <c r="S889" s="70"/>
    </row>
    <row r="890" ht="15.75" customHeight="1">
      <c r="B890" s="78"/>
      <c r="C890" s="79"/>
      <c r="D890" s="79"/>
      <c r="E890" s="80"/>
      <c r="F890" s="81"/>
      <c r="G890" s="79"/>
      <c r="H890" s="79"/>
      <c r="I890" s="79"/>
      <c r="J890" s="79"/>
      <c r="K890" s="79"/>
      <c r="L890" s="79"/>
      <c r="M890" s="79"/>
      <c r="N890" s="50"/>
      <c r="O890" s="82"/>
      <c r="P890" s="70"/>
      <c r="Q890" s="70"/>
      <c r="R890" s="70"/>
      <c r="S890" s="70"/>
    </row>
    <row r="891" ht="15.75" customHeight="1">
      <c r="B891" s="78"/>
      <c r="C891" s="79"/>
      <c r="D891" s="79"/>
      <c r="E891" s="80"/>
      <c r="F891" s="81"/>
      <c r="G891" s="79"/>
      <c r="H891" s="79"/>
      <c r="I891" s="79"/>
      <c r="J891" s="79"/>
      <c r="K891" s="79"/>
      <c r="L891" s="79"/>
      <c r="M891" s="79"/>
      <c r="N891" s="50"/>
      <c r="O891" s="82"/>
      <c r="P891" s="70"/>
      <c r="Q891" s="70"/>
      <c r="R891" s="70"/>
      <c r="S891" s="70"/>
    </row>
    <row r="892" ht="15.75" customHeight="1">
      <c r="B892" s="78"/>
      <c r="C892" s="79"/>
      <c r="D892" s="79"/>
      <c r="E892" s="80"/>
      <c r="F892" s="81"/>
      <c r="G892" s="79"/>
      <c r="H892" s="79"/>
      <c r="I892" s="79"/>
      <c r="J892" s="79"/>
      <c r="K892" s="79"/>
      <c r="L892" s="79"/>
      <c r="M892" s="79"/>
      <c r="N892" s="50"/>
      <c r="O892" s="82"/>
      <c r="P892" s="70"/>
      <c r="Q892" s="70"/>
      <c r="R892" s="70"/>
      <c r="S892" s="70"/>
    </row>
    <row r="893" ht="15.75" customHeight="1">
      <c r="B893" s="78"/>
      <c r="C893" s="79"/>
      <c r="D893" s="79"/>
      <c r="E893" s="80"/>
      <c r="F893" s="81"/>
      <c r="G893" s="79"/>
      <c r="H893" s="79"/>
      <c r="I893" s="79"/>
      <c r="J893" s="79"/>
      <c r="K893" s="79"/>
      <c r="L893" s="79"/>
      <c r="M893" s="79"/>
      <c r="N893" s="50"/>
      <c r="O893" s="82"/>
      <c r="P893" s="70"/>
      <c r="Q893" s="70"/>
      <c r="R893" s="70"/>
      <c r="S893" s="70"/>
    </row>
    <row r="894" ht="15.75" customHeight="1">
      <c r="B894" s="78"/>
      <c r="C894" s="79"/>
      <c r="D894" s="79"/>
      <c r="E894" s="80"/>
      <c r="F894" s="81"/>
      <c r="G894" s="79"/>
      <c r="H894" s="79"/>
      <c r="I894" s="79"/>
      <c r="J894" s="79"/>
      <c r="K894" s="79"/>
      <c r="L894" s="79"/>
      <c r="M894" s="79"/>
      <c r="N894" s="50"/>
      <c r="O894" s="82"/>
      <c r="P894" s="70"/>
      <c r="Q894" s="70"/>
      <c r="R894" s="70"/>
      <c r="S894" s="70"/>
    </row>
    <row r="895" ht="15.75" customHeight="1">
      <c r="B895" s="78"/>
      <c r="C895" s="79"/>
      <c r="D895" s="79"/>
      <c r="E895" s="80"/>
      <c r="F895" s="81"/>
      <c r="G895" s="79"/>
      <c r="H895" s="79"/>
      <c r="I895" s="79"/>
      <c r="J895" s="79"/>
      <c r="K895" s="79"/>
      <c r="L895" s="79"/>
      <c r="M895" s="79"/>
      <c r="N895" s="50"/>
      <c r="O895" s="82"/>
      <c r="P895" s="70"/>
      <c r="Q895" s="70"/>
      <c r="R895" s="70"/>
      <c r="S895" s="70"/>
    </row>
    <row r="896" ht="15.75" customHeight="1">
      <c r="B896" s="78"/>
      <c r="C896" s="79"/>
      <c r="D896" s="79"/>
      <c r="E896" s="80"/>
      <c r="F896" s="81"/>
      <c r="G896" s="79"/>
      <c r="H896" s="79"/>
      <c r="I896" s="79"/>
      <c r="J896" s="79"/>
      <c r="K896" s="79"/>
      <c r="L896" s="79"/>
      <c r="M896" s="79"/>
      <c r="N896" s="50"/>
      <c r="O896" s="82"/>
      <c r="P896" s="70"/>
      <c r="Q896" s="70"/>
      <c r="R896" s="70"/>
      <c r="S896" s="70"/>
    </row>
    <row r="897" ht="15.75" customHeight="1">
      <c r="B897" s="78"/>
      <c r="C897" s="79"/>
      <c r="D897" s="79"/>
      <c r="E897" s="80"/>
      <c r="F897" s="81"/>
      <c r="G897" s="79"/>
      <c r="H897" s="79"/>
      <c r="I897" s="79"/>
      <c r="J897" s="79"/>
      <c r="K897" s="79"/>
      <c r="L897" s="79"/>
      <c r="M897" s="79"/>
      <c r="N897" s="50"/>
      <c r="O897" s="82"/>
      <c r="P897" s="70"/>
      <c r="Q897" s="70"/>
      <c r="R897" s="70"/>
      <c r="S897" s="70"/>
    </row>
    <row r="898" ht="15.75" customHeight="1">
      <c r="B898" s="78"/>
      <c r="C898" s="79"/>
      <c r="D898" s="79"/>
      <c r="E898" s="80"/>
      <c r="F898" s="81"/>
      <c r="G898" s="79"/>
      <c r="H898" s="79"/>
      <c r="I898" s="79"/>
      <c r="J898" s="79"/>
      <c r="K898" s="79"/>
      <c r="L898" s="79"/>
      <c r="M898" s="79"/>
      <c r="N898" s="50"/>
      <c r="O898" s="82"/>
      <c r="P898" s="70"/>
      <c r="Q898" s="70"/>
      <c r="R898" s="70"/>
      <c r="S898" s="70"/>
    </row>
    <row r="899" ht="15.75" customHeight="1">
      <c r="B899" s="78"/>
      <c r="C899" s="79"/>
      <c r="D899" s="79"/>
      <c r="E899" s="80"/>
      <c r="F899" s="81"/>
      <c r="G899" s="79"/>
      <c r="H899" s="79"/>
      <c r="I899" s="79"/>
      <c r="J899" s="79"/>
      <c r="K899" s="79"/>
      <c r="L899" s="79"/>
      <c r="M899" s="79"/>
      <c r="N899" s="50"/>
      <c r="O899" s="82"/>
      <c r="P899" s="70"/>
      <c r="Q899" s="70"/>
      <c r="R899" s="70"/>
      <c r="S899" s="70"/>
    </row>
    <row r="900" ht="15.75" customHeight="1">
      <c r="B900" s="78"/>
      <c r="C900" s="79"/>
      <c r="D900" s="79"/>
      <c r="E900" s="80"/>
      <c r="F900" s="81"/>
      <c r="G900" s="79"/>
      <c r="H900" s="79"/>
      <c r="I900" s="79"/>
      <c r="J900" s="79"/>
      <c r="K900" s="79"/>
      <c r="L900" s="79"/>
      <c r="M900" s="79"/>
      <c r="N900" s="50"/>
      <c r="O900" s="82"/>
      <c r="P900" s="70"/>
      <c r="Q900" s="70"/>
      <c r="R900" s="70"/>
      <c r="S900" s="70"/>
    </row>
    <row r="901" ht="15.75" customHeight="1">
      <c r="B901" s="78"/>
      <c r="C901" s="79"/>
      <c r="D901" s="79"/>
      <c r="E901" s="80"/>
      <c r="F901" s="81"/>
      <c r="G901" s="79"/>
      <c r="H901" s="79"/>
      <c r="I901" s="79"/>
      <c r="J901" s="79"/>
      <c r="K901" s="79"/>
      <c r="L901" s="79"/>
      <c r="M901" s="79"/>
      <c r="N901" s="50"/>
      <c r="O901" s="82"/>
      <c r="P901" s="70"/>
      <c r="Q901" s="70"/>
      <c r="R901" s="70"/>
      <c r="S901" s="70"/>
    </row>
    <row r="902" ht="15.75" customHeight="1">
      <c r="B902" s="78"/>
      <c r="C902" s="79"/>
      <c r="D902" s="79"/>
      <c r="E902" s="80"/>
      <c r="F902" s="81"/>
      <c r="G902" s="79"/>
      <c r="H902" s="79"/>
      <c r="I902" s="79"/>
      <c r="J902" s="79"/>
      <c r="K902" s="79"/>
      <c r="L902" s="79"/>
      <c r="M902" s="79"/>
      <c r="N902" s="50"/>
      <c r="O902" s="82"/>
      <c r="P902" s="70"/>
      <c r="Q902" s="70"/>
      <c r="R902" s="70"/>
      <c r="S902" s="70"/>
    </row>
    <row r="903" ht="15.75" customHeight="1">
      <c r="B903" s="78"/>
      <c r="C903" s="79"/>
      <c r="D903" s="79"/>
      <c r="E903" s="80"/>
      <c r="F903" s="81"/>
      <c r="G903" s="79"/>
      <c r="H903" s="79"/>
      <c r="I903" s="79"/>
      <c r="J903" s="79"/>
      <c r="K903" s="79"/>
      <c r="L903" s="79"/>
      <c r="M903" s="79"/>
      <c r="N903" s="50"/>
      <c r="O903" s="82"/>
      <c r="P903" s="70"/>
      <c r="Q903" s="70"/>
      <c r="R903" s="70"/>
      <c r="S903" s="70"/>
    </row>
    <row r="904" ht="15.75" customHeight="1">
      <c r="B904" s="78"/>
      <c r="C904" s="79"/>
      <c r="D904" s="79"/>
      <c r="E904" s="80"/>
      <c r="F904" s="81"/>
      <c r="G904" s="79"/>
      <c r="H904" s="79"/>
      <c r="I904" s="79"/>
      <c r="J904" s="79"/>
      <c r="K904" s="79"/>
      <c r="L904" s="79"/>
      <c r="M904" s="79"/>
      <c r="N904" s="50"/>
      <c r="O904" s="82"/>
      <c r="P904" s="70"/>
      <c r="Q904" s="70"/>
      <c r="R904" s="70"/>
      <c r="S904" s="70"/>
    </row>
    <row r="905" ht="15.75" customHeight="1">
      <c r="B905" s="78"/>
      <c r="C905" s="79"/>
      <c r="D905" s="79"/>
      <c r="E905" s="80"/>
      <c r="F905" s="81"/>
      <c r="G905" s="79"/>
      <c r="H905" s="79"/>
      <c r="I905" s="79"/>
      <c r="J905" s="79"/>
      <c r="K905" s="79"/>
      <c r="L905" s="79"/>
      <c r="M905" s="79"/>
      <c r="N905" s="50"/>
      <c r="O905" s="82"/>
      <c r="P905" s="70"/>
      <c r="Q905" s="70"/>
      <c r="R905" s="70"/>
      <c r="S905" s="70"/>
    </row>
    <row r="906" ht="15.75" customHeight="1">
      <c r="B906" s="78"/>
      <c r="C906" s="79"/>
      <c r="D906" s="79"/>
      <c r="E906" s="80"/>
      <c r="F906" s="81"/>
      <c r="G906" s="79"/>
      <c r="H906" s="79"/>
      <c r="I906" s="79"/>
      <c r="J906" s="79"/>
      <c r="K906" s="79"/>
      <c r="L906" s="79"/>
      <c r="M906" s="79"/>
      <c r="N906" s="50"/>
      <c r="O906" s="82"/>
      <c r="P906" s="70"/>
      <c r="Q906" s="70"/>
      <c r="R906" s="70"/>
      <c r="S906" s="70"/>
    </row>
    <row r="907" ht="15.75" customHeight="1">
      <c r="B907" s="78"/>
      <c r="C907" s="79"/>
      <c r="D907" s="79"/>
      <c r="E907" s="80"/>
      <c r="F907" s="81"/>
      <c r="G907" s="79"/>
      <c r="H907" s="79"/>
      <c r="I907" s="79"/>
      <c r="J907" s="79"/>
      <c r="K907" s="79"/>
      <c r="L907" s="79"/>
      <c r="M907" s="79"/>
      <c r="N907" s="50"/>
      <c r="O907" s="82"/>
      <c r="P907" s="70"/>
      <c r="Q907" s="70"/>
      <c r="R907" s="70"/>
      <c r="S907" s="70"/>
    </row>
    <row r="908" ht="15.75" customHeight="1">
      <c r="B908" s="78"/>
      <c r="C908" s="79"/>
      <c r="D908" s="79"/>
      <c r="E908" s="80"/>
      <c r="F908" s="81"/>
      <c r="G908" s="79"/>
      <c r="H908" s="79"/>
      <c r="I908" s="79"/>
      <c r="J908" s="79"/>
      <c r="K908" s="79"/>
      <c r="L908" s="79"/>
      <c r="M908" s="79"/>
      <c r="N908" s="50"/>
      <c r="O908" s="82"/>
      <c r="P908" s="70"/>
      <c r="Q908" s="70"/>
      <c r="R908" s="70"/>
      <c r="S908" s="70"/>
    </row>
    <row r="909" ht="15.75" customHeight="1">
      <c r="B909" s="78"/>
      <c r="C909" s="79"/>
      <c r="D909" s="79"/>
      <c r="E909" s="80"/>
      <c r="F909" s="81"/>
      <c r="G909" s="79"/>
      <c r="H909" s="79"/>
      <c r="I909" s="79"/>
      <c r="J909" s="79"/>
      <c r="K909" s="79"/>
      <c r="L909" s="79"/>
      <c r="M909" s="79"/>
      <c r="N909" s="50"/>
      <c r="O909" s="82"/>
      <c r="P909" s="70"/>
      <c r="Q909" s="70"/>
      <c r="R909" s="70"/>
      <c r="S909" s="70"/>
    </row>
    <row r="910" ht="15.75" customHeight="1">
      <c r="B910" s="78"/>
      <c r="C910" s="79"/>
      <c r="D910" s="79"/>
      <c r="E910" s="80"/>
      <c r="F910" s="81"/>
      <c r="G910" s="79"/>
      <c r="H910" s="79"/>
      <c r="I910" s="79"/>
      <c r="J910" s="79"/>
      <c r="K910" s="79"/>
      <c r="L910" s="79"/>
      <c r="M910" s="79"/>
      <c r="N910" s="50"/>
      <c r="O910" s="82"/>
      <c r="P910" s="70"/>
      <c r="Q910" s="70"/>
      <c r="R910" s="70"/>
      <c r="S910" s="70"/>
    </row>
    <row r="911" ht="15.75" customHeight="1">
      <c r="B911" s="78"/>
      <c r="C911" s="79"/>
      <c r="D911" s="79"/>
      <c r="E911" s="80"/>
      <c r="F911" s="81"/>
      <c r="G911" s="79"/>
      <c r="H911" s="79"/>
      <c r="I911" s="79"/>
      <c r="J911" s="79"/>
      <c r="K911" s="79"/>
      <c r="L911" s="79"/>
      <c r="M911" s="79"/>
      <c r="N911" s="50"/>
      <c r="O911" s="82"/>
      <c r="P911" s="70"/>
      <c r="Q911" s="70"/>
      <c r="R911" s="70"/>
      <c r="S911" s="70"/>
    </row>
    <row r="912" ht="15.75" customHeight="1">
      <c r="B912" s="78"/>
      <c r="C912" s="79"/>
      <c r="D912" s="79"/>
      <c r="E912" s="80"/>
      <c r="F912" s="81"/>
      <c r="G912" s="79"/>
      <c r="H912" s="79"/>
      <c r="I912" s="79"/>
      <c r="J912" s="79"/>
      <c r="K912" s="79"/>
      <c r="L912" s="79"/>
      <c r="M912" s="79"/>
      <c r="N912" s="50"/>
      <c r="O912" s="82"/>
      <c r="P912" s="70"/>
      <c r="Q912" s="70"/>
      <c r="R912" s="70"/>
      <c r="S912" s="70"/>
    </row>
    <row r="913" ht="15.75" customHeight="1">
      <c r="B913" s="78"/>
      <c r="C913" s="79"/>
      <c r="D913" s="79"/>
      <c r="E913" s="80"/>
      <c r="F913" s="81"/>
      <c r="G913" s="79"/>
      <c r="H913" s="79"/>
      <c r="I913" s="79"/>
      <c r="J913" s="79"/>
      <c r="K913" s="79"/>
      <c r="L913" s="79"/>
      <c r="M913" s="79"/>
      <c r="N913" s="50"/>
      <c r="O913" s="82"/>
      <c r="P913" s="70"/>
      <c r="Q913" s="70"/>
      <c r="R913" s="70"/>
      <c r="S913" s="70"/>
    </row>
    <row r="914" ht="15.75" customHeight="1">
      <c r="B914" s="78"/>
      <c r="C914" s="79"/>
      <c r="D914" s="79"/>
      <c r="E914" s="80"/>
      <c r="F914" s="81"/>
      <c r="G914" s="79"/>
      <c r="H914" s="79"/>
      <c r="I914" s="79"/>
      <c r="J914" s="79"/>
      <c r="K914" s="79"/>
      <c r="L914" s="79"/>
      <c r="M914" s="79"/>
      <c r="N914" s="50"/>
      <c r="O914" s="82"/>
      <c r="P914" s="70"/>
      <c r="Q914" s="70"/>
      <c r="R914" s="70"/>
      <c r="S914" s="70"/>
    </row>
    <row r="915" ht="15.75" customHeight="1">
      <c r="B915" s="78"/>
      <c r="C915" s="79"/>
      <c r="D915" s="79"/>
      <c r="E915" s="80"/>
      <c r="F915" s="81"/>
      <c r="G915" s="79"/>
      <c r="H915" s="79"/>
      <c r="I915" s="79"/>
      <c r="J915" s="79"/>
      <c r="K915" s="79"/>
      <c r="L915" s="79"/>
      <c r="M915" s="79"/>
      <c r="N915" s="50"/>
      <c r="O915" s="82"/>
      <c r="P915" s="70"/>
      <c r="Q915" s="70"/>
      <c r="R915" s="70"/>
      <c r="S915" s="70"/>
    </row>
    <row r="916" ht="15.75" customHeight="1">
      <c r="B916" s="78"/>
      <c r="C916" s="79"/>
      <c r="D916" s="79"/>
      <c r="E916" s="80"/>
      <c r="F916" s="81"/>
      <c r="G916" s="79"/>
      <c r="H916" s="79"/>
      <c r="I916" s="79"/>
      <c r="J916" s="79"/>
      <c r="K916" s="79"/>
      <c r="L916" s="79"/>
      <c r="M916" s="79"/>
      <c r="N916" s="50"/>
      <c r="O916" s="82"/>
      <c r="P916" s="70"/>
      <c r="Q916" s="70"/>
      <c r="R916" s="70"/>
      <c r="S916" s="70"/>
    </row>
    <row r="917" ht="15.75" customHeight="1">
      <c r="B917" s="78"/>
      <c r="C917" s="79"/>
      <c r="D917" s="79"/>
      <c r="E917" s="80"/>
      <c r="F917" s="81"/>
      <c r="G917" s="79"/>
      <c r="H917" s="79"/>
      <c r="I917" s="79"/>
      <c r="J917" s="79"/>
      <c r="K917" s="79"/>
      <c r="L917" s="79"/>
      <c r="M917" s="79"/>
      <c r="N917" s="50"/>
      <c r="O917" s="82"/>
      <c r="P917" s="70"/>
      <c r="Q917" s="70"/>
      <c r="R917" s="70"/>
      <c r="S917" s="70"/>
    </row>
    <row r="918" ht="15.75" customHeight="1">
      <c r="B918" s="78"/>
      <c r="C918" s="79"/>
      <c r="D918" s="79"/>
      <c r="E918" s="80"/>
      <c r="F918" s="81"/>
      <c r="G918" s="79"/>
      <c r="H918" s="79"/>
      <c r="I918" s="79"/>
      <c r="J918" s="79"/>
      <c r="K918" s="79"/>
      <c r="L918" s="79"/>
      <c r="M918" s="79"/>
      <c r="N918" s="50"/>
      <c r="O918" s="82"/>
      <c r="P918" s="70"/>
      <c r="Q918" s="70"/>
      <c r="R918" s="70"/>
      <c r="S918" s="70"/>
    </row>
    <row r="919" ht="15.75" customHeight="1">
      <c r="B919" s="78"/>
      <c r="C919" s="79"/>
      <c r="D919" s="79"/>
      <c r="E919" s="80"/>
      <c r="F919" s="81"/>
      <c r="G919" s="79"/>
      <c r="H919" s="79"/>
      <c r="I919" s="79"/>
      <c r="J919" s="79"/>
      <c r="K919" s="79"/>
      <c r="L919" s="79"/>
      <c r="M919" s="79"/>
      <c r="N919" s="50"/>
      <c r="O919" s="82"/>
      <c r="P919" s="70"/>
      <c r="Q919" s="70"/>
      <c r="R919" s="70"/>
      <c r="S919" s="70"/>
    </row>
    <row r="920" ht="15.75" customHeight="1">
      <c r="B920" s="78"/>
      <c r="C920" s="79"/>
      <c r="D920" s="79"/>
      <c r="E920" s="80"/>
      <c r="F920" s="81"/>
      <c r="G920" s="79"/>
      <c r="H920" s="79"/>
      <c r="I920" s="79"/>
      <c r="J920" s="79"/>
      <c r="K920" s="79"/>
      <c r="L920" s="79"/>
      <c r="M920" s="79"/>
      <c r="N920" s="50"/>
      <c r="O920" s="82"/>
      <c r="P920" s="70"/>
      <c r="Q920" s="70"/>
      <c r="R920" s="70"/>
      <c r="S920" s="70"/>
    </row>
    <row r="921" ht="15.75" customHeight="1">
      <c r="B921" s="78"/>
      <c r="C921" s="79"/>
      <c r="D921" s="79"/>
      <c r="E921" s="80"/>
      <c r="F921" s="81"/>
      <c r="G921" s="79"/>
      <c r="H921" s="79"/>
      <c r="I921" s="79"/>
      <c r="J921" s="79"/>
      <c r="K921" s="79"/>
      <c r="L921" s="79"/>
      <c r="M921" s="79"/>
      <c r="N921" s="50"/>
      <c r="O921" s="82"/>
      <c r="P921" s="70"/>
      <c r="Q921" s="70"/>
      <c r="R921" s="70"/>
      <c r="S921" s="70"/>
    </row>
    <row r="922" ht="15.75" customHeight="1">
      <c r="B922" s="78"/>
      <c r="C922" s="79"/>
      <c r="D922" s="79"/>
      <c r="E922" s="80"/>
      <c r="F922" s="81"/>
      <c r="G922" s="79"/>
      <c r="H922" s="79"/>
      <c r="I922" s="79"/>
      <c r="J922" s="79"/>
      <c r="K922" s="79"/>
      <c r="L922" s="79"/>
      <c r="M922" s="79"/>
      <c r="N922" s="50"/>
      <c r="O922" s="82"/>
      <c r="P922" s="70"/>
      <c r="Q922" s="70"/>
      <c r="R922" s="70"/>
      <c r="S922" s="70"/>
    </row>
    <row r="923" ht="15.75" customHeight="1">
      <c r="B923" s="78"/>
      <c r="C923" s="79"/>
      <c r="D923" s="79"/>
      <c r="E923" s="80"/>
      <c r="F923" s="81"/>
      <c r="G923" s="79"/>
      <c r="H923" s="79"/>
      <c r="I923" s="79"/>
      <c r="J923" s="79"/>
      <c r="K923" s="79"/>
      <c r="L923" s="79"/>
      <c r="M923" s="79"/>
      <c r="N923" s="50"/>
      <c r="O923" s="82"/>
      <c r="P923" s="70"/>
      <c r="Q923" s="70"/>
      <c r="R923" s="70"/>
      <c r="S923" s="70"/>
    </row>
    <row r="924" ht="15.75" customHeight="1">
      <c r="B924" s="78"/>
      <c r="C924" s="79"/>
      <c r="D924" s="79"/>
      <c r="E924" s="80"/>
      <c r="F924" s="81"/>
      <c r="G924" s="79"/>
      <c r="H924" s="79"/>
      <c r="I924" s="79"/>
      <c r="J924" s="79"/>
      <c r="K924" s="79"/>
      <c r="L924" s="79"/>
      <c r="M924" s="79"/>
      <c r="N924" s="50"/>
      <c r="O924" s="82"/>
      <c r="P924" s="70"/>
      <c r="Q924" s="70"/>
      <c r="R924" s="70"/>
      <c r="S924" s="70"/>
    </row>
    <row r="925" ht="15.75" customHeight="1">
      <c r="B925" s="78"/>
      <c r="C925" s="79"/>
      <c r="D925" s="79"/>
      <c r="E925" s="80"/>
      <c r="F925" s="81"/>
      <c r="G925" s="79"/>
      <c r="H925" s="79"/>
      <c r="I925" s="79"/>
      <c r="J925" s="79"/>
      <c r="K925" s="79"/>
      <c r="L925" s="79"/>
      <c r="M925" s="79"/>
      <c r="N925" s="50"/>
      <c r="O925" s="82"/>
      <c r="P925" s="70"/>
      <c r="Q925" s="70"/>
      <c r="R925" s="70"/>
      <c r="S925" s="70"/>
    </row>
    <row r="926" ht="15.75" customHeight="1">
      <c r="B926" s="78"/>
      <c r="C926" s="79"/>
      <c r="D926" s="79"/>
      <c r="E926" s="80"/>
      <c r="F926" s="81"/>
      <c r="G926" s="79"/>
      <c r="H926" s="79"/>
      <c r="I926" s="79"/>
      <c r="J926" s="79"/>
      <c r="K926" s="79"/>
      <c r="L926" s="79"/>
      <c r="M926" s="79"/>
      <c r="N926" s="50"/>
      <c r="O926" s="82"/>
      <c r="P926" s="70"/>
      <c r="Q926" s="70"/>
      <c r="R926" s="70"/>
      <c r="S926" s="70"/>
    </row>
    <row r="927" ht="15.75" customHeight="1">
      <c r="B927" s="78"/>
      <c r="C927" s="79"/>
      <c r="D927" s="79"/>
      <c r="E927" s="80"/>
      <c r="F927" s="81"/>
      <c r="G927" s="79"/>
      <c r="H927" s="79"/>
      <c r="I927" s="79"/>
      <c r="J927" s="79"/>
      <c r="K927" s="79"/>
      <c r="L927" s="79"/>
      <c r="M927" s="79"/>
      <c r="N927" s="50"/>
      <c r="O927" s="82"/>
      <c r="P927" s="70"/>
      <c r="Q927" s="70"/>
      <c r="R927" s="70"/>
      <c r="S927" s="70"/>
    </row>
    <row r="928" ht="15.75" customHeight="1">
      <c r="B928" s="78"/>
      <c r="C928" s="79"/>
      <c r="D928" s="79"/>
      <c r="E928" s="80"/>
      <c r="F928" s="81"/>
      <c r="G928" s="79"/>
      <c r="H928" s="79"/>
      <c r="I928" s="79"/>
      <c r="J928" s="79"/>
      <c r="K928" s="79"/>
      <c r="L928" s="79"/>
      <c r="M928" s="79"/>
      <c r="N928" s="50"/>
      <c r="O928" s="82"/>
      <c r="P928" s="70"/>
      <c r="Q928" s="70"/>
      <c r="R928" s="70"/>
      <c r="S928" s="70"/>
    </row>
    <row r="929" ht="15.75" customHeight="1">
      <c r="B929" s="78"/>
      <c r="C929" s="79"/>
      <c r="D929" s="79"/>
      <c r="E929" s="80"/>
      <c r="F929" s="81"/>
      <c r="G929" s="79"/>
      <c r="H929" s="79"/>
      <c r="I929" s="79"/>
      <c r="J929" s="79"/>
      <c r="K929" s="79"/>
      <c r="L929" s="79"/>
      <c r="M929" s="79"/>
      <c r="N929" s="50"/>
      <c r="O929" s="82"/>
      <c r="P929" s="70"/>
      <c r="Q929" s="70"/>
      <c r="R929" s="70"/>
      <c r="S929" s="70"/>
    </row>
    <row r="930" ht="15.75" customHeight="1">
      <c r="B930" s="78"/>
      <c r="C930" s="79"/>
      <c r="D930" s="79"/>
      <c r="E930" s="80"/>
      <c r="F930" s="81"/>
      <c r="G930" s="79"/>
      <c r="H930" s="79"/>
      <c r="I930" s="79"/>
      <c r="J930" s="79"/>
      <c r="K930" s="79"/>
      <c r="L930" s="79"/>
      <c r="M930" s="79"/>
      <c r="N930" s="50"/>
      <c r="O930" s="82"/>
      <c r="P930" s="70"/>
      <c r="Q930" s="70"/>
      <c r="R930" s="70"/>
      <c r="S930" s="70"/>
    </row>
    <row r="931" ht="15.75" customHeight="1">
      <c r="B931" s="78"/>
      <c r="C931" s="79"/>
      <c r="D931" s="79"/>
      <c r="E931" s="80"/>
      <c r="F931" s="81"/>
      <c r="G931" s="79"/>
      <c r="H931" s="79"/>
      <c r="I931" s="79"/>
      <c r="J931" s="79"/>
      <c r="K931" s="79"/>
      <c r="L931" s="79"/>
      <c r="M931" s="79"/>
      <c r="N931" s="50"/>
      <c r="O931" s="82"/>
      <c r="P931" s="70"/>
      <c r="Q931" s="70"/>
      <c r="R931" s="70"/>
      <c r="S931" s="70"/>
    </row>
    <row r="932" ht="15.75" customHeight="1">
      <c r="B932" s="78"/>
      <c r="C932" s="79"/>
      <c r="D932" s="79"/>
      <c r="E932" s="80"/>
      <c r="F932" s="81"/>
      <c r="G932" s="79"/>
      <c r="H932" s="79"/>
      <c r="I932" s="79"/>
      <c r="J932" s="79"/>
      <c r="K932" s="79"/>
      <c r="L932" s="79"/>
      <c r="M932" s="79"/>
      <c r="N932" s="50"/>
      <c r="O932" s="82"/>
      <c r="P932" s="70"/>
      <c r="Q932" s="70"/>
      <c r="R932" s="70"/>
      <c r="S932" s="70"/>
    </row>
    <row r="933" ht="15.75" customHeight="1">
      <c r="B933" s="78"/>
      <c r="C933" s="79"/>
      <c r="D933" s="79"/>
      <c r="E933" s="80"/>
      <c r="F933" s="81"/>
      <c r="G933" s="79"/>
      <c r="H933" s="79"/>
      <c r="I933" s="79"/>
      <c r="J933" s="79"/>
      <c r="K933" s="79"/>
      <c r="L933" s="79"/>
      <c r="M933" s="79"/>
      <c r="N933" s="50"/>
      <c r="O933" s="82"/>
      <c r="P933" s="70"/>
      <c r="Q933" s="70"/>
      <c r="R933" s="70"/>
      <c r="S933" s="70"/>
    </row>
    <row r="934" ht="15.75" customHeight="1">
      <c r="B934" s="78"/>
      <c r="C934" s="79"/>
      <c r="D934" s="79"/>
      <c r="E934" s="80"/>
      <c r="F934" s="81"/>
      <c r="G934" s="79"/>
      <c r="H934" s="79"/>
      <c r="I934" s="79"/>
      <c r="J934" s="79"/>
      <c r="K934" s="79"/>
      <c r="L934" s="79"/>
      <c r="M934" s="79"/>
      <c r="N934" s="50"/>
      <c r="O934" s="82"/>
      <c r="P934" s="70"/>
      <c r="Q934" s="70"/>
      <c r="R934" s="70"/>
      <c r="S934" s="70"/>
    </row>
    <row r="935" ht="15.75" customHeight="1">
      <c r="B935" s="78"/>
      <c r="C935" s="79"/>
      <c r="D935" s="79"/>
      <c r="E935" s="80"/>
      <c r="F935" s="81"/>
      <c r="G935" s="79"/>
      <c r="H935" s="79"/>
      <c r="I935" s="79"/>
      <c r="J935" s="79"/>
      <c r="K935" s="79"/>
      <c r="L935" s="79"/>
      <c r="M935" s="79"/>
      <c r="N935" s="50"/>
      <c r="O935" s="82"/>
      <c r="P935" s="70"/>
      <c r="Q935" s="70"/>
      <c r="R935" s="70"/>
      <c r="S935" s="70"/>
    </row>
    <row r="936" ht="15.75" customHeight="1">
      <c r="B936" s="78"/>
      <c r="C936" s="79"/>
      <c r="D936" s="79"/>
      <c r="E936" s="80"/>
      <c r="F936" s="81"/>
      <c r="G936" s="79"/>
      <c r="H936" s="79"/>
      <c r="I936" s="79"/>
      <c r="J936" s="79"/>
      <c r="K936" s="79"/>
      <c r="L936" s="79"/>
      <c r="M936" s="79"/>
      <c r="N936" s="50"/>
      <c r="O936" s="82"/>
      <c r="P936" s="70"/>
      <c r="Q936" s="70"/>
      <c r="R936" s="70"/>
      <c r="S936" s="70"/>
    </row>
    <row r="937" ht="15.75" customHeight="1">
      <c r="B937" s="78"/>
      <c r="C937" s="79"/>
      <c r="D937" s="79"/>
      <c r="E937" s="80"/>
      <c r="F937" s="81"/>
      <c r="G937" s="79"/>
      <c r="H937" s="79"/>
      <c r="I937" s="79"/>
      <c r="J937" s="79"/>
      <c r="K937" s="79"/>
      <c r="L937" s="79"/>
      <c r="M937" s="79"/>
      <c r="N937" s="50"/>
      <c r="O937" s="82"/>
      <c r="P937" s="70"/>
      <c r="Q937" s="70"/>
      <c r="R937" s="70"/>
      <c r="S937" s="70"/>
    </row>
    <row r="938" ht="15.75" customHeight="1">
      <c r="B938" s="78"/>
      <c r="C938" s="79"/>
      <c r="D938" s="79"/>
      <c r="E938" s="80"/>
      <c r="F938" s="81"/>
      <c r="G938" s="79"/>
      <c r="H938" s="79"/>
      <c r="I938" s="79"/>
      <c r="J938" s="79"/>
      <c r="K938" s="79"/>
      <c r="L938" s="79"/>
      <c r="M938" s="79"/>
      <c r="N938" s="50"/>
      <c r="O938" s="82"/>
      <c r="P938" s="70"/>
      <c r="Q938" s="70"/>
      <c r="R938" s="70"/>
      <c r="S938" s="70"/>
    </row>
    <row r="939" ht="15.75" customHeight="1">
      <c r="B939" s="78"/>
      <c r="C939" s="79"/>
      <c r="D939" s="79"/>
      <c r="E939" s="80"/>
      <c r="F939" s="81"/>
      <c r="G939" s="79"/>
      <c r="H939" s="79"/>
      <c r="I939" s="79"/>
      <c r="J939" s="79"/>
      <c r="K939" s="79"/>
      <c r="L939" s="79"/>
      <c r="M939" s="79"/>
      <c r="N939" s="50"/>
      <c r="O939" s="82"/>
      <c r="P939" s="70"/>
      <c r="Q939" s="70"/>
      <c r="R939" s="70"/>
      <c r="S939" s="70"/>
    </row>
    <row r="940" ht="15.75" customHeight="1">
      <c r="B940" s="78"/>
      <c r="C940" s="79"/>
      <c r="D940" s="79"/>
      <c r="E940" s="80"/>
      <c r="F940" s="81"/>
      <c r="G940" s="79"/>
      <c r="H940" s="79"/>
      <c r="I940" s="79"/>
      <c r="J940" s="79"/>
      <c r="K940" s="79"/>
      <c r="L940" s="79"/>
      <c r="M940" s="79"/>
      <c r="N940" s="50"/>
      <c r="O940" s="82"/>
      <c r="P940" s="70"/>
      <c r="Q940" s="70"/>
      <c r="R940" s="70"/>
      <c r="S940" s="70"/>
    </row>
    <row r="941" ht="15.75" customHeight="1">
      <c r="B941" s="78"/>
      <c r="C941" s="79"/>
      <c r="D941" s="79"/>
      <c r="E941" s="80"/>
      <c r="F941" s="81"/>
      <c r="G941" s="79"/>
      <c r="H941" s="79"/>
      <c r="I941" s="79"/>
      <c r="J941" s="79"/>
      <c r="K941" s="79"/>
      <c r="L941" s="79"/>
      <c r="M941" s="79"/>
      <c r="N941" s="50"/>
      <c r="O941" s="82"/>
      <c r="P941" s="70"/>
      <c r="Q941" s="70"/>
      <c r="R941" s="70"/>
      <c r="S941" s="70"/>
    </row>
    <row r="942" ht="15.75" customHeight="1">
      <c r="B942" s="78"/>
      <c r="C942" s="79"/>
      <c r="D942" s="79"/>
      <c r="E942" s="80"/>
      <c r="F942" s="81"/>
      <c r="G942" s="79"/>
      <c r="H942" s="79"/>
      <c r="I942" s="79"/>
      <c r="J942" s="79"/>
      <c r="K942" s="79"/>
      <c r="L942" s="79"/>
      <c r="M942" s="79"/>
      <c r="N942" s="50"/>
      <c r="O942" s="82"/>
      <c r="P942" s="70"/>
      <c r="Q942" s="70"/>
      <c r="R942" s="70"/>
      <c r="S942" s="70"/>
    </row>
    <row r="943" ht="15.75" customHeight="1">
      <c r="B943" s="78"/>
      <c r="C943" s="79"/>
      <c r="D943" s="79"/>
      <c r="E943" s="80"/>
      <c r="F943" s="81"/>
      <c r="G943" s="79"/>
      <c r="H943" s="79"/>
      <c r="I943" s="79"/>
      <c r="J943" s="79"/>
      <c r="K943" s="79"/>
      <c r="L943" s="79"/>
      <c r="M943" s="79"/>
      <c r="N943" s="50"/>
      <c r="O943" s="82"/>
      <c r="P943" s="70"/>
      <c r="Q943" s="70"/>
      <c r="R943" s="70"/>
      <c r="S943" s="70"/>
    </row>
    <row r="944" ht="15.75" customHeight="1">
      <c r="B944" s="78"/>
      <c r="C944" s="79"/>
      <c r="D944" s="79"/>
      <c r="E944" s="80"/>
      <c r="F944" s="81"/>
      <c r="G944" s="79"/>
      <c r="H944" s="79"/>
      <c r="I944" s="79"/>
      <c r="J944" s="79"/>
      <c r="K944" s="79"/>
      <c r="L944" s="79"/>
      <c r="M944" s="79"/>
      <c r="N944" s="50"/>
      <c r="O944" s="82"/>
      <c r="P944" s="70"/>
      <c r="Q944" s="70"/>
      <c r="R944" s="70"/>
      <c r="S944" s="70"/>
    </row>
    <row r="945" ht="15.75" customHeight="1">
      <c r="B945" s="78"/>
      <c r="C945" s="79"/>
      <c r="D945" s="79"/>
      <c r="E945" s="80"/>
      <c r="F945" s="81"/>
      <c r="G945" s="79"/>
      <c r="H945" s="79"/>
      <c r="I945" s="79"/>
      <c r="J945" s="79"/>
      <c r="K945" s="79"/>
      <c r="L945" s="79"/>
      <c r="M945" s="79"/>
      <c r="N945" s="50"/>
      <c r="O945" s="82"/>
      <c r="P945" s="70"/>
      <c r="Q945" s="70"/>
      <c r="R945" s="70"/>
      <c r="S945" s="70"/>
    </row>
    <row r="946" ht="15.75" customHeight="1">
      <c r="B946" s="78"/>
      <c r="C946" s="79"/>
      <c r="D946" s="79"/>
      <c r="E946" s="80"/>
      <c r="F946" s="81"/>
      <c r="G946" s="79"/>
      <c r="H946" s="79"/>
      <c r="I946" s="79"/>
      <c r="J946" s="79"/>
      <c r="K946" s="79"/>
      <c r="L946" s="79"/>
      <c r="M946" s="79"/>
      <c r="N946" s="50"/>
      <c r="O946" s="82"/>
      <c r="P946" s="70"/>
      <c r="Q946" s="70"/>
      <c r="R946" s="70"/>
      <c r="S946" s="70"/>
    </row>
    <row r="947" ht="15.75" customHeight="1">
      <c r="B947" s="78"/>
      <c r="C947" s="79"/>
      <c r="D947" s="79"/>
      <c r="E947" s="80"/>
      <c r="F947" s="81"/>
      <c r="G947" s="79"/>
      <c r="H947" s="79"/>
      <c r="I947" s="79"/>
      <c r="J947" s="79"/>
      <c r="K947" s="79"/>
      <c r="L947" s="79"/>
      <c r="M947" s="79"/>
      <c r="N947" s="50"/>
      <c r="O947" s="82"/>
      <c r="P947" s="70"/>
      <c r="Q947" s="70"/>
      <c r="R947" s="70"/>
      <c r="S947" s="70"/>
    </row>
    <row r="948" ht="15.75" customHeight="1">
      <c r="B948" s="78"/>
      <c r="C948" s="79"/>
      <c r="D948" s="79"/>
      <c r="E948" s="80"/>
      <c r="F948" s="81"/>
      <c r="G948" s="79"/>
      <c r="H948" s="79"/>
      <c r="I948" s="79"/>
      <c r="J948" s="79"/>
      <c r="K948" s="79"/>
      <c r="L948" s="79"/>
      <c r="M948" s="79"/>
      <c r="N948" s="50"/>
      <c r="O948" s="82"/>
      <c r="P948" s="70"/>
      <c r="Q948" s="70"/>
      <c r="R948" s="70"/>
      <c r="S948" s="70"/>
    </row>
    <row r="949" ht="15.75" customHeight="1">
      <c r="B949" s="78"/>
      <c r="C949" s="79"/>
      <c r="D949" s="79"/>
      <c r="E949" s="80"/>
      <c r="F949" s="81"/>
      <c r="G949" s="79"/>
      <c r="H949" s="79"/>
      <c r="I949" s="79"/>
      <c r="J949" s="79"/>
      <c r="K949" s="79"/>
      <c r="L949" s="79"/>
      <c r="M949" s="79"/>
      <c r="N949" s="50"/>
      <c r="O949" s="82"/>
      <c r="P949" s="70"/>
      <c r="Q949" s="70"/>
      <c r="R949" s="70"/>
      <c r="S949" s="70"/>
    </row>
    <row r="950" ht="15.75" customHeight="1">
      <c r="B950" s="78"/>
      <c r="C950" s="79"/>
      <c r="D950" s="79"/>
      <c r="E950" s="80"/>
      <c r="F950" s="81"/>
      <c r="G950" s="79"/>
      <c r="H950" s="79"/>
      <c r="I950" s="79"/>
      <c r="J950" s="79"/>
      <c r="K950" s="79"/>
      <c r="L950" s="79"/>
      <c r="M950" s="79"/>
      <c r="N950" s="50"/>
      <c r="O950" s="82"/>
      <c r="P950" s="70"/>
      <c r="Q950" s="70"/>
      <c r="R950" s="70"/>
      <c r="S950" s="70"/>
    </row>
    <row r="951" ht="15.75" customHeight="1">
      <c r="B951" s="78"/>
      <c r="C951" s="79"/>
      <c r="D951" s="79"/>
      <c r="E951" s="80"/>
      <c r="F951" s="81"/>
      <c r="G951" s="79"/>
      <c r="H951" s="79"/>
      <c r="I951" s="79"/>
      <c r="J951" s="79"/>
      <c r="K951" s="79"/>
      <c r="L951" s="79"/>
      <c r="M951" s="79"/>
      <c r="N951" s="50"/>
      <c r="O951" s="82"/>
      <c r="P951" s="70"/>
      <c r="Q951" s="70"/>
      <c r="R951" s="70"/>
      <c r="S951" s="70"/>
    </row>
    <row r="952" ht="15.75" customHeight="1">
      <c r="B952" s="78"/>
      <c r="C952" s="79"/>
      <c r="D952" s="79"/>
      <c r="E952" s="80"/>
      <c r="F952" s="81"/>
      <c r="G952" s="79"/>
      <c r="H952" s="79"/>
      <c r="I952" s="79"/>
      <c r="J952" s="79"/>
      <c r="K952" s="79"/>
      <c r="L952" s="79"/>
      <c r="M952" s="79"/>
      <c r="N952" s="50"/>
      <c r="O952" s="82"/>
      <c r="P952" s="70"/>
      <c r="Q952" s="70"/>
      <c r="R952" s="70"/>
      <c r="S952" s="70"/>
    </row>
    <row r="953" ht="15.75" customHeight="1">
      <c r="B953" s="78"/>
      <c r="C953" s="79"/>
      <c r="D953" s="79"/>
      <c r="E953" s="80"/>
      <c r="F953" s="81"/>
      <c r="G953" s="79"/>
      <c r="H953" s="79"/>
      <c r="I953" s="79"/>
      <c r="J953" s="79"/>
      <c r="K953" s="79"/>
      <c r="L953" s="79"/>
      <c r="M953" s="79"/>
      <c r="N953" s="50"/>
      <c r="O953" s="82"/>
      <c r="P953" s="70"/>
      <c r="Q953" s="70"/>
      <c r="R953" s="70"/>
      <c r="S953" s="70"/>
    </row>
    <row r="954" ht="15.75" customHeight="1">
      <c r="B954" s="78"/>
      <c r="C954" s="79"/>
      <c r="D954" s="79"/>
      <c r="E954" s="80"/>
      <c r="F954" s="81"/>
      <c r="G954" s="79"/>
      <c r="H954" s="79"/>
      <c r="I954" s="79"/>
      <c r="J954" s="79"/>
      <c r="K954" s="79"/>
      <c r="L954" s="79"/>
      <c r="M954" s="79"/>
      <c r="N954" s="50"/>
      <c r="O954" s="82"/>
      <c r="P954" s="70"/>
      <c r="Q954" s="70"/>
      <c r="R954" s="70"/>
      <c r="S954" s="70"/>
    </row>
    <row r="955" ht="15.75" customHeight="1">
      <c r="B955" s="78"/>
      <c r="C955" s="79"/>
      <c r="D955" s="79"/>
      <c r="E955" s="80"/>
      <c r="F955" s="81"/>
      <c r="G955" s="79"/>
      <c r="H955" s="79"/>
      <c r="I955" s="79"/>
      <c r="J955" s="79"/>
      <c r="K955" s="79"/>
      <c r="L955" s="79"/>
      <c r="M955" s="79"/>
      <c r="N955" s="50"/>
      <c r="O955" s="82"/>
      <c r="P955" s="70"/>
      <c r="Q955" s="70"/>
      <c r="R955" s="70"/>
      <c r="S955" s="70"/>
    </row>
    <row r="956" ht="15.75" customHeight="1">
      <c r="B956" s="78"/>
      <c r="C956" s="79"/>
      <c r="D956" s="79"/>
      <c r="E956" s="80"/>
      <c r="F956" s="81"/>
      <c r="G956" s="79"/>
      <c r="H956" s="79"/>
      <c r="I956" s="79"/>
      <c r="J956" s="79"/>
      <c r="K956" s="79"/>
      <c r="L956" s="79"/>
      <c r="M956" s="79"/>
      <c r="N956" s="50"/>
      <c r="O956" s="82"/>
      <c r="P956" s="70"/>
      <c r="Q956" s="70"/>
      <c r="R956" s="70"/>
      <c r="S956" s="70"/>
    </row>
    <row r="957" ht="15.75" customHeight="1">
      <c r="B957" s="78"/>
      <c r="C957" s="79"/>
      <c r="D957" s="79"/>
      <c r="E957" s="80"/>
      <c r="F957" s="81"/>
      <c r="G957" s="79"/>
      <c r="H957" s="79"/>
      <c r="I957" s="79"/>
      <c r="J957" s="79"/>
      <c r="K957" s="79"/>
      <c r="L957" s="79"/>
      <c r="M957" s="79"/>
      <c r="N957" s="50"/>
      <c r="O957" s="82"/>
      <c r="P957" s="70"/>
      <c r="Q957" s="70"/>
      <c r="R957" s="70"/>
      <c r="S957" s="70"/>
    </row>
    <row r="958" ht="15.75" customHeight="1">
      <c r="B958" s="78"/>
      <c r="C958" s="79"/>
      <c r="D958" s="79"/>
      <c r="E958" s="80"/>
      <c r="F958" s="81"/>
      <c r="G958" s="79"/>
      <c r="H958" s="79"/>
      <c r="I958" s="79"/>
      <c r="J958" s="79"/>
      <c r="K958" s="79"/>
      <c r="L958" s="79"/>
      <c r="M958" s="79"/>
      <c r="N958" s="50"/>
      <c r="O958" s="82"/>
      <c r="P958" s="70"/>
      <c r="Q958" s="70"/>
      <c r="R958" s="70"/>
      <c r="S958" s="70"/>
    </row>
    <row r="959" ht="15.75" customHeight="1">
      <c r="B959" s="78"/>
      <c r="C959" s="79"/>
      <c r="D959" s="79"/>
      <c r="E959" s="80"/>
      <c r="F959" s="81"/>
      <c r="G959" s="79"/>
      <c r="H959" s="79"/>
      <c r="I959" s="79"/>
      <c r="J959" s="79"/>
      <c r="K959" s="79"/>
      <c r="L959" s="79"/>
      <c r="M959" s="79"/>
      <c r="N959" s="50"/>
      <c r="O959" s="82"/>
      <c r="P959" s="70"/>
      <c r="Q959" s="70"/>
      <c r="R959" s="70"/>
      <c r="S959" s="70"/>
    </row>
    <row r="960" ht="15.75" customHeight="1">
      <c r="B960" s="78"/>
      <c r="C960" s="79"/>
      <c r="D960" s="79"/>
      <c r="E960" s="80"/>
      <c r="F960" s="81"/>
      <c r="G960" s="79"/>
      <c r="H960" s="79"/>
      <c r="I960" s="79"/>
      <c r="J960" s="79"/>
      <c r="K960" s="79"/>
      <c r="L960" s="79"/>
      <c r="M960" s="79"/>
      <c r="N960" s="50"/>
      <c r="O960" s="82"/>
      <c r="P960" s="70"/>
      <c r="Q960" s="70"/>
      <c r="R960" s="70"/>
      <c r="S960" s="70"/>
    </row>
    <row r="961" ht="15.75" customHeight="1">
      <c r="B961" s="78"/>
      <c r="C961" s="79"/>
      <c r="D961" s="79"/>
      <c r="E961" s="80"/>
      <c r="F961" s="81"/>
      <c r="G961" s="79"/>
      <c r="H961" s="79"/>
      <c r="I961" s="79"/>
      <c r="J961" s="79"/>
      <c r="K961" s="79"/>
      <c r="L961" s="79"/>
      <c r="M961" s="79"/>
      <c r="N961" s="50"/>
      <c r="O961" s="82"/>
      <c r="P961" s="70"/>
      <c r="Q961" s="70"/>
      <c r="R961" s="70"/>
      <c r="S961" s="70"/>
    </row>
    <row r="962" ht="15.75" customHeight="1">
      <c r="B962" s="78"/>
      <c r="C962" s="79"/>
      <c r="D962" s="79"/>
      <c r="E962" s="80"/>
      <c r="F962" s="81"/>
      <c r="G962" s="79"/>
      <c r="H962" s="79"/>
      <c r="I962" s="79"/>
      <c r="J962" s="79"/>
      <c r="K962" s="79"/>
      <c r="L962" s="79"/>
      <c r="M962" s="79"/>
      <c r="N962" s="50"/>
      <c r="O962" s="82"/>
      <c r="P962" s="70"/>
      <c r="Q962" s="70"/>
      <c r="R962" s="70"/>
      <c r="S962" s="70"/>
    </row>
    <row r="963" ht="15.75" customHeight="1">
      <c r="B963" s="78"/>
      <c r="C963" s="79"/>
      <c r="D963" s="79"/>
      <c r="E963" s="80"/>
      <c r="F963" s="81"/>
      <c r="G963" s="79"/>
      <c r="H963" s="79"/>
      <c r="I963" s="79"/>
      <c r="J963" s="79"/>
      <c r="K963" s="79"/>
      <c r="L963" s="79"/>
      <c r="M963" s="79"/>
      <c r="N963" s="50"/>
      <c r="O963" s="82"/>
      <c r="P963" s="70"/>
      <c r="Q963" s="70"/>
      <c r="R963" s="70"/>
      <c r="S963" s="70"/>
    </row>
    <row r="964" ht="15.75" customHeight="1">
      <c r="B964" s="78"/>
      <c r="C964" s="79"/>
      <c r="D964" s="79"/>
      <c r="E964" s="80"/>
      <c r="F964" s="81"/>
      <c r="G964" s="79"/>
      <c r="H964" s="79"/>
      <c r="I964" s="79"/>
      <c r="J964" s="79"/>
      <c r="K964" s="79"/>
      <c r="L964" s="79"/>
      <c r="M964" s="79"/>
      <c r="N964" s="50"/>
      <c r="O964" s="82"/>
      <c r="P964" s="70"/>
      <c r="Q964" s="70"/>
      <c r="R964" s="70"/>
      <c r="S964" s="70"/>
    </row>
    <row r="965" ht="15.75" customHeight="1">
      <c r="B965" s="78"/>
      <c r="C965" s="79"/>
      <c r="D965" s="79"/>
      <c r="E965" s="80"/>
      <c r="F965" s="81"/>
      <c r="G965" s="79"/>
      <c r="H965" s="79"/>
      <c r="I965" s="79"/>
      <c r="J965" s="79"/>
      <c r="K965" s="79"/>
      <c r="L965" s="79"/>
      <c r="M965" s="79"/>
      <c r="N965" s="50"/>
      <c r="O965" s="82"/>
      <c r="P965" s="70"/>
      <c r="Q965" s="70"/>
      <c r="R965" s="70"/>
      <c r="S965" s="70"/>
    </row>
    <row r="966" ht="15.75" customHeight="1">
      <c r="B966" s="78"/>
      <c r="C966" s="79"/>
      <c r="D966" s="79"/>
      <c r="E966" s="80"/>
      <c r="F966" s="81"/>
      <c r="G966" s="79"/>
      <c r="H966" s="79"/>
      <c r="I966" s="79"/>
      <c r="J966" s="79"/>
      <c r="K966" s="79"/>
      <c r="L966" s="79"/>
      <c r="M966" s="79"/>
      <c r="N966" s="50"/>
      <c r="O966" s="82"/>
      <c r="P966" s="70"/>
      <c r="Q966" s="70"/>
      <c r="R966" s="70"/>
      <c r="S966" s="70"/>
    </row>
    <row r="967" ht="15.75" customHeight="1">
      <c r="B967" s="78"/>
      <c r="C967" s="79"/>
      <c r="D967" s="79"/>
      <c r="E967" s="80"/>
      <c r="F967" s="81"/>
      <c r="G967" s="79"/>
      <c r="H967" s="79"/>
      <c r="I967" s="79"/>
      <c r="J967" s="79"/>
      <c r="K967" s="79"/>
      <c r="L967" s="79"/>
      <c r="M967" s="79"/>
      <c r="N967" s="50"/>
      <c r="O967" s="82"/>
      <c r="P967" s="70"/>
      <c r="Q967" s="70"/>
      <c r="R967" s="70"/>
      <c r="S967" s="70"/>
    </row>
    <row r="968" ht="15.75" customHeight="1">
      <c r="B968" s="78"/>
      <c r="C968" s="79"/>
      <c r="D968" s="79"/>
      <c r="E968" s="80"/>
      <c r="F968" s="81"/>
      <c r="G968" s="79"/>
      <c r="H968" s="79"/>
      <c r="I968" s="79"/>
      <c r="J968" s="79"/>
      <c r="K968" s="79"/>
      <c r="L968" s="79"/>
      <c r="M968" s="79"/>
      <c r="N968" s="50"/>
      <c r="O968" s="82"/>
      <c r="P968" s="70"/>
      <c r="Q968" s="70"/>
      <c r="R968" s="70"/>
      <c r="S968" s="70"/>
    </row>
    <row r="969" ht="15.75" customHeight="1">
      <c r="B969" s="78"/>
      <c r="C969" s="79"/>
      <c r="D969" s="79"/>
      <c r="E969" s="80"/>
      <c r="F969" s="81"/>
      <c r="G969" s="79"/>
      <c r="H969" s="79"/>
      <c r="I969" s="79"/>
      <c r="J969" s="79"/>
      <c r="K969" s="79"/>
      <c r="L969" s="79"/>
      <c r="M969" s="79"/>
      <c r="N969" s="50"/>
      <c r="O969" s="82"/>
      <c r="P969" s="70"/>
      <c r="Q969" s="70"/>
      <c r="R969" s="70"/>
      <c r="S969" s="70"/>
    </row>
    <row r="970" ht="15.75" customHeight="1">
      <c r="B970" s="78"/>
      <c r="C970" s="79"/>
      <c r="D970" s="79"/>
      <c r="E970" s="80"/>
      <c r="F970" s="81"/>
      <c r="G970" s="79"/>
      <c r="H970" s="79"/>
      <c r="I970" s="79"/>
      <c r="J970" s="79"/>
      <c r="K970" s="79"/>
      <c r="L970" s="79"/>
      <c r="M970" s="79"/>
      <c r="N970" s="50"/>
      <c r="O970" s="82"/>
      <c r="P970" s="70"/>
      <c r="Q970" s="70"/>
      <c r="R970" s="70"/>
      <c r="S970" s="70"/>
    </row>
    <row r="971" ht="15.75" customHeight="1">
      <c r="B971" s="78"/>
      <c r="C971" s="79"/>
      <c r="D971" s="79"/>
      <c r="E971" s="80"/>
      <c r="F971" s="81"/>
      <c r="G971" s="79"/>
      <c r="H971" s="79"/>
      <c r="I971" s="79"/>
      <c r="J971" s="79"/>
      <c r="K971" s="79"/>
      <c r="L971" s="79"/>
      <c r="M971" s="79"/>
      <c r="N971" s="50"/>
      <c r="O971" s="82"/>
      <c r="P971" s="70"/>
      <c r="Q971" s="70"/>
      <c r="R971" s="70"/>
      <c r="S971" s="70"/>
    </row>
    <row r="972" ht="15.75" customHeight="1">
      <c r="B972" s="78"/>
      <c r="C972" s="79"/>
      <c r="D972" s="79"/>
      <c r="E972" s="80"/>
      <c r="F972" s="81"/>
      <c r="G972" s="79"/>
      <c r="H972" s="79"/>
      <c r="I972" s="79"/>
      <c r="J972" s="79"/>
      <c r="K972" s="79"/>
      <c r="L972" s="79"/>
      <c r="M972" s="79"/>
      <c r="N972" s="50"/>
      <c r="O972" s="82"/>
      <c r="P972" s="70"/>
      <c r="Q972" s="70"/>
      <c r="R972" s="70"/>
      <c r="S972" s="70"/>
    </row>
    <row r="973" ht="15.75" customHeight="1">
      <c r="B973" s="78"/>
      <c r="C973" s="79"/>
      <c r="D973" s="79"/>
      <c r="E973" s="80"/>
      <c r="F973" s="81"/>
      <c r="G973" s="79"/>
      <c r="H973" s="79"/>
      <c r="I973" s="79"/>
      <c r="J973" s="79"/>
      <c r="K973" s="79"/>
      <c r="L973" s="79"/>
      <c r="M973" s="79"/>
      <c r="N973" s="50"/>
      <c r="O973" s="82"/>
      <c r="P973" s="70"/>
      <c r="Q973" s="70"/>
      <c r="R973" s="70"/>
      <c r="S973" s="70"/>
    </row>
    <row r="974" ht="15.75" customHeight="1">
      <c r="B974" s="78"/>
      <c r="C974" s="79"/>
      <c r="D974" s="79"/>
      <c r="E974" s="80"/>
      <c r="F974" s="81"/>
      <c r="G974" s="79"/>
      <c r="H974" s="79"/>
      <c r="I974" s="79"/>
      <c r="J974" s="79"/>
      <c r="K974" s="79"/>
      <c r="L974" s="79"/>
      <c r="M974" s="79"/>
      <c r="N974" s="50"/>
      <c r="O974" s="82"/>
      <c r="P974" s="70"/>
      <c r="Q974" s="70"/>
      <c r="R974" s="70"/>
      <c r="S974" s="70"/>
    </row>
    <row r="975" ht="15.75" customHeight="1">
      <c r="B975" s="78"/>
      <c r="C975" s="79"/>
      <c r="D975" s="79"/>
      <c r="E975" s="80"/>
      <c r="F975" s="81"/>
      <c r="G975" s="79"/>
      <c r="H975" s="79"/>
      <c r="I975" s="79"/>
      <c r="J975" s="79"/>
      <c r="K975" s="79"/>
      <c r="L975" s="79"/>
      <c r="M975" s="79"/>
      <c r="N975" s="50"/>
      <c r="O975" s="82"/>
      <c r="P975" s="70"/>
      <c r="Q975" s="70"/>
      <c r="R975" s="70"/>
      <c r="S975" s="70"/>
    </row>
    <row r="976" ht="15.75" customHeight="1">
      <c r="B976" s="78"/>
      <c r="C976" s="79"/>
      <c r="D976" s="79"/>
      <c r="E976" s="80"/>
      <c r="F976" s="81"/>
      <c r="G976" s="79"/>
      <c r="H976" s="79"/>
      <c r="I976" s="79"/>
      <c r="J976" s="79"/>
      <c r="K976" s="79"/>
      <c r="L976" s="79"/>
      <c r="M976" s="79"/>
      <c r="N976" s="50"/>
      <c r="O976" s="82"/>
      <c r="P976" s="70"/>
      <c r="Q976" s="70"/>
      <c r="R976" s="70"/>
      <c r="S976" s="70"/>
    </row>
    <row r="977" ht="15.75" customHeight="1">
      <c r="B977" s="78"/>
      <c r="C977" s="79"/>
      <c r="D977" s="79"/>
      <c r="E977" s="80"/>
      <c r="F977" s="81"/>
      <c r="G977" s="79"/>
      <c r="H977" s="79"/>
      <c r="I977" s="79"/>
      <c r="J977" s="79"/>
      <c r="K977" s="79"/>
      <c r="L977" s="79"/>
      <c r="M977" s="79"/>
      <c r="N977" s="50"/>
      <c r="O977" s="82"/>
      <c r="P977" s="70"/>
      <c r="Q977" s="70"/>
      <c r="R977" s="70"/>
      <c r="S977" s="70"/>
    </row>
    <row r="978" ht="15.75" customHeight="1">
      <c r="B978" s="78"/>
      <c r="C978" s="79"/>
      <c r="D978" s="79"/>
      <c r="E978" s="80"/>
      <c r="F978" s="81"/>
      <c r="G978" s="79"/>
      <c r="H978" s="79"/>
      <c r="I978" s="79"/>
      <c r="J978" s="79"/>
      <c r="K978" s="79"/>
      <c r="L978" s="79"/>
      <c r="M978" s="79"/>
      <c r="N978" s="50"/>
      <c r="O978" s="82"/>
      <c r="P978" s="70"/>
      <c r="Q978" s="70"/>
      <c r="R978" s="70"/>
      <c r="S978" s="70"/>
    </row>
    <row r="979" ht="15.75" customHeight="1">
      <c r="B979" s="78"/>
      <c r="C979" s="79"/>
      <c r="D979" s="79"/>
      <c r="E979" s="80"/>
      <c r="F979" s="81"/>
      <c r="G979" s="79"/>
      <c r="H979" s="79"/>
      <c r="I979" s="79"/>
      <c r="J979" s="79"/>
      <c r="K979" s="79"/>
      <c r="L979" s="79"/>
      <c r="M979" s="79"/>
      <c r="N979" s="50"/>
      <c r="O979" s="82"/>
      <c r="P979" s="70"/>
      <c r="Q979" s="70"/>
      <c r="R979" s="70"/>
      <c r="S979" s="70"/>
    </row>
    <row r="980" ht="15.75" customHeight="1">
      <c r="B980" s="78"/>
      <c r="C980" s="79"/>
      <c r="D980" s="79"/>
      <c r="E980" s="80"/>
      <c r="F980" s="81"/>
      <c r="G980" s="79"/>
      <c r="H980" s="79"/>
      <c r="I980" s="79"/>
      <c r="J980" s="79"/>
      <c r="K980" s="79"/>
      <c r="L980" s="79"/>
      <c r="M980" s="79"/>
      <c r="N980" s="50"/>
      <c r="O980" s="82"/>
      <c r="P980" s="70"/>
      <c r="Q980" s="70"/>
      <c r="R980" s="70"/>
      <c r="S980" s="70"/>
    </row>
    <row r="981" ht="15.75" customHeight="1">
      <c r="B981" s="78"/>
      <c r="C981" s="79"/>
      <c r="D981" s="79"/>
      <c r="E981" s="80"/>
      <c r="F981" s="81"/>
      <c r="G981" s="79"/>
      <c r="H981" s="79"/>
      <c r="I981" s="79"/>
      <c r="J981" s="79"/>
      <c r="K981" s="79"/>
      <c r="L981" s="79"/>
      <c r="M981" s="79"/>
      <c r="N981" s="50"/>
      <c r="O981" s="82"/>
      <c r="P981" s="70"/>
      <c r="Q981" s="70"/>
      <c r="R981" s="70"/>
      <c r="S981" s="70"/>
    </row>
    <row r="982" ht="15.75" customHeight="1">
      <c r="B982" s="78"/>
      <c r="C982" s="79"/>
      <c r="D982" s="79"/>
      <c r="E982" s="80"/>
      <c r="F982" s="81"/>
      <c r="G982" s="79"/>
      <c r="H982" s="79"/>
      <c r="I982" s="79"/>
      <c r="J982" s="79"/>
      <c r="K982" s="79"/>
      <c r="L982" s="79"/>
      <c r="M982" s="79"/>
      <c r="N982" s="50"/>
      <c r="O982" s="82"/>
      <c r="P982" s="70"/>
      <c r="Q982" s="70"/>
      <c r="R982" s="70"/>
      <c r="S982" s="70"/>
    </row>
    <row r="983" ht="15.75" customHeight="1">
      <c r="B983" s="78"/>
      <c r="C983" s="79"/>
      <c r="D983" s="79"/>
      <c r="E983" s="80"/>
      <c r="F983" s="81"/>
      <c r="G983" s="79"/>
      <c r="H983" s="79"/>
      <c r="I983" s="79"/>
      <c r="J983" s="79"/>
      <c r="K983" s="79"/>
      <c r="L983" s="79"/>
      <c r="M983" s="79"/>
      <c r="N983" s="50"/>
      <c r="O983" s="82"/>
      <c r="P983" s="70"/>
      <c r="Q983" s="70"/>
      <c r="R983" s="70"/>
      <c r="S983" s="70"/>
    </row>
    <row r="984" ht="15.75" customHeight="1">
      <c r="B984" s="78"/>
      <c r="C984" s="79"/>
      <c r="D984" s="79"/>
      <c r="E984" s="80"/>
      <c r="F984" s="81"/>
      <c r="G984" s="79"/>
      <c r="H984" s="79"/>
      <c r="I984" s="79"/>
      <c r="J984" s="79"/>
      <c r="K984" s="79"/>
      <c r="L984" s="79"/>
      <c r="M984" s="79"/>
      <c r="N984" s="50"/>
      <c r="O984" s="82"/>
      <c r="P984" s="70"/>
      <c r="Q984" s="70"/>
      <c r="R984" s="70"/>
      <c r="S984" s="70"/>
    </row>
    <row r="985" ht="15.75" customHeight="1">
      <c r="B985" s="78"/>
      <c r="C985" s="79"/>
      <c r="D985" s="79"/>
      <c r="E985" s="80"/>
      <c r="F985" s="81"/>
      <c r="G985" s="79"/>
      <c r="H985" s="79"/>
      <c r="I985" s="79"/>
      <c r="J985" s="79"/>
      <c r="K985" s="79"/>
      <c r="L985" s="79"/>
      <c r="M985" s="79"/>
      <c r="N985" s="50"/>
      <c r="O985" s="82"/>
      <c r="P985" s="70"/>
      <c r="Q985" s="70"/>
      <c r="R985" s="70"/>
      <c r="S985" s="70"/>
    </row>
    <row r="986" ht="15.75" customHeight="1">
      <c r="B986" s="78"/>
      <c r="C986" s="79"/>
      <c r="D986" s="79"/>
      <c r="E986" s="80"/>
      <c r="F986" s="81"/>
      <c r="G986" s="79"/>
      <c r="H986" s="79"/>
      <c r="I986" s="79"/>
      <c r="J986" s="79"/>
      <c r="K986" s="79"/>
      <c r="L986" s="79"/>
      <c r="M986" s="79"/>
      <c r="N986" s="50"/>
      <c r="O986" s="82"/>
      <c r="P986" s="70"/>
      <c r="Q986" s="70"/>
      <c r="R986" s="70"/>
      <c r="S986" s="70"/>
    </row>
    <row r="987" ht="15.75" customHeight="1">
      <c r="B987" s="78"/>
      <c r="C987" s="79"/>
      <c r="D987" s="79"/>
      <c r="E987" s="80"/>
      <c r="F987" s="81"/>
      <c r="G987" s="79"/>
      <c r="H987" s="79"/>
      <c r="I987" s="79"/>
      <c r="J987" s="79"/>
      <c r="K987" s="79"/>
      <c r="L987" s="79"/>
      <c r="M987" s="79"/>
      <c r="N987" s="50"/>
      <c r="O987" s="82"/>
      <c r="P987" s="70"/>
      <c r="Q987" s="70"/>
      <c r="R987" s="70"/>
      <c r="S987" s="70"/>
    </row>
    <row r="988" ht="15.75" customHeight="1">
      <c r="B988" s="78"/>
      <c r="C988" s="79"/>
      <c r="D988" s="79"/>
      <c r="E988" s="80"/>
      <c r="F988" s="81"/>
      <c r="G988" s="79"/>
      <c r="H988" s="79"/>
      <c r="I988" s="79"/>
      <c r="J988" s="79"/>
      <c r="K988" s="79"/>
      <c r="L988" s="79"/>
      <c r="M988" s="79"/>
      <c r="N988" s="50"/>
      <c r="O988" s="82"/>
      <c r="P988" s="70"/>
      <c r="Q988" s="70"/>
      <c r="R988" s="70"/>
      <c r="S988" s="70"/>
    </row>
    <row r="989" ht="15.75" customHeight="1">
      <c r="B989" s="78"/>
      <c r="C989" s="79"/>
      <c r="D989" s="79"/>
      <c r="E989" s="80"/>
      <c r="F989" s="81"/>
      <c r="G989" s="79"/>
      <c r="H989" s="79"/>
      <c r="I989" s="79"/>
      <c r="J989" s="79"/>
      <c r="K989" s="79"/>
      <c r="L989" s="79"/>
      <c r="M989" s="79"/>
      <c r="N989" s="50"/>
      <c r="O989" s="82"/>
      <c r="P989" s="70"/>
      <c r="Q989" s="70"/>
      <c r="R989" s="70"/>
      <c r="S989" s="70"/>
    </row>
    <row r="990" ht="15.75" customHeight="1">
      <c r="B990" s="78"/>
      <c r="C990" s="79"/>
      <c r="D990" s="79"/>
      <c r="E990" s="80"/>
      <c r="F990" s="81"/>
      <c r="G990" s="79"/>
      <c r="H990" s="79"/>
      <c r="I990" s="79"/>
      <c r="J990" s="79"/>
      <c r="K990" s="79"/>
      <c r="L990" s="79"/>
      <c r="M990" s="79"/>
      <c r="N990" s="50"/>
      <c r="O990" s="82"/>
      <c r="P990" s="70"/>
      <c r="Q990" s="70"/>
      <c r="R990" s="70"/>
      <c r="S990" s="70"/>
    </row>
    <row r="991" ht="15.75" customHeight="1">
      <c r="B991" s="78"/>
      <c r="C991" s="79"/>
      <c r="D991" s="79"/>
      <c r="E991" s="80"/>
      <c r="F991" s="81"/>
      <c r="G991" s="79"/>
      <c r="H991" s="79"/>
      <c r="I991" s="79"/>
      <c r="J991" s="79"/>
      <c r="K991" s="79"/>
      <c r="L991" s="79"/>
      <c r="M991" s="79"/>
      <c r="N991" s="50"/>
      <c r="O991" s="82"/>
      <c r="P991" s="70"/>
      <c r="Q991" s="70"/>
      <c r="R991" s="70"/>
      <c r="S991" s="70"/>
    </row>
    <row r="992" ht="15.75" customHeight="1">
      <c r="B992" s="78"/>
      <c r="C992" s="79"/>
      <c r="D992" s="79"/>
      <c r="E992" s="80"/>
      <c r="F992" s="81"/>
      <c r="G992" s="79"/>
      <c r="H992" s="79"/>
      <c r="I992" s="79"/>
      <c r="J992" s="79"/>
      <c r="K992" s="79"/>
      <c r="L992" s="79"/>
      <c r="M992" s="79"/>
      <c r="N992" s="50"/>
      <c r="O992" s="82"/>
      <c r="P992" s="70"/>
      <c r="Q992" s="70"/>
      <c r="R992" s="70"/>
      <c r="S992" s="70"/>
    </row>
    <row r="993" ht="15.75" customHeight="1">
      <c r="B993" s="78"/>
      <c r="C993" s="79"/>
      <c r="D993" s="79"/>
      <c r="E993" s="80"/>
      <c r="F993" s="81"/>
      <c r="G993" s="79"/>
      <c r="H993" s="79"/>
      <c r="I993" s="79"/>
      <c r="J993" s="79"/>
      <c r="K993" s="79"/>
      <c r="L993" s="79"/>
      <c r="M993" s="79"/>
      <c r="N993" s="50"/>
      <c r="O993" s="82"/>
      <c r="P993" s="70"/>
      <c r="Q993" s="70"/>
      <c r="R993" s="70"/>
      <c r="S993" s="70"/>
    </row>
    <row r="994" ht="15.75" customHeight="1">
      <c r="B994" s="78"/>
      <c r="C994" s="79"/>
      <c r="D994" s="79"/>
      <c r="E994" s="80"/>
      <c r="F994" s="81"/>
      <c r="G994" s="79"/>
      <c r="H994" s="79"/>
      <c r="I994" s="79"/>
      <c r="J994" s="79"/>
      <c r="K994" s="79"/>
      <c r="L994" s="79"/>
      <c r="M994" s="79"/>
      <c r="N994" s="50"/>
      <c r="O994" s="82"/>
      <c r="P994" s="70"/>
      <c r="Q994" s="70"/>
      <c r="R994" s="70"/>
      <c r="S994" s="70"/>
    </row>
    <row r="995" ht="15.75" customHeight="1">
      <c r="B995" s="78"/>
      <c r="C995" s="79"/>
      <c r="D995" s="79"/>
      <c r="E995" s="80"/>
      <c r="F995" s="81"/>
      <c r="G995" s="79"/>
      <c r="H995" s="79"/>
      <c r="I995" s="79"/>
      <c r="J995" s="79"/>
      <c r="K995" s="79"/>
      <c r="L995" s="79"/>
      <c r="M995" s="79"/>
      <c r="N995" s="50"/>
      <c r="O995" s="82"/>
      <c r="P995" s="70"/>
      <c r="Q995" s="70"/>
      <c r="R995" s="70"/>
      <c r="S995" s="70"/>
    </row>
    <row r="996" ht="15.75" customHeight="1">
      <c r="B996" s="78"/>
      <c r="C996" s="79"/>
      <c r="D996" s="79"/>
      <c r="E996" s="80"/>
      <c r="F996" s="81"/>
      <c r="G996" s="79"/>
      <c r="H996" s="79"/>
      <c r="I996" s="79"/>
      <c r="J996" s="79"/>
      <c r="K996" s="79"/>
      <c r="L996" s="79"/>
      <c r="M996" s="79"/>
      <c r="N996" s="50"/>
      <c r="O996" s="82"/>
      <c r="P996" s="70"/>
      <c r="Q996" s="70"/>
      <c r="R996" s="70"/>
      <c r="S996" s="70"/>
    </row>
    <row r="997" ht="15.75" customHeight="1">
      <c r="B997" s="78"/>
      <c r="C997" s="79"/>
      <c r="D997" s="79"/>
      <c r="E997" s="80"/>
      <c r="F997" s="81"/>
      <c r="G997" s="79"/>
      <c r="H997" s="79"/>
      <c r="I997" s="79"/>
      <c r="J997" s="79"/>
      <c r="K997" s="79"/>
      <c r="L997" s="79"/>
      <c r="M997" s="79"/>
      <c r="N997" s="50"/>
      <c r="O997" s="82"/>
      <c r="P997" s="70"/>
      <c r="Q997" s="70"/>
      <c r="R997" s="70"/>
      <c r="S997" s="70"/>
    </row>
    <row r="998" ht="15.75" customHeight="1">
      <c r="B998" s="78"/>
      <c r="C998" s="79"/>
      <c r="D998" s="79"/>
      <c r="E998" s="80"/>
      <c r="F998" s="81"/>
      <c r="G998" s="79"/>
      <c r="H998" s="79"/>
      <c r="I998" s="79"/>
      <c r="J998" s="79"/>
      <c r="K998" s="79"/>
      <c r="L998" s="79"/>
      <c r="M998" s="79"/>
      <c r="N998" s="50"/>
      <c r="O998" s="82"/>
      <c r="P998" s="70"/>
      <c r="Q998" s="70"/>
      <c r="R998" s="70"/>
      <c r="S998" s="70"/>
    </row>
    <row r="999" ht="15.75" customHeight="1">
      <c r="B999" s="78"/>
      <c r="C999" s="79"/>
      <c r="D999" s="79"/>
      <c r="E999" s="80"/>
      <c r="F999" s="81"/>
      <c r="G999" s="79"/>
      <c r="H999" s="79"/>
      <c r="I999" s="79"/>
      <c r="J999" s="79"/>
      <c r="K999" s="79"/>
      <c r="L999" s="79"/>
      <c r="M999" s="79"/>
      <c r="N999" s="50"/>
      <c r="O999" s="82"/>
      <c r="P999" s="70"/>
      <c r="Q999" s="70"/>
      <c r="R999" s="70"/>
      <c r="S999" s="70"/>
    </row>
    <row r="1000" ht="15.75" customHeight="1">
      <c r="B1000" s="78"/>
      <c r="C1000" s="79"/>
      <c r="D1000" s="79"/>
      <c r="E1000" s="80"/>
      <c r="F1000" s="81"/>
      <c r="G1000" s="79"/>
      <c r="H1000" s="79"/>
      <c r="I1000" s="79"/>
      <c r="J1000" s="79"/>
      <c r="K1000" s="79"/>
      <c r="L1000" s="79"/>
      <c r="M1000" s="79"/>
      <c r="N1000" s="50"/>
      <c r="O1000" s="82"/>
      <c r="P1000" s="70"/>
      <c r="Q1000" s="70"/>
      <c r="R1000" s="70"/>
      <c r="S1000" s="70"/>
    </row>
    <row r="1001" ht="15.75" customHeight="1">
      <c r="B1001" s="78"/>
      <c r="C1001" s="79"/>
      <c r="D1001" s="79"/>
      <c r="E1001" s="80"/>
      <c r="F1001" s="81"/>
      <c r="G1001" s="79"/>
      <c r="H1001" s="79"/>
      <c r="I1001" s="79"/>
      <c r="J1001" s="79"/>
      <c r="K1001" s="79"/>
      <c r="L1001" s="79"/>
      <c r="M1001" s="79"/>
      <c r="N1001" s="50"/>
      <c r="O1001" s="82"/>
      <c r="P1001" s="70"/>
      <c r="Q1001" s="70"/>
      <c r="R1001" s="70"/>
      <c r="S1001" s="70"/>
    </row>
    <row r="1002" ht="15.75" customHeight="1">
      <c r="B1002" s="78"/>
      <c r="C1002" s="79"/>
      <c r="D1002" s="79"/>
      <c r="E1002" s="80"/>
      <c r="F1002" s="81"/>
      <c r="G1002" s="79"/>
      <c r="H1002" s="79"/>
      <c r="I1002" s="79"/>
      <c r="J1002" s="79"/>
      <c r="K1002" s="79"/>
      <c r="L1002" s="79"/>
      <c r="M1002" s="79"/>
      <c r="N1002" s="50"/>
      <c r="O1002" s="82"/>
      <c r="P1002" s="70"/>
      <c r="Q1002" s="70"/>
      <c r="R1002" s="70"/>
      <c r="S1002" s="70"/>
    </row>
    <row r="1003" ht="15.75" customHeight="1">
      <c r="B1003" s="78"/>
      <c r="C1003" s="79"/>
      <c r="D1003" s="79"/>
      <c r="E1003" s="80"/>
      <c r="F1003" s="81"/>
      <c r="G1003" s="79"/>
      <c r="H1003" s="79"/>
      <c r="I1003" s="79"/>
      <c r="J1003" s="79"/>
      <c r="K1003" s="79"/>
      <c r="L1003" s="79"/>
      <c r="M1003" s="79"/>
      <c r="N1003" s="50"/>
      <c r="O1003" s="82"/>
      <c r="P1003" s="70"/>
      <c r="Q1003" s="70"/>
      <c r="R1003" s="70"/>
      <c r="S1003" s="70"/>
    </row>
    <row r="1004" ht="15.75" customHeight="1">
      <c r="B1004" s="78"/>
      <c r="C1004" s="79"/>
      <c r="D1004" s="79"/>
      <c r="E1004" s="80"/>
      <c r="F1004" s="81"/>
      <c r="G1004" s="79"/>
      <c r="H1004" s="79"/>
      <c r="I1004" s="79"/>
      <c r="J1004" s="79"/>
      <c r="K1004" s="79"/>
      <c r="L1004" s="79"/>
      <c r="M1004" s="79"/>
      <c r="N1004" s="50"/>
      <c r="O1004" s="82"/>
      <c r="P1004" s="70"/>
      <c r="Q1004" s="70"/>
      <c r="R1004" s="70"/>
      <c r="S1004" s="70"/>
    </row>
    <row r="1005" ht="15.75" customHeight="1">
      <c r="B1005" s="78"/>
      <c r="C1005" s="79"/>
      <c r="D1005" s="79"/>
      <c r="E1005" s="80"/>
      <c r="F1005" s="81"/>
      <c r="G1005" s="79"/>
      <c r="H1005" s="79"/>
      <c r="I1005" s="79"/>
      <c r="J1005" s="79"/>
      <c r="K1005" s="79"/>
      <c r="L1005" s="79"/>
      <c r="M1005" s="79"/>
      <c r="N1005" s="50"/>
      <c r="O1005" s="82"/>
      <c r="P1005" s="70"/>
      <c r="Q1005" s="70"/>
      <c r="R1005" s="70"/>
      <c r="S1005" s="70"/>
    </row>
    <row r="1006" ht="15.75" customHeight="1">
      <c r="B1006" s="78"/>
      <c r="C1006" s="79"/>
      <c r="D1006" s="79"/>
      <c r="E1006" s="80"/>
      <c r="F1006" s="81"/>
      <c r="G1006" s="79"/>
      <c r="H1006" s="79"/>
      <c r="I1006" s="79"/>
      <c r="J1006" s="79"/>
      <c r="K1006" s="79"/>
      <c r="L1006" s="79"/>
      <c r="M1006" s="79"/>
      <c r="N1006" s="50"/>
      <c r="O1006" s="82"/>
      <c r="P1006" s="70"/>
      <c r="Q1006" s="70"/>
      <c r="R1006" s="70"/>
      <c r="S1006" s="70"/>
    </row>
    <row r="1007" ht="15.75" customHeight="1">
      <c r="B1007" s="78"/>
      <c r="C1007" s="79"/>
      <c r="D1007" s="79"/>
      <c r="E1007" s="80"/>
      <c r="F1007" s="81"/>
      <c r="G1007" s="79"/>
      <c r="H1007" s="79"/>
      <c r="I1007" s="79"/>
      <c r="J1007" s="79"/>
      <c r="K1007" s="79"/>
      <c r="L1007" s="79"/>
      <c r="M1007" s="79"/>
      <c r="N1007" s="50"/>
      <c r="O1007" s="82"/>
      <c r="P1007" s="70"/>
      <c r="Q1007" s="70"/>
      <c r="R1007" s="70"/>
      <c r="S1007" s="70"/>
    </row>
    <row r="1008" ht="15.75" customHeight="1">
      <c r="B1008" s="78"/>
      <c r="C1008" s="79"/>
      <c r="D1008" s="79"/>
      <c r="E1008" s="80"/>
      <c r="F1008" s="81"/>
      <c r="G1008" s="79"/>
      <c r="H1008" s="79"/>
      <c r="I1008" s="79"/>
      <c r="J1008" s="79"/>
      <c r="K1008" s="79"/>
      <c r="L1008" s="79"/>
      <c r="M1008" s="79"/>
      <c r="N1008" s="50"/>
      <c r="O1008" s="82"/>
      <c r="P1008" s="70"/>
      <c r="Q1008" s="70"/>
      <c r="R1008" s="70"/>
      <c r="S1008" s="70"/>
    </row>
    <row r="1009" ht="15.75" customHeight="1">
      <c r="B1009" s="78"/>
      <c r="C1009" s="79"/>
      <c r="D1009" s="79"/>
      <c r="E1009" s="80"/>
      <c r="F1009" s="81"/>
      <c r="G1009" s="79"/>
      <c r="H1009" s="79"/>
      <c r="I1009" s="79"/>
      <c r="J1009" s="79"/>
      <c r="K1009" s="79"/>
      <c r="L1009" s="79"/>
      <c r="M1009" s="79"/>
      <c r="N1009" s="50"/>
      <c r="O1009" s="82"/>
      <c r="P1009" s="70"/>
      <c r="Q1009" s="70"/>
      <c r="R1009" s="70"/>
      <c r="S1009" s="70"/>
    </row>
    <row r="1010" ht="15.75" customHeight="1">
      <c r="B1010" s="78"/>
      <c r="C1010" s="79"/>
      <c r="D1010" s="79"/>
      <c r="E1010" s="80"/>
      <c r="F1010" s="81"/>
      <c r="G1010" s="79"/>
      <c r="H1010" s="79"/>
      <c r="I1010" s="79"/>
      <c r="J1010" s="79"/>
      <c r="K1010" s="79"/>
      <c r="L1010" s="79"/>
      <c r="M1010" s="79"/>
      <c r="N1010" s="50"/>
      <c r="O1010" s="82"/>
      <c r="P1010" s="70"/>
      <c r="Q1010" s="70"/>
      <c r="R1010" s="70"/>
      <c r="S1010" s="70"/>
    </row>
    <row r="1011" ht="15.75" customHeight="1">
      <c r="B1011" s="78"/>
      <c r="C1011" s="79"/>
      <c r="D1011" s="79"/>
      <c r="E1011" s="80"/>
      <c r="F1011" s="81"/>
      <c r="G1011" s="79"/>
      <c r="H1011" s="79"/>
      <c r="I1011" s="79"/>
      <c r="J1011" s="79"/>
      <c r="K1011" s="79"/>
      <c r="L1011" s="79"/>
      <c r="M1011" s="79"/>
      <c r="N1011" s="50"/>
      <c r="O1011" s="82"/>
      <c r="P1011" s="70"/>
      <c r="Q1011" s="70"/>
      <c r="R1011" s="70"/>
      <c r="S1011" s="70"/>
    </row>
    <row r="1012" ht="15.75" customHeight="1">
      <c r="B1012" s="78"/>
      <c r="C1012" s="79"/>
      <c r="D1012" s="79"/>
      <c r="E1012" s="80"/>
      <c r="F1012" s="81"/>
      <c r="G1012" s="79"/>
      <c r="H1012" s="79"/>
      <c r="I1012" s="79"/>
      <c r="J1012" s="79"/>
      <c r="K1012" s="79"/>
      <c r="L1012" s="79"/>
      <c r="M1012" s="79"/>
      <c r="N1012" s="50"/>
      <c r="O1012" s="82"/>
      <c r="P1012" s="70"/>
      <c r="Q1012" s="70"/>
      <c r="R1012" s="70"/>
      <c r="S1012" s="70"/>
    </row>
    <row r="1013" ht="15.75" customHeight="1">
      <c r="B1013" s="78"/>
      <c r="C1013" s="79"/>
      <c r="D1013" s="79"/>
      <c r="E1013" s="80"/>
      <c r="F1013" s="81"/>
      <c r="G1013" s="79"/>
      <c r="H1013" s="79"/>
      <c r="I1013" s="79"/>
      <c r="J1013" s="79"/>
      <c r="K1013" s="79"/>
      <c r="L1013" s="79"/>
      <c r="M1013" s="79"/>
      <c r="N1013" s="50"/>
      <c r="O1013" s="82"/>
      <c r="P1013" s="70"/>
      <c r="Q1013" s="70"/>
      <c r="R1013" s="70"/>
      <c r="S1013" s="70"/>
    </row>
    <row r="1014" ht="15.75" customHeight="1">
      <c r="B1014" s="78"/>
      <c r="C1014" s="79"/>
      <c r="D1014" s="79"/>
      <c r="E1014" s="80"/>
      <c r="F1014" s="81"/>
      <c r="G1014" s="79"/>
      <c r="H1014" s="79"/>
      <c r="I1014" s="79"/>
      <c r="J1014" s="79"/>
      <c r="K1014" s="79"/>
      <c r="L1014" s="79"/>
      <c r="M1014" s="79"/>
      <c r="N1014" s="50"/>
      <c r="O1014" s="82"/>
      <c r="P1014" s="70"/>
      <c r="Q1014" s="70"/>
      <c r="R1014" s="70"/>
      <c r="S1014" s="70"/>
    </row>
    <row r="1015" ht="15.75" customHeight="1">
      <c r="B1015" s="78"/>
      <c r="C1015" s="79"/>
      <c r="D1015" s="79"/>
      <c r="E1015" s="80"/>
      <c r="F1015" s="81"/>
      <c r="G1015" s="79"/>
      <c r="H1015" s="79"/>
      <c r="I1015" s="79"/>
      <c r="J1015" s="79"/>
      <c r="K1015" s="79"/>
      <c r="L1015" s="79"/>
      <c r="M1015" s="79"/>
      <c r="N1015" s="50"/>
      <c r="O1015" s="82"/>
      <c r="P1015" s="70"/>
      <c r="Q1015" s="70"/>
      <c r="R1015" s="70"/>
      <c r="S1015" s="70"/>
    </row>
    <row r="1016" ht="15.75" customHeight="1">
      <c r="B1016" s="78"/>
      <c r="C1016" s="79"/>
      <c r="D1016" s="79"/>
      <c r="E1016" s="80"/>
      <c r="F1016" s="81"/>
      <c r="G1016" s="79"/>
      <c r="H1016" s="79"/>
      <c r="I1016" s="79"/>
      <c r="J1016" s="79"/>
      <c r="K1016" s="79"/>
      <c r="L1016" s="79"/>
      <c r="M1016" s="79"/>
      <c r="N1016" s="50"/>
      <c r="O1016" s="82"/>
      <c r="P1016" s="70"/>
      <c r="Q1016" s="70"/>
      <c r="R1016" s="70"/>
      <c r="S1016" s="70"/>
    </row>
    <row r="1017" ht="15.75" customHeight="1">
      <c r="B1017" s="78"/>
      <c r="C1017" s="79"/>
      <c r="D1017" s="79"/>
      <c r="E1017" s="80"/>
      <c r="F1017" s="81"/>
      <c r="G1017" s="79"/>
      <c r="H1017" s="79"/>
      <c r="I1017" s="79"/>
      <c r="J1017" s="79"/>
      <c r="K1017" s="79"/>
      <c r="L1017" s="79"/>
      <c r="M1017" s="79"/>
      <c r="N1017" s="50"/>
      <c r="O1017" s="82"/>
      <c r="P1017" s="70"/>
      <c r="Q1017" s="70"/>
      <c r="R1017" s="70"/>
      <c r="S1017" s="70"/>
    </row>
    <row r="1018" ht="15.75" customHeight="1">
      <c r="B1018" s="78"/>
      <c r="C1018" s="79"/>
      <c r="D1018" s="79"/>
      <c r="E1018" s="80"/>
      <c r="F1018" s="81"/>
      <c r="G1018" s="79"/>
      <c r="H1018" s="79"/>
      <c r="I1018" s="79"/>
      <c r="J1018" s="79"/>
      <c r="K1018" s="79"/>
      <c r="L1018" s="79"/>
      <c r="M1018" s="79"/>
      <c r="N1018" s="50"/>
      <c r="O1018" s="82"/>
      <c r="P1018" s="70"/>
      <c r="Q1018" s="70"/>
      <c r="R1018" s="70"/>
      <c r="S1018" s="70"/>
    </row>
    <row r="1019" ht="15.75" customHeight="1">
      <c r="B1019" s="78"/>
      <c r="C1019" s="79"/>
      <c r="D1019" s="79"/>
      <c r="E1019" s="80"/>
      <c r="F1019" s="81"/>
      <c r="G1019" s="79"/>
      <c r="H1019" s="79"/>
      <c r="I1019" s="79"/>
      <c r="J1019" s="79"/>
      <c r="K1019" s="79"/>
      <c r="L1019" s="79"/>
      <c r="M1019" s="79"/>
      <c r="N1019" s="50"/>
      <c r="O1019" s="82"/>
      <c r="P1019" s="70"/>
      <c r="Q1019" s="70"/>
      <c r="R1019" s="70"/>
      <c r="S1019" s="70"/>
    </row>
    <row r="1020" ht="15.75" customHeight="1">
      <c r="B1020" s="78"/>
      <c r="C1020" s="79"/>
      <c r="D1020" s="79"/>
      <c r="E1020" s="80"/>
      <c r="F1020" s="81"/>
      <c r="G1020" s="79"/>
      <c r="H1020" s="79"/>
      <c r="I1020" s="79"/>
      <c r="J1020" s="79"/>
      <c r="K1020" s="79"/>
      <c r="L1020" s="79"/>
      <c r="M1020" s="79"/>
      <c r="N1020" s="50"/>
      <c r="O1020" s="82"/>
      <c r="P1020" s="70"/>
      <c r="Q1020" s="70"/>
      <c r="R1020" s="70"/>
      <c r="S1020" s="70"/>
    </row>
    <row r="1021" ht="15.75" customHeight="1">
      <c r="B1021" s="78"/>
      <c r="C1021" s="79"/>
      <c r="D1021" s="79"/>
      <c r="E1021" s="80"/>
      <c r="F1021" s="81"/>
      <c r="G1021" s="79"/>
      <c r="H1021" s="79"/>
      <c r="I1021" s="79"/>
      <c r="J1021" s="79"/>
      <c r="K1021" s="79"/>
      <c r="L1021" s="79"/>
      <c r="M1021" s="79"/>
      <c r="N1021" s="50"/>
      <c r="O1021" s="82"/>
      <c r="P1021" s="70"/>
      <c r="Q1021" s="70"/>
      <c r="R1021" s="70"/>
      <c r="S1021" s="70"/>
    </row>
    <row r="1022" ht="15.75" customHeight="1">
      <c r="B1022" s="78"/>
      <c r="C1022" s="79"/>
      <c r="D1022" s="79"/>
      <c r="E1022" s="80"/>
      <c r="F1022" s="81"/>
      <c r="G1022" s="79"/>
      <c r="H1022" s="79"/>
      <c r="I1022" s="79"/>
      <c r="J1022" s="79"/>
      <c r="K1022" s="79"/>
      <c r="L1022" s="79"/>
      <c r="M1022" s="79"/>
      <c r="N1022" s="50"/>
      <c r="O1022" s="82"/>
      <c r="P1022" s="70"/>
      <c r="Q1022" s="70"/>
      <c r="R1022" s="70"/>
      <c r="S1022" s="70"/>
    </row>
    <row r="1023" ht="15.75" customHeight="1">
      <c r="B1023" s="78"/>
      <c r="C1023" s="79"/>
      <c r="D1023" s="79"/>
      <c r="E1023" s="80"/>
      <c r="F1023" s="81"/>
      <c r="G1023" s="79"/>
      <c r="H1023" s="79"/>
      <c r="I1023" s="79"/>
      <c r="J1023" s="79"/>
      <c r="K1023" s="79"/>
      <c r="L1023" s="79"/>
      <c r="M1023" s="79"/>
      <c r="N1023" s="50"/>
      <c r="O1023" s="82"/>
      <c r="P1023" s="70"/>
      <c r="Q1023" s="70"/>
      <c r="R1023" s="70"/>
      <c r="S1023" s="70"/>
    </row>
    <row r="1024" ht="15.75" customHeight="1">
      <c r="B1024" s="78"/>
      <c r="C1024" s="79"/>
      <c r="D1024" s="79"/>
      <c r="E1024" s="80"/>
      <c r="F1024" s="81"/>
      <c r="G1024" s="79"/>
      <c r="H1024" s="79"/>
      <c r="I1024" s="79"/>
      <c r="J1024" s="79"/>
      <c r="K1024" s="79"/>
      <c r="L1024" s="79"/>
      <c r="M1024" s="79"/>
      <c r="N1024" s="50"/>
      <c r="O1024" s="82"/>
      <c r="P1024" s="70"/>
      <c r="Q1024" s="70"/>
      <c r="R1024" s="70"/>
      <c r="S1024" s="70"/>
    </row>
    <row r="1025" ht="15.75" customHeight="1">
      <c r="B1025" s="78"/>
      <c r="C1025" s="79"/>
      <c r="D1025" s="79"/>
      <c r="E1025" s="80"/>
      <c r="F1025" s="81"/>
      <c r="G1025" s="79"/>
      <c r="H1025" s="79"/>
      <c r="I1025" s="79"/>
      <c r="J1025" s="79"/>
      <c r="K1025" s="79"/>
      <c r="L1025" s="79"/>
      <c r="M1025" s="79"/>
      <c r="N1025" s="50"/>
      <c r="O1025" s="82"/>
      <c r="P1025" s="70"/>
      <c r="Q1025" s="70"/>
      <c r="R1025" s="70"/>
      <c r="S1025" s="70"/>
    </row>
    <row r="1026" ht="15.75" customHeight="1">
      <c r="B1026" s="78"/>
      <c r="C1026" s="79"/>
      <c r="D1026" s="79"/>
      <c r="E1026" s="80"/>
      <c r="F1026" s="81"/>
      <c r="G1026" s="79"/>
      <c r="H1026" s="79"/>
      <c r="I1026" s="79"/>
      <c r="J1026" s="79"/>
      <c r="K1026" s="79"/>
      <c r="L1026" s="79"/>
      <c r="M1026" s="79"/>
      <c r="N1026" s="50"/>
      <c r="O1026" s="82"/>
      <c r="P1026" s="70"/>
      <c r="Q1026" s="70"/>
      <c r="R1026" s="70"/>
      <c r="S1026" s="70"/>
    </row>
    <row r="1027" ht="15.75" customHeight="1">
      <c r="B1027" s="78"/>
      <c r="C1027" s="79"/>
      <c r="D1027" s="79"/>
      <c r="E1027" s="80"/>
      <c r="F1027" s="81"/>
      <c r="G1027" s="79"/>
      <c r="H1027" s="79"/>
      <c r="I1027" s="79"/>
      <c r="J1027" s="79"/>
      <c r="K1027" s="79"/>
      <c r="L1027" s="79"/>
      <c r="M1027" s="79"/>
      <c r="N1027" s="50"/>
      <c r="O1027" s="82"/>
      <c r="P1027" s="70"/>
      <c r="Q1027" s="70"/>
      <c r="R1027" s="70"/>
      <c r="S1027" s="70"/>
    </row>
    <row r="1028" ht="15.75" customHeight="1">
      <c r="B1028" s="78"/>
      <c r="C1028" s="79"/>
      <c r="D1028" s="79"/>
      <c r="E1028" s="80"/>
      <c r="F1028" s="81"/>
      <c r="G1028" s="79"/>
      <c r="H1028" s="79"/>
      <c r="I1028" s="79"/>
      <c r="J1028" s="79"/>
      <c r="K1028" s="79"/>
      <c r="L1028" s="79"/>
      <c r="M1028" s="79"/>
      <c r="N1028" s="50"/>
      <c r="O1028" s="82"/>
      <c r="P1028" s="70"/>
      <c r="Q1028" s="70"/>
      <c r="R1028" s="70"/>
      <c r="S1028" s="70"/>
    </row>
    <row r="1029" ht="15.75" customHeight="1">
      <c r="B1029" s="78"/>
      <c r="C1029" s="79"/>
      <c r="D1029" s="79"/>
      <c r="E1029" s="80"/>
      <c r="F1029" s="81"/>
      <c r="G1029" s="79"/>
      <c r="H1029" s="79"/>
      <c r="I1029" s="79"/>
      <c r="J1029" s="79"/>
      <c r="K1029" s="79"/>
      <c r="L1029" s="79"/>
      <c r="M1029" s="79"/>
      <c r="N1029" s="50"/>
      <c r="O1029" s="82"/>
      <c r="P1029" s="70"/>
      <c r="Q1029" s="70"/>
      <c r="R1029" s="70"/>
      <c r="S1029" s="70"/>
    </row>
    <row r="1030" ht="15.75" customHeight="1">
      <c r="B1030" s="78"/>
      <c r="C1030" s="79"/>
      <c r="D1030" s="79"/>
      <c r="E1030" s="80"/>
      <c r="F1030" s="81"/>
      <c r="G1030" s="79"/>
      <c r="H1030" s="79"/>
      <c r="I1030" s="79"/>
      <c r="J1030" s="79"/>
      <c r="K1030" s="79"/>
      <c r="L1030" s="79"/>
      <c r="M1030" s="79"/>
      <c r="N1030" s="50"/>
      <c r="O1030" s="82"/>
      <c r="P1030" s="70"/>
      <c r="Q1030" s="70"/>
      <c r="R1030" s="70"/>
      <c r="S1030" s="70"/>
    </row>
    <row r="1031" ht="15.75" customHeight="1">
      <c r="B1031" s="78"/>
      <c r="C1031" s="79"/>
      <c r="D1031" s="79"/>
      <c r="E1031" s="80"/>
      <c r="F1031" s="81"/>
      <c r="G1031" s="79"/>
      <c r="H1031" s="79"/>
      <c r="I1031" s="79"/>
      <c r="J1031" s="79"/>
      <c r="K1031" s="79"/>
      <c r="L1031" s="79"/>
      <c r="M1031" s="79"/>
      <c r="N1031" s="50"/>
      <c r="O1031" s="82"/>
      <c r="P1031" s="70"/>
      <c r="Q1031" s="70"/>
      <c r="R1031" s="70"/>
      <c r="S1031" s="70"/>
    </row>
    <row r="1032" ht="15.75" customHeight="1">
      <c r="B1032" s="78"/>
      <c r="C1032" s="79"/>
      <c r="D1032" s="79"/>
      <c r="E1032" s="80"/>
      <c r="F1032" s="81"/>
      <c r="G1032" s="79"/>
      <c r="H1032" s="79"/>
      <c r="I1032" s="79"/>
      <c r="J1032" s="79"/>
      <c r="K1032" s="79"/>
      <c r="L1032" s="79"/>
      <c r="M1032" s="79"/>
      <c r="N1032" s="50"/>
      <c r="O1032" s="82"/>
      <c r="P1032" s="70"/>
      <c r="Q1032" s="70"/>
      <c r="R1032" s="70"/>
      <c r="S1032" s="70"/>
    </row>
    <row r="1033" ht="15.75" customHeight="1">
      <c r="B1033" s="78"/>
      <c r="C1033" s="79"/>
      <c r="D1033" s="79"/>
      <c r="E1033" s="80"/>
      <c r="F1033" s="81"/>
      <c r="G1033" s="79"/>
      <c r="H1033" s="79"/>
      <c r="I1033" s="79"/>
      <c r="J1033" s="79"/>
      <c r="K1033" s="79"/>
      <c r="L1033" s="79"/>
      <c r="M1033" s="79"/>
      <c r="N1033" s="50"/>
      <c r="O1033" s="82"/>
      <c r="P1033" s="70"/>
      <c r="Q1033" s="70"/>
      <c r="R1033" s="70"/>
      <c r="S1033" s="70"/>
    </row>
    <row r="1034" ht="15.75" customHeight="1">
      <c r="B1034" s="78"/>
      <c r="C1034" s="79"/>
      <c r="D1034" s="79"/>
      <c r="E1034" s="80"/>
      <c r="F1034" s="81"/>
      <c r="G1034" s="79"/>
      <c r="H1034" s="79"/>
      <c r="I1034" s="79"/>
      <c r="J1034" s="79"/>
      <c r="K1034" s="79"/>
      <c r="L1034" s="79"/>
      <c r="M1034" s="79"/>
      <c r="N1034" s="50"/>
      <c r="O1034" s="82"/>
      <c r="P1034" s="70"/>
      <c r="Q1034" s="70"/>
      <c r="R1034" s="70"/>
      <c r="S1034" s="70"/>
    </row>
    <row r="1035" ht="15.75" customHeight="1">
      <c r="B1035" s="78"/>
      <c r="C1035" s="79"/>
      <c r="D1035" s="79"/>
      <c r="E1035" s="80"/>
      <c r="F1035" s="81"/>
      <c r="G1035" s="79"/>
      <c r="H1035" s="79"/>
      <c r="I1035" s="79"/>
      <c r="J1035" s="79"/>
      <c r="K1035" s="79"/>
      <c r="L1035" s="79"/>
      <c r="M1035" s="79"/>
      <c r="N1035" s="50"/>
      <c r="O1035" s="82"/>
      <c r="P1035" s="70"/>
      <c r="Q1035" s="70"/>
      <c r="R1035" s="70"/>
      <c r="S1035" s="70"/>
    </row>
    <row r="1036" ht="15.75" customHeight="1">
      <c r="B1036" s="78"/>
      <c r="C1036" s="79"/>
      <c r="D1036" s="79"/>
      <c r="E1036" s="80"/>
      <c r="F1036" s="81"/>
      <c r="G1036" s="79"/>
      <c r="H1036" s="79"/>
      <c r="I1036" s="79"/>
      <c r="J1036" s="79"/>
      <c r="K1036" s="79"/>
      <c r="L1036" s="79"/>
      <c r="M1036" s="79"/>
      <c r="N1036" s="50"/>
      <c r="O1036" s="82"/>
      <c r="P1036" s="70"/>
      <c r="Q1036" s="70"/>
      <c r="R1036" s="70"/>
      <c r="S1036" s="70"/>
    </row>
    <row r="1037" ht="15.75" customHeight="1">
      <c r="B1037" s="78"/>
      <c r="C1037" s="79"/>
      <c r="D1037" s="79"/>
      <c r="E1037" s="80"/>
      <c r="F1037" s="81"/>
      <c r="G1037" s="79"/>
      <c r="H1037" s="79"/>
      <c r="I1037" s="79"/>
      <c r="J1037" s="79"/>
      <c r="K1037" s="79"/>
      <c r="L1037" s="79"/>
      <c r="M1037" s="79"/>
      <c r="N1037" s="50"/>
      <c r="O1037" s="82"/>
      <c r="P1037" s="70"/>
      <c r="Q1037" s="70"/>
      <c r="R1037" s="70"/>
      <c r="S1037" s="70"/>
    </row>
    <row r="1038" ht="15.75" customHeight="1">
      <c r="B1038" s="78"/>
      <c r="C1038" s="79"/>
      <c r="D1038" s="79"/>
      <c r="E1038" s="80"/>
      <c r="F1038" s="81"/>
      <c r="G1038" s="79"/>
      <c r="H1038" s="79"/>
      <c r="I1038" s="79"/>
      <c r="J1038" s="79"/>
      <c r="K1038" s="79"/>
      <c r="L1038" s="79"/>
      <c r="M1038" s="79"/>
      <c r="N1038" s="50"/>
      <c r="O1038" s="82"/>
      <c r="P1038" s="70"/>
      <c r="Q1038" s="70"/>
      <c r="R1038" s="70"/>
      <c r="S1038" s="70"/>
    </row>
    <row r="1039" ht="15.75" customHeight="1">
      <c r="B1039" s="78"/>
      <c r="C1039" s="79"/>
      <c r="D1039" s="79"/>
      <c r="E1039" s="80"/>
      <c r="F1039" s="81"/>
      <c r="G1039" s="79"/>
      <c r="H1039" s="79"/>
      <c r="I1039" s="79"/>
      <c r="J1039" s="79"/>
      <c r="K1039" s="79"/>
      <c r="L1039" s="79"/>
      <c r="M1039" s="79"/>
      <c r="N1039" s="50"/>
      <c r="O1039" s="82"/>
      <c r="P1039" s="70"/>
      <c r="Q1039" s="70"/>
      <c r="R1039" s="70"/>
      <c r="S1039" s="70"/>
    </row>
    <row r="1040" ht="15.75" customHeight="1">
      <c r="B1040" s="78"/>
      <c r="C1040" s="79"/>
      <c r="D1040" s="79"/>
      <c r="E1040" s="80"/>
      <c r="F1040" s="81"/>
      <c r="G1040" s="79"/>
      <c r="H1040" s="79"/>
      <c r="I1040" s="79"/>
      <c r="J1040" s="79"/>
      <c r="K1040" s="79"/>
      <c r="L1040" s="79"/>
      <c r="M1040" s="79"/>
      <c r="N1040" s="50"/>
      <c r="O1040" s="82"/>
      <c r="P1040" s="70"/>
      <c r="Q1040" s="70"/>
      <c r="R1040" s="70"/>
      <c r="S1040" s="70"/>
    </row>
    <row r="1041" ht="15.75" customHeight="1">
      <c r="B1041" s="78"/>
      <c r="C1041" s="79"/>
      <c r="D1041" s="79"/>
      <c r="E1041" s="80"/>
      <c r="F1041" s="81"/>
      <c r="G1041" s="79"/>
      <c r="H1041" s="79"/>
      <c r="I1041" s="79"/>
      <c r="J1041" s="79"/>
      <c r="K1041" s="79"/>
      <c r="L1041" s="79"/>
      <c r="M1041" s="79"/>
      <c r="N1041" s="50"/>
      <c r="O1041" s="82"/>
      <c r="P1041" s="70"/>
      <c r="Q1041" s="70"/>
      <c r="R1041" s="70"/>
      <c r="S1041" s="70"/>
    </row>
    <row r="1042" ht="15.75" customHeight="1">
      <c r="B1042" s="78"/>
      <c r="C1042" s="79"/>
      <c r="D1042" s="79"/>
      <c r="E1042" s="80"/>
      <c r="F1042" s="81"/>
      <c r="G1042" s="79"/>
      <c r="H1042" s="79"/>
      <c r="I1042" s="79"/>
      <c r="J1042" s="79"/>
      <c r="K1042" s="79"/>
      <c r="L1042" s="79"/>
      <c r="M1042" s="79"/>
      <c r="N1042" s="50"/>
      <c r="O1042" s="82"/>
      <c r="P1042" s="70"/>
      <c r="Q1042" s="70"/>
      <c r="R1042" s="70"/>
      <c r="S1042" s="70"/>
    </row>
    <row r="1043" ht="15.75" customHeight="1">
      <c r="B1043" s="78"/>
      <c r="C1043" s="79"/>
      <c r="D1043" s="79"/>
      <c r="E1043" s="80"/>
      <c r="F1043" s="81"/>
      <c r="G1043" s="79"/>
      <c r="H1043" s="79"/>
      <c r="I1043" s="79"/>
      <c r="J1043" s="79"/>
      <c r="K1043" s="79"/>
      <c r="L1043" s="79"/>
      <c r="M1043" s="79"/>
      <c r="N1043" s="50"/>
      <c r="O1043" s="82"/>
      <c r="P1043" s="70"/>
      <c r="Q1043" s="70"/>
      <c r="R1043" s="70"/>
      <c r="S1043" s="70"/>
    </row>
    <row r="1044" ht="15.75" customHeight="1">
      <c r="B1044" s="78"/>
      <c r="C1044" s="79"/>
      <c r="D1044" s="79"/>
      <c r="E1044" s="80"/>
      <c r="F1044" s="81"/>
      <c r="G1044" s="79"/>
      <c r="H1044" s="79"/>
      <c r="I1044" s="79"/>
      <c r="J1044" s="79"/>
      <c r="K1044" s="79"/>
      <c r="L1044" s="79"/>
      <c r="M1044" s="79"/>
      <c r="N1044" s="50"/>
      <c r="O1044" s="82"/>
      <c r="P1044" s="70"/>
      <c r="Q1044" s="70"/>
      <c r="R1044" s="70"/>
      <c r="S1044" s="70"/>
    </row>
    <row r="1045" ht="15.75" customHeight="1">
      <c r="B1045" s="78"/>
      <c r="C1045" s="79"/>
      <c r="D1045" s="79"/>
      <c r="E1045" s="80"/>
      <c r="F1045" s="81"/>
      <c r="G1045" s="79"/>
      <c r="H1045" s="79"/>
      <c r="I1045" s="79"/>
      <c r="J1045" s="79"/>
      <c r="K1045" s="79"/>
      <c r="L1045" s="79"/>
      <c r="M1045" s="79"/>
      <c r="N1045" s="50"/>
      <c r="O1045" s="82"/>
      <c r="P1045" s="70"/>
      <c r="Q1045" s="70"/>
      <c r="R1045" s="70"/>
      <c r="S1045" s="70"/>
    </row>
    <row r="1046" ht="15.75" customHeight="1">
      <c r="B1046" s="78"/>
      <c r="C1046" s="79"/>
      <c r="D1046" s="79"/>
      <c r="E1046" s="80"/>
      <c r="F1046" s="81"/>
      <c r="G1046" s="79"/>
      <c r="H1046" s="79"/>
      <c r="I1046" s="79"/>
      <c r="J1046" s="79"/>
      <c r="K1046" s="79"/>
      <c r="L1046" s="79"/>
      <c r="M1046" s="79"/>
      <c r="N1046" s="50"/>
      <c r="O1046" s="82"/>
      <c r="P1046" s="70"/>
      <c r="Q1046" s="70"/>
      <c r="R1046" s="70"/>
      <c r="S1046" s="70"/>
    </row>
    <row r="1047" ht="15.75" customHeight="1">
      <c r="B1047" s="78"/>
      <c r="C1047" s="79"/>
      <c r="D1047" s="79"/>
      <c r="E1047" s="80"/>
      <c r="F1047" s="81"/>
      <c r="G1047" s="79"/>
      <c r="H1047" s="79"/>
      <c r="I1047" s="79"/>
      <c r="J1047" s="79"/>
      <c r="K1047" s="79"/>
      <c r="L1047" s="79"/>
      <c r="M1047" s="79"/>
      <c r="N1047" s="50"/>
      <c r="O1047" s="82"/>
      <c r="P1047" s="70"/>
      <c r="Q1047" s="70"/>
      <c r="R1047" s="70"/>
      <c r="S1047" s="70"/>
    </row>
    <row r="1048" ht="15.75" customHeight="1">
      <c r="B1048" s="78"/>
      <c r="C1048" s="79"/>
      <c r="D1048" s="79"/>
      <c r="E1048" s="80"/>
      <c r="F1048" s="81"/>
      <c r="G1048" s="79"/>
      <c r="H1048" s="79"/>
      <c r="I1048" s="79"/>
      <c r="J1048" s="79"/>
      <c r="K1048" s="79"/>
      <c r="L1048" s="79"/>
      <c r="M1048" s="79"/>
      <c r="N1048" s="50"/>
      <c r="O1048" s="82"/>
      <c r="P1048" s="70"/>
      <c r="Q1048" s="70"/>
      <c r="R1048" s="70"/>
      <c r="S1048" s="70"/>
    </row>
    <row r="1049" ht="15.75" customHeight="1">
      <c r="B1049" s="78"/>
      <c r="C1049" s="79"/>
      <c r="D1049" s="79"/>
      <c r="E1049" s="80"/>
      <c r="F1049" s="81"/>
      <c r="G1049" s="79"/>
      <c r="H1049" s="79"/>
      <c r="I1049" s="79"/>
      <c r="J1049" s="79"/>
      <c r="K1049" s="79"/>
      <c r="L1049" s="79"/>
      <c r="M1049" s="79"/>
      <c r="N1049" s="50"/>
      <c r="O1049" s="82"/>
      <c r="P1049" s="70"/>
      <c r="Q1049" s="70"/>
      <c r="R1049" s="70"/>
      <c r="S1049" s="70"/>
    </row>
    <row r="1050" ht="15.75" customHeight="1">
      <c r="B1050" s="78"/>
      <c r="C1050" s="79"/>
      <c r="D1050" s="79"/>
      <c r="E1050" s="80"/>
      <c r="F1050" s="81"/>
      <c r="G1050" s="79"/>
      <c r="H1050" s="79"/>
      <c r="I1050" s="79"/>
      <c r="J1050" s="79"/>
      <c r="K1050" s="79"/>
      <c r="L1050" s="79"/>
      <c r="M1050" s="79"/>
      <c r="N1050" s="50"/>
      <c r="O1050" s="82"/>
      <c r="P1050" s="70"/>
      <c r="Q1050" s="70"/>
      <c r="R1050" s="70"/>
      <c r="S1050" s="70"/>
    </row>
    <row r="1051" ht="15.75" customHeight="1">
      <c r="B1051" s="78"/>
      <c r="C1051" s="79"/>
      <c r="D1051" s="79"/>
      <c r="E1051" s="80"/>
      <c r="F1051" s="81"/>
      <c r="G1051" s="79"/>
      <c r="H1051" s="79"/>
      <c r="I1051" s="79"/>
      <c r="J1051" s="79"/>
      <c r="K1051" s="79"/>
      <c r="L1051" s="79"/>
      <c r="M1051" s="79"/>
      <c r="N1051" s="50"/>
      <c r="O1051" s="82"/>
      <c r="P1051" s="70"/>
      <c r="Q1051" s="70"/>
      <c r="R1051" s="70"/>
      <c r="S1051" s="70"/>
    </row>
    <row r="1052" ht="15.75" customHeight="1">
      <c r="B1052" s="78"/>
      <c r="C1052" s="79"/>
      <c r="D1052" s="79"/>
      <c r="E1052" s="80"/>
      <c r="F1052" s="81"/>
      <c r="G1052" s="79"/>
      <c r="H1052" s="79"/>
      <c r="I1052" s="79"/>
      <c r="J1052" s="79"/>
      <c r="K1052" s="79"/>
      <c r="L1052" s="79"/>
      <c r="M1052" s="79"/>
      <c r="N1052" s="50"/>
      <c r="O1052" s="82"/>
      <c r="P1052" s="70"/>
      <c r="Q1052" s="70"/>
      <c r="R1052" s="70"/>
      <c r="S1052" s="70"/>
    </row>
    <row r="1053" ht="15.75" customHeight="1">
      <c r="B1053" s="78"/>
      <c r="C1053" s="79"/>
      <c r="D1053" s="79"/>
      <c r="E1053" s="80"/>
      <c r="F1053" s="81"/>
      <c r="G1053" s="79"/>
      <c r="H1053" s="79"/>
      <c r="I1053" s="79"/>
      <c r="J1053" s="79"/>
      <c r="K1053" s="79"/>
      <c r="L1053" s="79"/>
      <c r="M1053" s="79"/>
      <c r="N1053" s="50"/>
      <c r="O1053" s="82"/>
      <c r="P1053" s="70"/>
      <c r="Q1053" s="70"/>
      <c r="R1053" s="70"/>
      <c r="S1053" s="70"/>
    </row>
    <row r="1054" ht="15.75" customHeight="1">
      <c r="B1054" s="78"/>
      <c r="C1054" s="79"/>
      <c r="D1054" s="79"/>
      <c r="E1054" s="80"/>
      <c r="F1054" s="81"/>
      <c r="G1054" s="79"/>
      <c r="H1054" s="79"/>
      <c r="I1054" s="79"/>
      <c r="J1054" s="79"/>
      <c r="K1054" s="79"/>
      <c r="L1054" s="79"/>
      <c r="M1054" s="79"/>
      <c r="N1054" s="50"/>
      <c r="O1054" s="82"/>
      <c r="P1054" s="70"/>
      <c r="Q1054" s="70"/>
      <c r="R1054" s="70"/>
      <c r="S1054" s="70"/>
    </row>
    <row r="1055" ht="15.75" customHeight="1">
      <c r="B1055" s="78"/>
      <c r="C1055" s="79"/>
      <c r="D1055" s="79"/>
      <c r="E1055" s="80"/>
      <c r="F1055" s="81"/>
      <c r="G1055" s="79"/>
      <c r="H1055" s="79"/>
      <c r="I1055" s="79"/>
      <c r="J1055" s="79"/>
      <c r="K1055" s="79"/>
      <c r="L1055" s="79"/>
      <c r="M1055" s="79"/>
      <c r="N1055" s="50"/>
      <c r="O1055" s="82"/>
      <c r="P1055" s="70"/>
      <c r="Q1055" s="70"/>
      <c r="R1055" s="70"/>
      <c r="S1055" s="70"/>
    </row>
    <row r="1056" ht="15.75" customHeight="1">
      <c r="B1056" s="78"/>
      <c r="C1056" s="79"/>
      <c r="D1056" s="79"/>
      <c r="E1056" s="80"/>
      <c r="F1056" s="81"/>
      <c r="G1056" s="79"/>
      <c r="H1056" s="79"/>
      <c r="I1056" s="79"/>
      <c r="J1056" s="79"/>
      <c r="K1056" s="79"/>
      <c r="L1056" s="79"/>
      <c r="M1056" s="79"/>
      <c r="N1056" s="50"/>
      <c r="O1056" s="82"/>
      <c r="P1056" s="70"/>
      <c r="Q1056" s="70"/>
      <c r="R1056" s="70"/>
      <c r="S1056" s="70"/>
    </row>
    <row r="1057" ht="15.75" customHeight="1">
      <c r="B1057" s="78"/>
      <c r="C1057" s="79"/>
      <c r="D1057" s="79"/>
      <c r="E1057" s="80"/>
      <c r="F1057" s="81"/>
      <c r="G1057" s="79"/>
      <c r="H1057" s="79"/>
      <c r="I1057" s="79"/>
      <c r="J1057" s="79"/>
      <c r="K1057" s="79"/>
      <c r="L1057" s="79"/>
      <c r="M1057" s="79"/>
      <c r="N1057" s="50"/>
      <c r="O1057" s="82"/>
      <c r="P1057" s="70"/>
      <c r="Q1057" s="70"/>
      <c r="R1057" s="70"/>
      <c r="S1057" s="70"/>
    </row>
    <row r="1058" ht="15.75" customHeight="1">
      <c r="B1058" s="78"/>
      <c r="C1058" s="79"/>
      <c r="D1058" s="79"/>
      <c r="E1058" s="80"/>
      <c r="F1058" s="81"/>
      <c r="G1058" s="79"/>
      <c r="H1058" s="79"/>
      <c r="I1058" s="79"/>
      <c r="J1058" s="79"/>
      <c r="K1058" s="79"/>
      <c r="L1058" s="79"/>
      <c r="M1058" s="79"/>
      <c r="N1058" s="50"/>
      <c r="O1058" s="82"/>
      <c r="P1058" s="70"/>
      <c r="Q1058" s="70"/>
      <c r="R1058" s="70"/>
      <c r="S1058" s="70"/>
    </row>
    <row r="1059" ht="15.75" customHeight="1">
      <c r="B1059" s="78"/>
      <c r="C1059" s="79"/>
      <c r="D1059" s="79"/>
      <c r="E1059" s="80"/>
      <c r="F1059" s="81"/>
      <c r="G1059" s="79"/>
      <c r="H1059" s="79"/>
      <c r="I1059" s="79"/>
      <c r="J1059" s="79"/>
      <c r="K1059" s="79"/>
      <c r="L1059" s="79"/>
      <c r="M1059" s="79"/>
      <c r="N1059" s="50"/>
      <c r="O1059" s="82"/>
      <c r="P1059" s="70"/>
      <c r="Q1059" s="70"/>
      <c r="R1059" s="70"/>
      <c r="S1059" s="70"/>
    </row>
    <row r="1060" ht="15.75" customHeight="1">
      <c r="B1060" s="78"/>
      <c r="C1060" s="79"/>
      <c r="D1060" s="79"/>
      <c r="E1060" s="80"/>
      <c r="F1060" s="81"/>
      <c r="G1060" s="79"/>
      <c r="H1060" s="79"/>
      <c r="I1060" s="79"/>
      <c r="J1060" s="79"/>
      <c r="K1060" s="79"/>
      <c r="L1060" s="79"/>
      <c r="M1060" s="79"/>
      <c r="N1060" s="50"/>
      <c r="O1060" s="82"/>
      <c r="P1060" s="70"/>
      <c r="Q1060" s="70"/>
      <c r="R1060" s="70"/>
      <c r="S1060" s="70"/>
    </row>
    <row r="1061" ht="15.75" customHeight="1">
      <c r="B1061" s="78"/>
      <c r="C1061" s="79"/>
      <c r="D1061" s="79"/>
      <c r="E1061" s="80"/>
      <c r="F1061" s="81"/>
      <c r="G1061" s="79"/>
      <c r="H1061" s="79"/>
      <c r="I1061" s="79"/>
      <c r="J1061" s="79"/>
      <c r="K1061" s="79"/>
      <c r="L1061" s="79"/>
      <c r="M1061" s="79"/>
      <c r="N1061" s="50"/>
      <c r="O1061" s="82"/>
      <c r="P1061" s="70"/>
      <c r="Q1061" s="70"/>
      <c r="R1061" s="70"/>
      <c r="S1061" s="70"/>
    </row>
    <row r="1062" ht="15.75" customHeight="1">
      <c r="B1062" s="78"/>
      <c r="C1062" s="79"/>
      <c r="D1062" s="79"/>
      <c r="E1062" s="80"/>
      <c r="F1062" s="81"/>
      <c r="G1062" s="79"/>
      <c r="H1062" s="79"/>
      <c r="I1062" s="79"/>
      <c r="J1062" s="79"/>
      <c r="K1062" s="79"/>
      <c r="L1062" s="79"/>
      <c r="M1062" s="79"/>
      <c r="N1062" s="50"/>
      <c r="O1062" s="82"/>
      <c r="P1062" s="70"/>
      <c r="Q1062" s="70"/>
      <c r="R1062" s="70"/>
      <c r="S1062" s="70"/>
    </row>
    <row r="1063" ht="15.75" customHeight="1">
      <c r="B1063" s="78"/>
      <c r="C1063" s="79"/>
      <c r="D1063" s="79"/>
      <c r="E1063" s="80"/>
      <c r="F1063" s="81"/>
      <c r="G1063" s="79"/>
      <c r="H1063" s="79"/>
      <c r="I1063" s="79"/>
      <c r="J1063" s="79"/>
      <c r="K1063" s="79"/>
      <c r="L1063" s="79"/>
      <c r="M1063" s="79"/>
      <c r="N1063" s="50"/>
      <c r="O1063" s="82"/>
      <c r="P1063" s="70"/>
      <c r="Q1063" s="70"/>
      <c r="R1063" s="70"/>
      <c r="S1063" s="70"/>
    </row>
    <row r="1064" ht="15.75" customHeight="1">
      <c r="B1064" s="78"/>
      <c r="C1064" s="79"/>
      <c r="D1064" s="79"/>
      <c r="E1064" s="80"/>
      <c r="F1064" s="81"/>
      <c r="G1064" s="79"/>
      <c r="H1064" s="79"/>
      <c r="I1064" s="79"/>
      <c r="J1064" s="79"/>
      <c r="K1064" s="79"/>
      <c r="L1064" s="79"/>
      <c r="M1064" s="79"/>
      <c r="N1064" s="50"/>
      <c r="O1064" s="82"/>
      <c r="P1064" s="70"/>
      <c r="Q1064" s="70"/>
      <c r="R1064" s="70"/>
      <c r="S1064" s="70"/>
    </row>
    <row r="1065" ht="15.75" customHeight="1">
      <c r="B1065" s="78"/>
      <c r="C1065" s="79"/>
      <c r="D1065" s="79"/>
      <c r="E1065" s="80"/>
      <c r="F1065" s="81"/>
      <c r="G1065" s="79"/>
      <c r="H1065" s="79"/>
      <c r="I1065" s="79"/>
      <c r="J1065" s="79"/>
      <c r="K1065" s="79"/>
      <c r="L1065" s="79"/>
      <c r="M1065" s="79"/>
      <c r="N1065" s="50"/>
      <c r="O1065" s="82"/>
      <c r="P1065" s="70"/>
      <c r="Q1065" s="70"/>
      <c r="R1065" s="70"/>
      <c r="S1065" s="70"/>
    </row>
    <row r="1066" ht="15.75" customHeight="1">
      <c r="B1066" s="78"/>
      <c r="C1066" s="79"/>
      <c r="D1066" s="79"/>
      <c r="E1066" s="80"/>
      <c r="F1066" s="81"/>
      <c r="G1066" s="79"/>
      <c r="H1066" s="79"/>
      <c r="I1066" s="79"/>
      <c r="J1066" s="79"/>
      <c r="K1066" s="79"/>
      <c r="L1066" s="79"/>
      <c r="M1066" s="79"/>
      <c r="N1066" s="50"/>
      <c r="O1066" s="82"/>
      <c r="P1066" s="70"/>
      <c r="Q1066" s="70"/>
      <c r="R1066" s="70"/>
      <c r="S1066" s="70"/>
    </row>
    <row r="1067" ht="15.75" customHeight="1">
      <c r="B1067" s="78"/>
      <c r="C1067" s="79"/>
      <c r="D1067" s="79"/>
      <c r="E1067" s="80"/>
      <c r="F1067" s="81"/>
      <c r="G1067" s="79"/>
      <c r="H1067" s="79"/>
      <c r="I1067" s="79"/>
      <c r="J1067" s="79"/>
      <c r="K1067" s="79"/>
      <c r="L1067" s="79"/>
      <c r="M1067" s="79"/>
      <c r="N1067" s="50"/>
      <c r="O1067" s="82"/>
      <c r="P1067" s="70"/>
      <c r="Q1067" s="70"/>
      <c r="R1067" s="70"/>
      <c r="S1067" s="70"/>
    </row>
    <row r="1068" ht="15.75" customHeight="1">
      <c r="B1068" s="78"/>
      <c r="C1068" s="79"/>
      <c r="D1068" s="79"/>
      <c r="E1068" s="80"/>
      <c r="F1068" s="81"/>
      <c r="G1068" s="79"/>
      <c r="H1068" s="79"/>
      <c r="I1068" s="79"/>
      <c r="J1068" s="79"/>
      <c r="K1068" s="79"/>
      <c r="L1068" s="79"/>
      <c r="M1068" s="79"/>
      <c r="N1068" s="50"/>
      <c r="O1068" s="82"/>
      <c r="P1068" s="70"/>
      <c r="Q1068" s="70"/>
      <c r="R1068" s="70"/>
      <c r="S1068" s="70"/>
    </row>
    <row r="1069" ht="15.75" customHeight="1">
      <c r="B1069" s="78"/>
      <c r="C1069" s="79"/>
      <c r="D1069" s="79"/>
      <c r="E1069" s="80"/>
      <c r="F1069" s="81"/>
      <c r="G1069" s="79"/>
      <c r="H1069" s="79"/>
      <c r="I1069" s="79"/>
      <c r="J1069" s="79"/>
      <c r="K1069" s="79"/>
      <c r="L1069" s="79"/>
      <c r="M1069" s="79"/>
      <c r="N1069" s="50"/>
      <c r="O1069" s="82"/>
      <c r="P1069" s="70"/>
      <c r="Q1069" s="70"/>
      <c r="R1069" s="70"/>
      <c r="S1069" s="70"/>
    </row>
    <row r="1070" ht="15.75" customHeight="1">
      <c r="B1070" s="78"/>
      <c r="C1070" s="79"/>
      <c r="D1070" s="79"/>
      <c r="E1070" s="80"/>
      <c r="F1070" s="81"/>
      <c r="G1070" s="79"/>
      <c r="H1070" s="79"/>
      <c r="I1070" s="79"/>
      <c r="J1070" s="79"/>
      <c r="K1070" s="79"/>
      <c r="L1070" s="79"/>
      <c r="M1070" s="79"/>
      <c r="N1070" s="50"/>
      <c r="O1070" s="82"/>
      <c r="P1070" s="70"/>
      <c r="Q1070" s="70"/>
      <c r="R1070" s="70"/>
      <c r="S1070" s="70"/>
    </row>
    <row r="1071" ht="15.75" customHeight="1">
      <c r="B1071" s="78"/>
      <c r="C1071" s="79"/>
      <c r="D1071" s="79"/>
      <c r="E1071" s="80"/>
      <c r="F1071" s="81"/>
      <c r="G1071" s="79"/>
      <c r="H1071" s="79"/>
      <c r="I1071" s="79"/>
      <c r="J1071" s="79"/>
      <c r="K1071" s="79"/>
      <c r="L1071" s="79"/>
      <c r="M1071" s="79"/>
      <c r="N1071" s="50"/>
      <c r="O1071" s="82"/>
      <c r="P1071" s="70"/>
      <c r="Q1071" s="70"/>
      <c r="R1071" s="70"/>
      <c r="S1071" s="70"/>
    </row>
    <row r="1072" ht="15.75" customHeight="1">
      <c r="B1072" s="78"/>
      <c r="C1072" s="79"/>
      <c r="D1072" s="79"/>
      <c r="E1072" s="80"/>
      <c r="F1072" s="81"/>
      <c r="G1072" s="79"/>
      <c r="H1072" s="79"/>
      <c r="I1072" s="79"/>
      <c r="J1072" s="79"/>
      <c r="K1072" s="79"/>
      <c r="L1072" s="79"/>
      <c r="M1072" s="79"/>
      <c r="N1072" s="50"/>
      <c r="O1072" s="82"/>
      <c r="P1072" s="70"/>
      <c r="Q1072" s="70"/>
      <c r="R1072" s="70"/>
      <c r="S1072" s="70"/>
    </row>
    <row r="1073" ht="15.75" customHeight="1">
      <c r="B1073" s="78"/>
      <c r="C1073" s="79"/>
      <c r="D1073" s="79"/>
      <c r="E1073" s="80"/>
      <c r="F1073" s="81"/>
      <c r="G1073" s="79"/>
      <c r="H1073" s="79"/>
      <c r="I1073" s="79"/>
      <c r="J1073" s="79"/>
      <c r="K1073" s="79"/>
      <c r="L1073" s="79"/>
      <c r="M1073" s="79"/>
      <c r="N1073" s="50"/>
      <c r="O1073" s="82"/>
      <c r="P1073" s="70"/>
      <c r="Q1073" s="70"/>
      <c r="R1073" s="70"/>
      <c r="S1073" s="70"/>
    </row>
    <row r="1074" ht="15.75" customHeight="1">
      <c r="B1074" s="78"/>
      <c r="C1074" s="79"/>
      <c r="D1074" s="79"/>
      <c r="E1074" s="80"/>
      <c r="F1074" s="81"/>
      <c r="G1074" s="79"/>
      <c r="H1074" s="79"/>
      <c r="I1074" s="79"/>
      <c r="J1074" s="79"/>
      <c r="K1074" s="79"/>
      <c r="L1074" s="79"/>
      <c r="M1074" s="79"/>
      <c r="N1074" s="50"/>
      <c r="O1074" s="82"/>
      <c r="P1074" s="70"/>
      <c r="Q1074" s="70"/>
      <c r="R1074" s="70"/>
      <c r="S1074" s="70"/>
    </row>
    <row r="1075" ht="15.75" customHeight="1">
      <c r="B1075" s="78"/>
      <c r="C1075" s="79"/>
      <c r="D1075" s="79"/>
      <c r="E1075" s="80"/>
      <c r="F1075" s="81"/>
      <c r="G1075" s="79"/>
      <c r="H1075" s="79"/>
      <c r="I1075" s="79"/>
      <c r="J1075" s="79"/>
      <c r="K1075" s="79"/>
      <c r="L1075" s="79"/>
      <c r="M1075" s="79"/>
      <c r="N1075" s="50"/>
      <c r="O1075" s="82"/>
      <c r="P1075" s="70"/>
      <c r="Q1075" s="70"/>
      <c r="R1075" s="70"/>
      <c r="S1075" s="70"/>
    </row>
    <row r="1076" ht="15.75" customHeight="1">
      <c r="B1076" s="78"/>
      <c r="C1076" s="79"/>
      <c r="D1076" s="79"/>
      <c r="E1076" s="80"/>
      <c r="F1076" s="81"/>
      <c r="G1076" s="79"/>
      <c r="H1076" s="79"/>
      <c r="I1076" s="79"/>
      <c r="J1076" s="79"/>
      <c r="K1076" s="79"/>
      <c r="L1076" s="79"/>
      <c r="M1076" s="79"/>
      <c r="N1076" s="50"/>
      <c r="O1076" s="82"/>
      <c r="P1076" s="70"/>
      <c r="Q1076" s="70"/>
      <c r="R1076" s="70"/>
      <c r="S1076" s="70"/>
    </row>
    <row r="1077" ht="15.75" customHeight="1">
      <c r="B1077" s="78"/>
      <c r="C1077" s="79"/>
      <c r="D1077" s="79"/>
      <c r="E1077" s="80"/>
      <c r="F1077" s="81"/>
      <c r="G1077" s="79"/>
      <c r="H1077" s="79"/>
      <c r="I1077" s="79"/>
      <c r="J1077" s="79"/>
      <c r="K1077" s="79"/>
      <c r="L1077" s="79"/>
      <c r="M1077" s="79"/>
      <c r="N1077" s="50"/>
      <c r="O1077" s="82"/>
      <c r="P1077" s="70"/>
      <c r="Q1077" s="70"/>
      <c r="R1077" s="70"/>
      <c r="S1077" s="70"/>
    </row>
    <row r="1078" ht="15.75" customHeight="1">
      <c r="B1078" s="78"/>
      <c r="C1078" s="79"/>
      <c r="D1078" s="79"/>
      <c r="E1078" s="80"/>
      <c r="F1078" s="81"/>
      <c r="G1078" s="79"/>
      <c r="H1078" s="79"/>
      <c r="I1078" s="79"/>
      <c r="J1078" s="79"/>
      <c r="K1078" s="79"/>
      <c r="L1078" s="79"/>
      <c r="M1078" s="79"/>
      <c r="N1078" s="50"/>
      <c r="O1078" s="82"/>
      <c r="P1078" s="70"/>
      <c r="Q1078" s="70"/>
      <c r="R1078" s="70"/>
      <c r="S1078" s="70"/>
    </row>
    <row r="1079" ht="15.75" customHeight="1">
      <c r="B1079" s="78"/>
      <c r="C1079" s="79"/>
      <c r="D1079" s="79"/>
      <c r="E1079" s="80"/>
      <c r="F1079" s="81"/>
      <c r="G1079" s="79"/>
      <c r="H1079" s="79"/>
      <c r="I1079" s="79"/>
      <c r="J1079" s="79"/>
      <c r="K1079" s="79"/>
      <c r="L1079" s="79"/>
      <c r="M1079" s="79"/>
      <c r="N1079" s="50"/>
      <c r="O1079" s="82"/>
      <c r="P1079" s="70"/>
      <c r="Q1079" s="70"/>
      <c r="R1079" s="70"/>
      <c r="S1079" s="70"/>
    </row>
    <row r="1080" ht="15.75" customHeight="1">
      <c r="B1080" s="78"/>
      <c r="C1080" s="79"/>
      <c r="D1080" s="79"/>
      <c r="E1080" s="80"/>
      <c r="F1080" s="81"/>
      <c r="G1080" s="79"/>
      <c r="H1080" s="79"/>
      <c r="I1080" s="79"/>
      <c r="J1080" s="79"/>
      <c r="K1080" s="79"/>
      <c r="L1080" s="79"/>
      <c r="M1080" s="79"/>
      <c r="N1080" s="50"/>
      <c r="O1080" s="82"/>
      <c r="P1080" s="70"/>
      <c r="Q1080" s="70"/>
      <c r="R1080" s="70"/>
      <c r="S1080" s="70"/>
    </row>
    <row r="1081" ht="15.75" customHeight="1">
      <c r="B1081" s="78"/>
      <c r="C1081" s="79"/>
      <c r="D1081" s="79"/>
      <c r="E1081" s="80"/>
      <c r="F1081" s="81"/>
      <c r="G1081" s="79"/>
      <c r="H1081" s="79"/>
      <c r="I1081" s="79"/>
      <c r="J1081" s="79"/>
      <c r="K1081" s="79"/>
      <c r="L1081" s="79"/>
      <c r="M1081" s="79"/>
      <c r="N1081" s="50"/>
      <c r="O1081" s="82"/>
      <c r="P1081" s="70"/>
      <c r="Q1081" s="70"/>
      <c r="R1081" s="70"/>
      <c r="S1081" s="70"/>
    </row>
    <row r="1082" ht="15.75" customHeight="1">
      <c r="B1082" s="78"/>
      <c r="C1082" s="79"/>
      <c r="D1082" s="79"/>
      <c r="E1082" s="80"/>
      <c r="F1082" s="81"/>
      <c r="G1082" s="79"/>
      <c r="H1082" s="79"/>
      <c r="I1082" s="79"/>
      <c r="J1082" s="79"/>
      <c r="K1082" s="79"/>
      <c r="L1082" s="79"/>
      <c r="M1082" s="79"/>
      <c r="N1082" s="50"/>
      <c r="O1082" s="82"/>
      <c r="P1082" s="70"/>
      <c r="Q1082" s="70"/>
      <c r="R1082" s="70"/>
      <c r="S1082" s="70"/>
    </row>
    <row r="1083" ht="15.75" customHeight="1">
      <c r="B1083" s="78"/>
      <c r="C1083" s="79"/>
      <c r="D1083" s="79"/>
      <c r="E1083" s="80"/>
      <c r="F1083" s="81"/>
      <c r="G1083" s="79"/>
      <c r="H1083" s="79"/>
      <c r="I1083" s="79"/>
      <c r="J1083" s="79"/>
      <c r="K1083" s="79"/>
      <c r="L1083" s="79"/>
      <c r="M1083" s="79"/>
      <c r="N1083" s="50"/>
      <c r="O1083" s="82"/>
      <c r="P1083" s="70"/>
      <c r="Q1083" s="70"/>
      <c r="R1083" s="70"/>
      <c r="S1083" s="70"/>
    </row>
    <row r="1084" ht="15.75" customHeight="1">
      <c r="B1084" s="78"/>
      <c r="C1084" s="79"/>
      <c r="D1084" s="79"/>
      <c r="E1084" s="80"/>
      <c r="F1084" s="81"/>
      <c r="G1084" s="79"/>
      <c r="H1084" s="79"/>
      <c r="I1084" s="79"/>
      <c r="J1084" s="79"/>
      <c r="K1084" s="79"/>
      <c r="L1084" s="79"/>
      <c r="M1084" s="79"/>
      <c r="N1084" s="50"/>
      <c r="O1084" s="82"/>
      <c r="P1084" s="70"/>
      <c r="Q1084" s="70"/>
      <c r="R1084" s="70"/>
      <c r="S1084" s="70"/>
    </row>
    <row r="1085" ht="15.75" customHeight="1">
      <c r="B1085" s="78"/>
      <c r="C1085" s="79"/>
      <c r="D1085" s="79"/>
      <c r="E1085" s="80"/>
      <c r="F1085" s="81"/>
      <c r="G1085" s="79"/>
      <c r="H1085" s="79"/>
      <c r="I1085" s="79"/>
      <c r="J1085" s="79"/>
      <c r="K1085" s="79"/>
      <c r="L1085" s="79"/>
      <c r="M1085" s="79"/>
      <c r="N1085" s="50"/>
      <c r="O1085" s="82"/>
      <c r="P1085" s="70"/>
      <c r="Q1085" s="70"/>
      <c r="R1085" s="70"/>
      <c r="S1085" s="70"/>
    </row>
    <row r="1086" ht="15.75" customHeight="1">
      <c r="B1086" s="78"/>
      <c r="C1086" s="79"/>
      <c r="D1086" s="79"/>
      <c r="E1086" s="80"/>
      <c r="F1086" s="81"/>
      <c r="G1086" s="79"/>
      <c r="H1086" s="79"/>
      <c r="I1086" s="79"/>
      <c r="J1086" s="79"/>
      <c r="K1086" s="79"/>
      <c r="L1086" s="79"/>
      <c r="M1086" s="79"/>
      <c r="N1086" s="50"/>
      <c r="O1086" s="82"/>
      <c r="P1086" s="70"/>
      <c r="Q1086" s="70"/>
      <c r="R1086" s="70"/>
      <c r="S1086" s="70"/>
    </row>
    <row r="1087" ht="15.75" customHeight="1">
      <c r="B1087" s="78"/>
      <c r="C1087" s="79"/>
      <c r="D1087" s="79"/>
      <c r="E1087" s="80"/>
      <c r="F1087" s="81"/>
      <c r="G1087" s="79"/>
      <c r="H1087" s="79"/>
      <c r="I1087" s="79"/>
      <c r="J1087" s="79"/>
      <c r="K1087" s="79"/>
      <c r="L1087" s="79"/>
      <c r="M1087" s="79"/>
      <c r="N1087" s="50"/>
      <c r="O1087" s="82"/>
      <c r="P1087" s="70"/>
      <c r="Q1087" s="70"/>
      <c r="R1087" s="70"/>
      <c r="S1087" s="70"/>
    </row>
    <row r="1088" ht="15.75" customHeight="1">
      <c r="B1088" s="78"/>
      <c r="C1088" s="79"/>
      <c r="D1088" s="79"/>
      <c r="E1088" s="80"/>
      <c r="F1088" s="81"/>
      <c r="G1088" s="79"/>
      <c r="H1088" s="79"/>
      <c r="I1088" s="79"/>
      <c r="J1088" s="79"/>
      <c r="K1088" s="79"/>
      <c r="L1088" s="79"/>
      <c r="M1088" s="79"/>
      <c r="N1088" s="50"/>
      <c r="O1088" s="82"/>
      <c r="P1088" s="70"/>
      <c r="Q1088" s="70"/>
      <c r="R1088" s="70"/>
      <c r="S1088" s="70"/>
    </row>
    <row r="1089" ht="15.75" customHeight="1">
      <c r="B1089" s="78"/>
      <c r="C1089" s="79"/>
      <c r="D1089" s="79"/>
      <c r="E1089" s="80"/>
      <c r="F1089" s="81"/>
      <c r="G1089" s="79"/>
      <c r="H1089" s="79"/>
      <c r="I1089" s="79"/>
      <c r="J1089" s="79"/>
      <c r="K1089" s="79"/>
      <c r="L1089" s="79"/>
      <c r="M1089" s="79"/>
      <c r="N1089" s="50"/>
      <c r="O1089" s="82"/>
      <c r="P1089" s="70"/>
      <c r="Q1089" s="70"/>
      <c r="R1089" s="70"/>
      <c r="S1089" s="70"/>
    </row>
    <row r="1090" ht="15.75" customHeight="1">
      <c r="B1090" s="78"/>
      <c r="C1090" s="79"/>
      <c r="D1090" s="79"/>
      <c r="E1090" s="80"/>
      <c r="F1090" s="81"/>
      <c r="G1090" s="79"/>
      <c r="H1090" s="79"/>
      <c r="I1090" s="79"/>
      <c r="J1090" s="79"/>
      <c r="K1090" s="79"/>
      <c r="L1090" s="79"/>
      <c r="M1090" s="79"/>
      <c r="N1090" s="50"/>
      <c r="O1090" s="82"/>
      <c r="P1090" s="70"/>
      <c r="Q1090" s="70"/>
      <c r="R1090" s="70"/>
      <c r="S1090" s="70"/>
    </row>
    <row r="1091" ht="15.75" customHeight="1">
      <c r="B1091" s="78"/>
      <c r="C1091" s="79"/>
      <c r="D1091" s="79"/>
      <c r="E1091" s="80"/>
      <c r="F1091" s="81"/>
      <c r="G1091" s="79"/>
      <c r="H1091" s="79"/>
      <c r="I1091" s="79"/>
      <c r="J1091" s="79"/>
      <c r="K1091" s="79"/>
      <c r="L1091" s="79"/>
      <c r="M1091" s="79"/>
      <c r="N1091" s="50"/>
      <c r="O1091" s="82"/>
      <c r="P1091" s="70"/>
      <c r="Q1091" s="70"/>
      <c r="R1091" s="70"/>
      <c r="S1091" s="70"/>
    </row>
    <row r="1092" ht="15.75" customHeight="1">
      <c r="B1092" s="78"/>
      <c r="C1092" s="79"/>
      <c r="D1092" s="79"/>
      <c r="E1092" s="80"/>
      <c r="F1092" s="81"/>
      <c r="G1092" s="79"/>
      <c r="H1092" s="79"/>
      <c r="I1092" s="79"/>
      <c r="J1092" s="79"/>
      <c r="K1092" s="79"/>
      <c r="L1092" s="79"/>
      <c r="M1092" s="79"/>
      <c r="N1092" s="50"/>
      <c r="O1092" s="82"/>
      <c r="P1092" s="70"/>
      <c r="Q1092" s="70"/>
      <c r="R1092" s="70"/>
      <c r="S1092" s="70"/>
    </row>
    <row r="1093" ht="15.75" customHeight="1">
      <c r="B1093" s="78"/>
      <c r="C1093" s="79"/>
      <c r="D1093" s="79"/>
      <c r="E1093" s="80"/>
      <c r="F1093" s="81"/>
      <c r="G1093" s="79"/>
      <c r="H1093" s="79"/>
      <c r="I1093" s="79"/>
      <c r="J1093" s="79"/>
      <c r="K1093" s="79"/>
      <c r="L1093" s="79"/>
      <c r="M1093" s="79"/>
      <c r="N1093" s="50"/>
      <c r="O1093" s="82"/>
      <c r="P1093" s="70"/>
      <c r="Q1093" s="70"/>
      <c r="R1093" s="70"/>
      <c r="S1093" s="70"/>
    </row>
    <row r="1094" ht="15.75" customHeight="1">
      <c r="B1094" s="78"/>
      <c r="C1094" s="79"/>
      <c r="D1094" s="79"/>
      <c r="E1094" s="80"/>
      <c r="F1094" s="81"/>
      <c r="G1094" s="79"/>
      <c r="H1094" s="79"/>
      <c r="I1094" s="79"/>
      <c r="J1094" s="79"/>
      <c r="K1094" s="79"/>
      <c r="L1094" s="79"/>
      <c r="M1094" s="79"/>
      <c r="N1094" s="50"/>
      <c r="O1094" s="82"/>
      <c r="P1094" s="70"/>
      <c r="Q1094" s="70"/>
      <c r="R1094" s="70"/>
      <c r="S1094" s="70"/>
    </row>
    <row r="1095" ht="15.75" customHeight="1">
      <c r="B1095" s="78"/>
      <c r="C1095" s="79"/>
      <c r="D1095" s="79"/>
      <c r="E1095" s="80"/>
      <c r="F1095" s="81"/>
      <c r="G1095" s="79"/>
      <c r="H1095" s="79"/>
      <c r="I1095" s="79"/>
      <c r="J1095" s="79"/>
      <c r="K1095" s="79"/>
      <c r="L1095" s="79"/>
      <c r="M1095" s="79"/>
      <c r="N1095" s="50"/>
      <c r="O1095" s="82"/>
      <c r="P1095" s="70"/>
      <c r="Q1095" s="70"/>
      <c r="R1095" s="70"/>
      <c r="S1095" s="70"/>
    </row>
    <row r="1096" ht="15.75" customHeight="1">
      <c r="B1096" s="78"/>
      <c r="C1096" s="79"/>
      <c r="D1096" s="79"/>
      <c r="E1096" s="80"/>
      <c r="F1096" s="81"/>
      <c r="G1096" s="79"/>
      <c r="H1096" s="79"/>
      <c r="I1096" s="79"/>
      <c r="J1096" s="79"/>
      <c r="K1096" s="79"/>
      <c r="L1096" s="79"/>
      <c r="M1096" s="79"/>
      <c r="N1096" s="50"/>
      <c r="O1096" s="82"/>
      <c r="P1096" s="70"/>
      <c r="Q1096" s="70"/>
      <c r="R1096" s="70"/>
      <c r="S1096" s="70"/>
    </row>
    <row r="1097" ht="15.75" customHeight="1">
      <c r="B1097" s="78"/>
      <c r="C1097" s="79"/>
      <c r="D1097" s="79"/>
      <c r="E1097" s="80"/>
      <c r="F1097" s="81"/>
      <c r="G1097" s="79"/>
      <c r="H1097" s="79"/>
      <c r="I1097" s="79"/>
      <c r="J1097" s="79"/>
      <c r="K1097" s="79"/>
      <c r="L1097" s="79"/>
      <c r="M1097" s="79"/>
      <c r="N1097" s="50"/>
      <c r="O1097" s="82"/>
      <c r="P1097" s="70"/>
      <c r="Q1097" s="70"/>
      <c r="R1097" s="70"/>
      <c r="S1097" s="70"/>
    </row>
    <row r="1098" ht="15.75" customHeight="1">
      <c r="B1098" s="78"/>
      <c r="C1098" s="79"/>
      <c r="D1098" s="79"/>
      <c r="E1098" s="80"/>
      <c r="F1098" s="81"/>
      <c r="G1098" s="79"/>
      <c r="H1098" s="79"/>
      <c r="I1098" s="79"/>
      <c r="J1098" s="79"/>
      <c r="K1098" s="79"/>
      <c r="L1098" s="79"/>
      <c r="M1098" s="79"/>
      <c r="N1098" s="50"/>
      <c r="O1098" s="82"/>
      <c r="P1098" s="70"/>
      <c r="Q1098" s="70"/>
      <c r="R1098" s="70"/>
      <c r="S1098" s="70"/>
    </row>
    <row r="1099" ht="15.75" customHeight="1">
      <c r="B1099" s="78"/>
      <c r="C1099" s="79"/>
      <c r="D1099" s="79"/>
      <c r="E1099" s="80"/>
      <c r="F1099" s="81"/>
      <c r="G1099" s="79"/>
      <c r="H1099" s="79"/>
      <c r="I1099" s="79"/>
      <c r="J1099" s="79"/>
      <c r="K1099" s="79"/>
      <c r="L1099" s="79"/>
      <c r="M1099" s="79"/>
      <c r="N1099" s="50"/>
      <c r="O1099" s="82"/>
      <c r="P1099" s="70"/>
      <c r="Q1099" s="70"/>
      <c r="R1099" s="70"/>
      <c r="S1099" s="70"/>
    </row>
    <row r="1100" ht="15.75" customHeight="1">
      <c r="B1100" s="78"/>
      <c r="C1100" s="79"/>
      <c r="D1100" s="79"/>
      <c r="E1100" s="80"/>
      <c r="F1100" s="81"/>
      <c r="G1100" s="79"/>
      <c r="H1100" s="79"/>
      <c r="I1100" s="79"/>
      <c r="J1100" s="79"/>
      <c r="K1100" s="79"/>
      <c r="L1100" s="79"/>
      <c r="M1100" s="79"/>
      <c r="N1100" s="50"/>
      <c r="O1100" s="82"/>
      <c r="P1100" s="70"/>
      <c r="Q1100" s="70"/>
      <c r="R1100" s="70"/>
      <c r="S1100" s="70"/>
    </row>
    <row r="1101" ht="15.75" customHeight="1">
      <c r="B1101" s="78"/>
      <c r="C1101" s="79"/>
      <c r="D1101" s="79"/>
      <c r="E1101" s="80"/>
      <c r="F1101" s="81"/>
      <c r="G1101" s="79"/>
      <c r="H1101" s="79"/>
      <c r="I1101" s="79"/>
      <c r="J1101" s="79"/>
      <c r="K1101" s="79"/>
      <c r="L1101" s="79"/>
      <c r="M1101" s="79"/>
      <c r="N1101" s="50"/>
      <c r="O1101" s="82"/>
      <c r="P1101" s="70"/>
      <c r="Q1101" s="70"/>
      <c r="R1101" s="70"/>
      <c r="S1101" s="70"/>
    </row>
    <row r="1102" ht="15.75" customHeight="1">
      <c r="B1102" s="78"/>
      <c r="C1102" s="79"/>
      <c r="D1102" s="79"/>
      <c r="E1102" s="80"/>
      <c r="F1102" s="81"/>
      <c r="G1102" s="79"/>
      <c r="H1102" s="79"/>
      <c r="I1102" s="79"/>
      <c r="J1102" s="79"/>
      <c r="K1102" s="79"/>
      <c r="L1102" s="79"/>
      <c r="M1102" s="79"/>
      <c r="N1102" s="50"/>
      <c r="O1102" s="82"/>
      <c r="P1102" s="70"/>
      <c r="Q1102" s="70"/>
      <c r="R1102" s="70"/>
      <c r="S1102" s="70"/>
    </row>
    <row r="1103" ht="15.75" customHeight="1">
      <c r="B1103" s="78"/>
      <c r="C1103" s="79"/>
      <c r="D1103" s="79"/>
      <c r="E1103" s="80"/>
      <c r="F1103" s="81"/>
      <c r="G1103" s="79"/>
      <c r="H1103" s="79"/>
      <c r="I1103" s="79"/>
      <c r="J1103" s="79"/>
      <c r="K1103" s="79"/>
      <c r="L1103" s="79"/>
      <c r="M1103" s="79"/>
      <c r="N1103" s="50"/>
      <c r="O1103" s="82"/>
      <c r="P1103" s="70"/>
      <c r="Q1103" s="70"/>
      <c r="R1103" s="70"/>
      <c r="S1103" s="70"/>
    </row>
    <row r="1104" ht="15.75" customHeight="1">
      <c r="B1104" s="78"/>
      <c r="C1104" s="79"/>
      <c r="D1104" s="79"/>
      <c r="E1104" s="80"/>
      <c r="F1104" s="81"/>
      <c r="G1104" s="79"/>
      <c r="H1104" s="79"/>
      <c r="I1104" s="79"/>
      <c r="J1104" s="79"/>
      <c r="K1104" s="79"/>
      <c r="L1104" s="79"/>
      <c r="M1104" s="79"/>
      <c r="N1104" s="50"/>
      <c r="O1104" s="82"/>
      <c r="P1104" s="70"/>
      <c r="Q1104" s="70"/>
      <c r="R1104" s="70"/>
      <c r="S1104" s="70"/>
    </row>
    <row r="1105" ht="15.75" customHeight="1">
      <c r="B1105" s="78"/>
      <c r="C1105" s="79"/>
      <c r="D1105" s="79"/>
      <c r="E1105" s="80"/>
      <c r="F1105" s="81"/>
      <c r="G1105" s="79"/>
      <c r="H1105" s="79"/>
      <c r="I1105" s="79"/>
      <c r="J1105" s="79"/>
      <c r="K1105" s="79"/>
      <c r="L1105" s="79"/>
      <c r="M1105" s="79"/>
      <c r="N1105" s="50"/>
      <c r="O1105" s="82"/>
      <c r="P1105" s="70"/>
      <c r="Q1105" s="70"/>
      <c r="R1105" s="70"/>
      <c r="S1105" s="70"/>
    </row>
    <row r="1106" ht="15.75" customHeight="1">
      <c r="B1106" s="78"/>
      <c r="C1106" s="79"/>
      <c r="D1106" s="79"/>
      <c r="E1106" s="80"/>
      <c r="F1106" s="81"/>
      <c r="G1106" s="79"/>
      <c r="H1106" s="79"/>
      <c r="I1106" s="79"/>
      <c r="J1106" s="79"/>
      <c r="K1106" s="79"/>
      <c r="L1106" s="79"/>
      <c r="M1106" s="79"/>
      <c r="N1106" s="50"/>
      <c r="O1106" s="82"/>
      <c r="P1106" s="70"/>
      <c r="Q1106" s="70"/>
      <c r="R1106" s="70"/>
      <c r="S1106" s="70"/>
    </row>
    <row r="1107" ht="15.75" customHeight="1">
      <c r="B1107" s="78"/>
      <c r="C1107" s="79"/>
      <c r="D1107" s="79"/>
      <c r="E1107" s="80"/>
      <c r="F1107" s="81"/>
      <c r="G1107" s="79"/>
      <c r="H1107" s="79"/>
      <c r="I1107" s="79"/>
      <c r="J1107" s="79"/>
      <c r="K1107" s="79"/>
      <c r="L1107" s="79"/>
      <c r="M1107" s="79"/>
      <c r="N1107" s="50"/>
      <c r="O1107" s="82"/>
      <c r="P1107" s="70"/>
      <c r="Q1107" s="70"/>
      <c r="R1107" s="70"/>
      <c r="S1107" s="70"/>
    </row>
    <row r="1108" ht="15.75" customHeight="1">
      <c r="B1108" s="78"/>
      <c r="C1108" s="79"/>
      <c r="D1108" s="79"/>
      <c r="E1108" s="80"/>
      <c r="F1108" s="81"/>
      <c r="G1108" s="79"/>
      <c r="H1108" s="79"/>
      <c r="I1108" s="79"/>
      <c r="J1108" s="79"/>
      <c r="K1108" s="79"/>
      <c r="L1108" s="79"/>
      <c r="M1108" s="79"/>
      <c r="N1108" s="50"/>
      <c r="O1108" s="82"/>
      <c r="P1108" s="70"/>
      <c r="Q1108" s="70"/>
      <c r="R1108" s="70"/>
      <c r="S1108" s="70"/>
    </row>
    <row r="1109" ht="15.75" customHeight="1">
      <c r="B1109" s="78"/>
      <c r="C1109" s="79"/>
      <c r="D1109" s="79"/>
      <c r="E1109" s="80"/>
      <c r="F1109" s="81"/>
      <c r="G1109" s="79"/>
      <c r="H1109" s="79"/>
      <c r="I1109" s="79"/>
      <c r="J1109" s="79"/>
      <c r="K1109" s="79"/>
      <c r="L1109" s="79"/>
      <c r="M1109" s="79"/>
      <c r="N1109" s="50"/>
      <c r="O1109" s="82"/>
      <c r="P1109" s="70"/>
      <c r="Q1109" s="70"/>
      <c r="R1109" s="70"/>
      <c r="S1109" s="70"/>
    </row>
    <row r="1110" ht="15.75" customHeight="1">
      <c r="B1110" s="78"/>
      <c r="C1110" s="79"/>
      <c r="D1110" s="79"/>
      <c r="E1110" s="80"/>
      <c r="F1110" s="81"/>
      <c r="G1110" s="79"/>
      <c r="H1110" s="79"/>
      <c r="I1110" s="79"/>
      <c r="J1110" s="79"/>
      <c r="K1110" s="79"/>
      <c r="L1110" s="79"/>
      <c r="M1110" s="79"/>
      <c r="N1110" s="50"/>
      <c r="O1110" s="82"/>
      <c r="P1110" s="70"/>
      <c r="Q1110" s="70"/>
      <c r="R1110" s="70"/>
      <c r="S1110" s="70"/>
    </row>
    <row r="1111" ht="15.75" customHeight="1">
      <c r="B1111" s="78"/>
      <c r="C1111" s="79"/>
      <c r="D1111" s="79"/>
      <c r="E1111" s="80"/>
      <c r="F1111" s="81"/>
      <c r="G1111" s="79"/>
      <c r="H1111" s="79"/>
      <c r="I1111" s="79"/>
      <c r="J1111" s="79"/>
      <c r="K1111" s="79"/>
      <c r="L1111" s="79"/>
      <c r="M1111" s="79"/>
      <c r="N1111" s="50"/>
      <c r="O1111" s="82"/>
      <c r="P1111" s="70"/>
      <c r="Q1111" s="70"/>
      <c r="R1111" s="70"/>
      <c r="S1111" s="70"/>
    </row>
    <row r="1112" ht="15.75" customHeight="1">
      <c r="B1112" s="78"/>
      <c r="C1112" s="79"/>
      <c r="D1112" s="79"/>
      <c r="E1112" s="80"/>
      <c r="F1112" s="81"/>
      <c r="G1112" s="79"/>
      <c r="H1112" s="79"/>
      <c r="I1112" s="79"/>
      <c r="J1112" s="79"/>
      <c r="K1112" s="79"/>
      <c r="L1112" s="79"/>
      <c r="M1112" s="79"/>
      <c r="N1112" s="50"/>
      <c r="O1112" s="82"/>
      <c r="P1112" s="70"/>
      <c r="Q1112" s="70"/>
      <c r="R1112" s="70"/>
      <c r="S1112" s="70"/>
    </row>
    <row r="1113" ht="15.75" customHeight="1">
      <c r="B1113" s="78"/>
      <c r="C1113" s="79"/>
      <c r="D1113" s="79"/>
      <c r="E1113" s="80"/>
      <c r="F1113" s="81"/>
      <c r="G1113" s="79"/>
      <c r="H1113" s="79"/>
      <c r="I1113" s="79"/>
      <c r="J1113" s="79"/>
      <c r="K1113" s="79"/>
      <c r="L1113" s="79"/>
      <c r="M1113" s="79"/>
      <c r="N1113" s="50"/>
      <c r="O1113" s="82"/>
      <c r="P1113" s="70"/>
      <c r="Q1113" s="70"/>
      <c r="R1113" s="70"/>
      <c r="S1113" s="70"/>
    </row>
    <row r="1114" ht="15.75" customHeight="1">
      <c r="B1114" s="78"/>
      <c r="C1114" s="79"/>
      <c r="D1114" s="79"/>
      <c r="E1114" s="80"/>
      <c r="F1114" s="81"/>
      <c r="G1114" s="79"/>
      <c r="H1114" s="79"/>
      <c r="I1114" s="79"/>
      <c r="J1114" s="79"/>
      <c r="K1114" s="79"/>
      <c r="L1114" s="79"/>
      <c r="M1114" s="79"/>
      <c r="N1114" s="50"/>
      <c r="O1114" s="82"/>
      <c r="P1114" s="70"/>
      <c r="Q1114" s="70"/>
      <c r="R1114" s="70"/>
      <c r="S1114" s="70"/>
    </row>
    <row r="1115" ht="15.75" customHeight="1">
      <c r="B1115" s="78"/>
      <c r="C1115" s="79"/>
      <c r="D1115" s="79"/>
      <c r="E1115" s="80"/>
      <c r="F1115" s="81"/>
      <c r="G1115" s="79"/>
      <c r="H1115" s="79"/>
      <c r="I1115" s="79"/>
      <c r="J1115" s="79"/>
      <c r="K1115" s="79"/>
      <c r="L1115" s="79"/>
      <c r="M1115" s="79"/>
      <c r="N1115" s="50"/>
      <c r="O1115" s="82"/>
      <c r="P1115" s="70"/>
      <c r="Q1115" s="70"/>
      <c r="R1115" s="70"/>
      <c r="S1115" s="70"/>
    </row>
    <row r="1116" ht="15.75" customHeight="1">
      <c r="B1116" s="78"/>
      <c r="C1116" s="79"/>
      <c r="D1116" s="79"/>
      <c r="E1116" s="80"/>
      <c r="F1116" s="81"/>
      <c r="G1116" s="79"/>
      <c r="H1116" s="79"/>
      <c r="I1116" s="79"/>
      <c r="J1116" s="79"/>
      <c r="K1116" s="79"/>
      <c r="L1116" s="79"/>
      <c r="M1116" s="79"/>
      <c r="N1116" s="50"/>
      <c r="O1116" s="82"/>
      <c r="P1116" s="70"/>
      <c r="Q1116" s="70"/>
      <c r="R1116" s="70"/>
      <c r="S1116" s="70"/>
    </row>
    <row r="1117" ht="15.75" customHeight="1">
      <c r="B1117" s="78"/>
      <c r="C1117" s="79"/>
      <c r="D1117" s="79"/>
      <c r="E1117" s="80"/>
      <c r="F1117" s="81"/>
      <c r="G1117" s="79"/>
      <c r="H1117" s="79"/>
      <c r="I1117" s="79"/>
      <c r="J1117" s="79"/>
      <c r="K1117" s="79"/>
      <c r="L1117" s="79"/>
      <c r="M1117" s="79"/>
      <c r="N1117" s="50"/>
      <c r="O1117" s="82"/>
      <c r="P1117" s="70"/>
      <c r="Q1117" s="70"/>
      <c r="R1117" s="70"/>
      <c r="S1117" s="70"/>
    </row>
    <row r="1118" ht="15.75" customHeight="1">
      <c r="B1118" s="78"/>
      <c r="C1118" s="79"/>
      <c r="D1118" s="79"/>
      <c r="E1118" s="80"/>
      <c r="F1118" s="81"/>
      <c r="G1118" s="79"/>
      <c r="H1118" s="79"/>
      <c r="I1118" s="79"/>
      <c r="J1118" s="79"/>
      <c r="K1118" s="79"/>
      <c r="L1118" s="79"/>
      <c r="M1118" s="79"/>
      <c r="N1118" s="50"/>
      <c r="O1118" s="82"/>
      <c r="P1118" s="70"/>
      <c r="Q1118" s="70"/>
      <c r="R1118" s="70"/>
      <c r="S1118" s="70"/>
    </row>
    <row r="1119" ht="15.75" customHeight="1">
      <c r="B1119" s="78"/>
      <c r="C1119" s="79"/>
      <c r="D1119" s="79"/>
      <c r="E1119" s="80"/>
      <c r="F1119" s="81"/>
      <c r="G1119" s="79"/>
      <c r="H1119" s="79"/>
      <c r="I1119" s="79"/>
      <c r="J1119" s="79"/>
      <c r="K1119" s="79"/>
      <c r="L1119" s="79"/>
      <c r="M1119" s="79"/>
      <c r="N1119" s="50"/>
      <c r="O1119" s="82"/>
      <c r="P1119" s="70"/>
      <c r="Q1119" s="70"/>
      <c r="R1119" s="70"/>
      <c r="S1119" s="70"/>
    </row>
    <row r="1120" ht="15.75" customHeight="1">
      <c r="B1120" s="78"/>
      <c r="C1120" s="79"/>
      <c r="D1120" s="79"/>
      <c r="E1120" s="80"/>
      <c r="F1120" s="81"/>
      <c r="G1120" s="79"/>
      <c r="H1120" s="79"/>
      <c r="I1120" s="79"/>
      <c r="J1120" s="79"/>
      <c r="K1120" s="79"/>
      <c r="L1120" s="79"/>
      <c r="M1120" s="79"/>
      <c r="N1120" s="50"/>
      <c r="O1120" s="82"/>
      <c r="P1120" s="70"/>
      <c r="Q1120" s="70"/>
      <c r="R1120" s="70"/>
      <c r="S1120" s="70"/>
    </row>
    <row r="1121" ht="15.75" customHeight="1">
      <c r="B1121" s="78"/>
      <c r="C1121" s="79"/>
      <c r="D1121" s="79"/>
      <c r="E1121" s="80"/>
      <c r="F1121" s="81"/>
      <c r="G1121" s="79"/>
      <c r="H1121" s="79"/>
      <c r="I1121" s="79"/>
      <c r="J1121" s="79"/>
      <c r="K1121" s="79"/>
      <c r="L1121" s="79"/>
      <c r="M1121" s="79"/>
      <c r="N1121" s="50"/>
      <c r="O1121" s="82"/>
      <c r="P1121" s="70"/>
      <c r="Q1121" s="70"/>
      <c r="R1121" s="70"/>
      <c r="S1121" s="70"/>
    </row>
    <row r="1122" ht="15.75" customHeight="1">
      <c r="B1122" s="78"/>
      <c r="C1122" s="79"/>
      <c r="D1122" s="79"/>
      <c r="E1122" s="80"/>
      <c r="F1122" s="81"/>
      <c r="G1122" s="79"/>
      <c r="H1122" s="79"/>
      <c r="I1122" s="79"/>
      <c r="J1122" s="79"/>
      <c r="K1122" s="79"/>
      <c r="L1122" s="79"/>
      <c r="M1122" s="79"/>
      <c r="N1122" s="50"/>
      <c r="O1122" s="82"/>
      <c r="P1122" s="70"/>
      <c r="Q1122" s="70"/>
      <c r="R1122" s="70"/>
      <c r="S1122" s="70"/>
    </row>
    <row r="1123" ht="15.75" customHeight="1">
      <c r="B1123" s="78"/>
      <c r="C1123" s="79"/>
      <c r="D1123" s="79"/>
      <c r="E1123" s="80"/>
      <c r="F1123" s="81"/>
      <c r="G1123" s="79"/>
      <c r="H1123" s="79"/>
      <c r="I1123" s="79"/>
      <c r="J1123" s="79"/>
      <c r="K1123" s="79"/>
      <c r="L1123" s="79"/>
      <c r="M1123" s="79"/>
      <c r="N1123" s="50"/>
      <c r="O1123" s="82"/>
      <c r="P1123" s="70"/>
      <c r="Q1123" s="70"/>
      <c r="R1123" s="70"/>
      <c r="S1123" s="70"/>
    </row>
    <row r="1124" ht="15.75" customHeight="1">
      <c r="B1124" s="78"/>
      <c r="C1124" s="79"/>
      <c r="D1124" s="79"/>
      <c r="E1124" s="80"/>
      <c r="F1124" s="81"/>
      <c r="G1124" s="79"/>
      <c r="H1124" s="79"/>
      <c r="I1124" s="79"/>
      <c r="J1124" s="79"/>
      <c r="K1124" s="79"/>
      <c r="L1124" s="79"/>
      <c r="M1124" s="79"/>
      <c r="N1124" s="50"/>
      <c r="O1124" s="82"/>
      <c r="P1124" s="70"/>
      <c r="Q1124" s="70"/>
      <c r="R1124" s="70"/>
      <c r="S1124" s="70"/>
    </row>
    <row r="1125" ht="15.75" customHeight="1">
      <c r="B1125" s="78"/>
      <c r="C1125" s="79"/>
      <c r="D1125" s="79"/>
      <c r="E1125" s="80"/>
      <c r="F1125" s="81"/>
      <c r="G1125" s="79"/>
      <c r="H1125" s="79"/>
      <c r="I1125" s="79"/>
      <c r="J1125" s="79"/>
      <c r="K1125" s="79"/>
      <c r="L1125" s="79"/>
      <c r="M1125" s="79"/>
      <c r="N1125" s="50"/>
      <c r="O1125" s="82"/>
      <c r="P1125" s="70"/>
      <c r="Q1125" s="70"/>
      <c r="R1125" s="70"/>
      <c r="S1125" s="70"/>
    </row>
    <row r="1126" ht="15.75" customHeight="1">
      <c r="B1126" s="78"/>
      <c r="C1126" s="79"/>
      <c r="D1126" s="79"/>
      <c r="E1126" s="80"/>
      <c r="F1126" s="81"/>
      <c r="G1126" s="79"/>
      <c r="H1126" s="79"/>
      <c r="I1126" s="79"/>
      <c r="J1126" s="79"/>
      <c r="K1126" s="79"/>
      <c r="L1126" s="79"/>
      <c r="M1126" s="79"/>
      <c r="N1126" s="50"/>
      <c r="O1126" s="82"/>
      <c r="P1126" s="70"/>
      <c r="Q1126" s="70"/>
      <c r="R1126" s="70"/>
      <c r="S1126" s="70"/>
    </row>
    <row r="1127" ht="15.75" customHeight="1">
      <c r="B1127" s="78"/>
      <c r="C1127" s="79"/>
      <c r="D1127" s="79"/>
      <c r="E1127" s="80"/>
      <c r="F1127" s="81"/>
      <c r="G1127" s="79"/>
      <c r="H1127" s="79"/>
      <c r="I1127" s="79"/>
      <c r="J1127" s="79"/>
      <c r="K1127" s="79"/>
      <c r="L1127" s="79"/>
      <c r="M1127" s="79"/>
      <c r="N1127" s="50"/>
      <c r="O1127" s="82"/>
      <c r="P1127" s="70"/>
      <c r="Q1127" s="70"/>
      <c r="R1127" s="70"/>
      <c r="S1127" s="70"/>
    </row>
    <row r="1128" ht="15.75" customHeight="1">
      <c r="B1128" s="78"/>
      <c r="C1128" s="79"/>
      <c r="D1128" s="79"/>
      <c r="E1128" s="80"/>
      <c r="F1128" s="81"/>
      <c r="G1128" s="79"/>
      <c r="H1128" s="79"/>
      <c r="I1128" s="79"/>
      <c r="J1128" s="79"/>
      <c r="K1128" s="79"/>
      <c r="L1128" s="79"/>
      <c r="M1128" s="79"/>
      <c r="N1128" s="50"/>
      <c r="O1128" s="82"/>
      <c r="P1128" s="70"/>
      <c r="Q1128" s="70"/>
      <c r="R1128" s="70"/>
      <c r="S1128" s="70"/>
    </row>
    <row r="1129" ht="15.75" customHeight="1">
      <c r="B1129" s="78"/>
      <c r="C1129" s="79"/>
      <c r="D1129" s="79"/>
      <c r="E1129" s="80"/>
      <c r="F1129" s="81"/>
      <c r="G1129" s="79"/>
      <c r="H1129" s="79"/>
      <c r="I1129" s="79"/>
      <c r="J1129" s="79"/>
      <c r="K1129" s="79"/>
      <c r="L1129" s="79"/>
      <c r="M1129" s="79"/>
      <c r="N1129" s="50"/>
      <c r="O1129" s="82"/>
      <c r="P1129" s="70"/>
      <c r="Q1129" s="70"/>
      <c r="R1129" s="70"/>
      <c r="S1129" s="70"/>
    </row>
    <row r="1130" ht="15.75" customHeight="1">
      <c r="B1130" s="78"/>
      <c r="C1130" s="79"/>
      <c r="D1130" s="79"/>
      <c r="E1130" s="80"/>
      <c r="F1130" s="81"/>
      <c r="G1130" s="79"/>
      <c r="H1130" s="79"/>
      <c r="I1130" s="79"/>
      <c r="J1130" s="79"/>
      <c r="K1130" s="79"/>
      <c r="L1130" s="79"/>
      <c r="M1130" s="79"/>
      <c r="N1130" s="50"/>
      <c r="O1130" s="82"/>
      <c r="P1130" s="70"/>
      <c r="Q1130" s="70"/>
      <c r="R1130" s="70"/>
      <c r="S1130" s="70"/>
    </row>
    <row r="1131" ht="15.75" customHeight="1">
      <c r="B1131" s="78"/>
      <c r="C1131" s="79"/>
      <c r="D1131" s="79"/>
      <c r="E1131" s="80"/>
      <c r="F1131" s="81"/>
      <c r="G1131" s="79"/>
      <c r="H1131" s="79"/>
      <c r="I1131" s="79"/>
      <c r="J1131" s="79"/>
      <c r="K1131" s="79"/>
      <c r="L1131" s="79"/>
      <c r="M1131" s="79"/>
      <c r="N1131" s="50"/>
      <c r="O1131" s="82"/>
      <c r="P1131" s="70"/>
      <c r="Q1131" s="70"/>
      <c r="R1131" s="70"/>
      <c r="S1131" s="70"/>
    </row>
    <row r="1132" ht="15.75" customHeight="1">
      <c r="B1132" s="78"/>
      <c r="C1132" s="79"/>
      <c r="D1132" s="79"/>
      <c r="E1132" s="80"/>
      <c r="F1132" s="81"/>
      <c r="G1132" s="79"/>
      <c r="H1132" s="79"/>
      <c r="I1132" s="79"/>
      <c r="J1132" s="79"/>
      <c r="K1132" s="79"/>
      <c r="L1132" s="79"/>
      <c r="M1132" s="79"/>
      <c r="N1132" s="50"/>
      <c r="O1132" s="82"/>
      <c r="P1132" s="70"/>
      <c r="Q1132" s="70"/>
      <c r="R1132" s="70"/>
      <c r="S1132" s="70"/>
    </row>
    <row r="1133" ht="15.75" customHeight="1">
      <c r="B1133" s="78"/>
      <c r="C1133" s="79"/>
      <c r="D1133" s="79"/>
      <c r="E1133" s="80"/>
      <c r="F1133" s="81"/>
      <c r="G1133" s="79"/>
      <c r="H1133" s="79"/>
      <c r="I1133" s="79"/>
      <c r="J1133" s="79"/>
      <c r="K1133" s="79"/>
      <c r="L1133" s="79"/>
      <c r="M1133" s="79"/>
      <c r="N1133" s="50"/>
      <c r="O1133" s="82"/>
      <c r="P1133" s="70"/>
      <c r="Q1133" s="70"/>
      <c r="R1133" s="70"/>
      <c r="S1133" s="70"/>
    </row>
    <row r="1134" ht="15.75" customHeight="1">
      <c r="B1134" s="78"/>
      <c r="C1134" s="79"/>
      <c r="D1134" s="79"/>
      <c r="E1134" s="80"/>
      <c r="F1134" s="81"/>
      <c r="G1134" s="79"/>
      <c r="H1134" s="79"/>
      <c r="I1134" s="79"/>
      <c r="J1134" s="79"/>
      <c r="K1134" s="79"/>
      <c r="L1134" s="79"/>
      <c r="M1134" s="79"/>
      <c r="N1134" s="50"/>
      <c r="O1134" s="82"/>
      <c r="P1134" s="70"/>
      <c r="Q1134" s="70"/>
      <c r="R1134" s="70"/>
      <c r="S1134" s="70"/>
    </row>
    <row r="1135" ht="15.75" customHeight="1">
      <c r="B1135" s="78"/>
      <c r="C1135" s="79"/>
      <c r="D1135" s="79"/>
      <c r="E1135" s="80"/>
      <c r="F1135" s="81"/>
      <c r="G1135" s="79"/>
      <c r="H1135" s="79"/>
      <c r="I1135" s="79"/>
      <c r="J1135" s="79"/>
      <c r="K1135" s="79"/>
      <c r="L1135" s="79"/>
      <c r="M1135" s="79"/>
      <c r="N1135" s="50"/>
      <c r="O1135" s="82"/>
      <c r="P1135" s="70"/>
      <c r="Q1135" s="70"/>
      <c r="R1135" s="70"/>
      <c r="S1135" s="70"/>
    </row>
    <row r="1136" ht="15.75" customHeight="1">
      <c r="B1136" s="78"/>
      <c r="C1136" s="79"/>
      <c r="D1136" s="79"/>
      <c r="E1136" s="80"/>
      <c r="F1136" s="81"/>
      <c r="G1136" s="79"/>
      <c r="H1136" s="79"/>
      <c r="I1136" s="79"/>
      <c r="J1136" s="79"/>
      <c r="K1136" s="79"/>
      <c r="L1136" s="79"/>
      <c r="M1136" s="79"/>
      <c r="N1136" s="50"/>
      <c r="O1136" s="82"/>
      <c r="P1136" s="70"/>
      <c r="Q1136" s="70"/>
      <c r="R1136" s="70"/>
      <c r="S1136" s="70"/>
    </row>
    <row r="1137" ht="15.75" customHeight="1">
      <c r="B1137" s="78"/>
      <c r="C1137" s="79"/>
      <c r="D1137" s="79"/>
      <c r="E1137" s="80"/>
      <c r="F1137" s="81"/>
      <c r="G1137" s="79"/>
      <c r="H1137" s="79"/>
      <c r="I1137" s="79"/>
      <c r="J1137" s="79"/>
      <c r="K1137" s="79"/>
      <c r="L1137" s="79"/>
      <c r="M1137" s="79"/>
      <c r="N1137" s="50"/>
      <c r="O1137" s="82"/>
      <c r="P1137" s="70"/>
      <c r="Q1137" s="70"/>
      <c r="R1137" s="70"/>
      <c r="S1137" s="70"/>
    </row>
    <row r="1138" ht="15.75" customHeight="1">
      <c r="B1138" s="78"/>
      <c r="C1138" s="79"/>
      <c r="D1138" s="79"/>
      <c r="E1138" s="80"/>
      <c r="F1138" s="81"/>
      <c r="G1138" s="79"/>
      <c r="H1138" s="79"/>
      <c r="I1138" s="79"/>
      <c r="J1138" s="79"/>
      <c r="K1138" s="79"/>
      <c r="L1138" s="79"/>
      <c r="M1138" s="79"/>
      <c r="N1138" s="50"/>
      <c r="O1138" s="82"/>
      <c r="P1138" s="70"/>
      <c r="Q1138" s="70"/>
      <c r="R1138" s="70"/>
      <c r="S1138" s="70"/>
    </row>
    <row r="1139" ht="15.75" customHeight="1">
      <c r="B1139" s="78"/>
      <c r="C1139" s="79"/>
      <c r="D1139" s="79"/>
      <c r="E1139" s="80"/>
      <c r="F1139" s="81"/>
      <c r="G1139" s="79"/>
      <c r="H1139" s="79"/>
      <c r="I1139" s="79"/>
      <c r="J1139" s="79"/>
      <c r="K1139" s="79"/>
      <c r="L1139" s="79"/>
      <c r="M1139" s="79"/>
      <c r="N1139" s="50"/>
      <c r="O1139" s="82"/>
      <c r="P1139" s="70"/>
      <c r="Q1139" s="70"/>
      <c r="R1139" s="70"/>
      <c r="S1139" s="70"/>
    </row>
    <row r="1140" ht="15.75" customHeight="1">
      <c r="B1140" s="78"/>
      <c r="C1140" s="79"/>
      <c r="D1140" s="79"/>
      <c r="E1140" s="80"/>
      <c r="F1140" s="81"/>
      <c r="G1140" s="79"/>
      <c r="H1140" s="79"/>
      <c r="I1140" s="79"/>
      <c r="J1140" s="79"/>
      <c r="K1140" s="79"/>
      <c r="L1140" s="79"/>
      <c r="M1140" s="79"/>
      <c r="N1140" s="50"/>
      <c r="O1140" s="82"/>
      <c r="P1140" s="70"/>
      <c r="Q1140" s="70"/>
      <c r="R1140" s="70"/>
      <c r="S1140" s="70"/>
    </row>
    <row r="1141" ht="15.75" customHeight="1">
      <c r="B1141" s="78"/>
      <c r="C1141" s="79"/>
      <c r="D1141" s="79"/>
      <c r="E1141" s="80"/>
      <c r="F1141" s="81"/>
      <c r="G1141" s="79"/>
      <c r="H1141" s="79"/>
      <c r="I1141" s="79"/>
      <c r="J1141" s="79"/>
      <c r="K1141" s="79"/>
      <c r="L1141" s="79"/>
      <c r="M1141" s="79"/>
      <c r="N1141" s="50"/>
      <c r="O1141" s="82"/>
      <c r="P1141" s="70"/>
      <c r="Q1141" s="70"/>
      <c r="R1141" s="70"/>
      <c r="S1141" s="70"/>
    </row>
    <row r="1142" ht="15.75" customHeight="1">
      <c r="B1142" s="78"/>
      <c r="C1142" s="79"/>
      <c r="D1142" s="79"/>
      <c r="E1142" s="80"/>
      <c r="F1142" s="81"/>
      <c r="G1142" s="79"/>
      <c r="H1142" s="79"/>
      <c r="I1142" s="79"/>
      <c r="J1142" s="79"/>
      <c r="K1142" s="79"/>
      <c r="L1142" s="79"/>
      <c r="M1142" s="79"/>
      <c r="N1142" s="50"/>
      <c r="O1142" s="82"/>
      <c r="P1142" s="70"/>
      <c r="Q1142" s="70"/>
      <c r="R1142" s="70"/>
      <c r="S1142" s="70"/>
    </row>
    <row r="1143" ht="15.75" customHeight="1">
      <c r="B1143" s="78"/>
      <c r="C1143" s="79"/>
      <c r="D1143" s="79"/>
      <c r="E1143" s="80"/>
      <c r="F1143" s="81"/>
      <c r="G1143" s="79"/>
      <c r="H1143" s="79"/>
      <c r="I1143" s="79"/>
      <c r="J1143" s="79"/>
      <c r="K1143" s="79"/>
      <c r="L1143" s="79"/>
      <c r="M1143" s="79"/>
      <c r="N1143" s="50"/>
      <c r="O1143" s="82"/>
      <c r="P1143" s="70"/>
      <c r="Q1143" s="70"/>
      <c r="R1143" s="70"/>
      <c r="S1143" s="70"/>
    </row>
    <row r="1144" ht="15.75" customHeight="1">
      <c r="B1144" s="78"/>
      <c r="C1144" s="79"/>
      <c r="D1144" s="79"/>
      <c r="E1144" s="80"/>
      <c r="F1144" s="81"/>
      <c r="G1144" s="79"/>
      <c r="H1144" s="79"/>
      <c r="I1144" s="79"/>
      <c r="J1144" s="79"/>
      <c r="K1144" s="79"/>
      <c r="L1144" s="79"/>
      <c r="M1144" s="79"/>
      <c r="N1144" s="50"/>
      <c r="O1144" s="82"/>
      <c r="P1144" s="70"/>
      <c r="Q1144" s="70"/>
      <c r="R1144" s="70"/>
      <c r="S1144" s="70"/>
    </row>
    <row r="1145" ht="15.75" customHeight="1">
      <c r="B1145" s="78"/>
      <c r="C1145" s="79"/>
      <c r="D1145" s="79"/>
      <c r="E1145" s="80"/>
      <c r="F1145" s="81"/>
      <c r="G1145" s="79"/>
      <c r="H1145" s="79"/>
      <c r="I1145" s="79"/>
      <c r="J1145" s="79"/>
      <c r="K1145" s="79"/>
      <c r="L1145" s="79"/>
      <c r="M1145" s="79"/>
      <c r="N1145" s="50"/>
      <c r="O1145" s="82"/>
      <c r="P1145" s="70"/>
      <c r="Q1145" s="70"/>
      <c r="R1145" s="70"/>
      <c r="S1145" s="70"/>
    </row>
    <row r="1146" ht="15.75" customHeight="1">
      <c r="B1146" s="78"/>
      <c r="C1146" s="79"/>
      <c r="D1146" s="79"/>
      <c r="E1146" s="80"/>
      <c r="F1146" s="81"/>
      <c r="G1146" s="79"/>
      <c r="H1146" s="79"/>
      <c r="I1146" s="79"/>
      <c r="J1146" s="79"/>
      <c r="K1146" s="79"/>
      <c r="L1146" s="79"/>
      <c r="M1146" s="79"/>
      <c r="N1146" s="50"/>
      <c r="O1146" s="82"/>
      <c r="P1146" s="70"/>
      <c r="Q1146" s="70"/>
      <c r="R1146" s="70"/>
      <c r="S1146" s="70"/>
    </row>
    <row r="1147" ht="15.75" customHeight="1">
      <c r="B1147" s="78"/>
      <c r="C1147" s="79"/>
      <c r="D1147" s="79"/>
      <c r="E1147" s="80"/>
      <c r="F1147" s="81"/>
      <c r="G1147" s="79"/>
      <c r="H1147" s="79"/>
      <c r="I1147" s="79"/>
      <c r="J1147" s="79"/>
      <c r="K1147" s="79"/>
      <c r="L1147" s="79"/>
      <c r="M1147" s="79"/>
      <c r="N1147" s="50"/>
      <c r="O1147" s="82"/>
      <c r="P1147" s="70"/>
      <c r="Q1147" s="70"/>
      <c r="R1147" s="70"/>
      <c r="S1147" s="70"/>
    </row>
    <row r="1148" ht="15.75" customHeight="1">
      <c r="B1148" s="78"/>
      <c r="C1148" s="79"/>
      <c r="D1148" s="79"/>
      <c r="E1148" s="80"/>
      <c r="F1148" s="81"/>
      <c r="G1148" s="79"/>
      <c r="H1148" s="79"/>
      <c r="I1148" s="79"/>
      <c r="J1148" s="79"/>
      <c r="K1148" s="79"/>
      <c r="L1148" s="79"/>
      <c r="M1148" s="79"/>
      <c r="N1148" s="50"/>
      <c r="O1148" s="82"/>
      <c r="P1148" s="70"/>
      <c r="Q1148" s="70"/>
      <c r="R1148" s="70"/>
      <c r="S1148" s="70"/>
    </row>
    <row r="1149" ht="15.75" customHeight="1">
      <c r="B1149" s="78"/>
      <c r="C1149" s="79"/>
      <c r="D1149" s="79"/>
      <c r="E1149" s="80"/>
      <c r="F1149" s="81"/>
      <c r="G1149" s="79"/>
      <c r="H1149" s="79"/>
      <c r="I1149" s="79"/>
      <c r="J1149" s="79"/>
      <c r="K1149" s="79"/>
      <c r="L1149" s="79"/>
      <c r="M1149" s="79"/>
      <c r="N1149" s="50"/>
      <c r="O1149" s="82"/>
      <c r="P1149" s="70"/>
      <c r="Q1149" s="70"/>
      <c r="R1149" s="70"/>
      <c r="S1149" s="70"/>
    </row>
    <row r="1150" ht="15.75" customHeight="1">
      <c r="B1150" s="78"/>
      <c r="C1150" s="79"/>
      <c r="D1150" s="79"/>
      <c r="E1150" s="80"/>
      <c r="F1150" s="81"/>
      <c r="G1150" s="79"/>
      <c r="H1150" s="79"/>
      <c r="I1150" s="79"/>
      <c r="J1150" s="79"/>
      <c r="K1150" s="79"/>
      <c r="L1150" s="79"/>
      <c r="M1150" s="79"/>
      <c r="N1150" s="50"/>
      <c r="O1150" s="82"/>
      <c r="P1150" s="70"/>
      <c r="Q1150" s="70"/>
      <c r="R1150" s="70"/>
      <c r="S1150" s="70"/>
    </row>
    <row r="1151" ht="15.75" customHeight="1">
      <c r="B1151" s="78"/>
      <c r="C1151" s="79"/>
      <c r="D1151" s="79"/>
      <c r="E1151" s="80"/>
      <c r="F1151" s="81"/>
      <c r="G1151" s="79"/>
      <c r="H1151" s="79"/>
      <c r="I1151" s="79"/>
      <c r="J1151" s="79"/>
      <c r="K1151" s="79"/>
      <c r="L1151" s="79"/>
      <c r="M1151" s="79"/>
      <c r="N1151" s="50"/>
      <c r="O1151" s="82"/>
      <c r="P1151" s="70"/>
      <c r="Q1151" s="70"/>
      <c r="R1151" s="70"/>
      <c r="S1151" s="70"/>
    </row>
    <row r="1152" ht="15.75" customHeight="1">
      <c r="B1152" s="78"/>
      <c r="C1152" s="79"/>
      <c r="D1152" s="79"/>
      <c r="E1152" s="80"/>
      <c r="F1152" s="81"/>
      <c r="G1152" s="79"/>
      <c r="H1152" s="79"/>
      <c r="I1152" s="79"/>
      <c r="J1152" s="79"/>
      <c r="K1152" s="79"/>
      <c r="L1152" s="79"/>
      <c r="M1152" s="79"/>
      <c r="N1152" s="50"/>
      <c r="O1152" s="82"/>
      <c r="P1152" s="70"/>
      <c r="Q1152" s="70"/>
      <c r="R1152" s="70"/>
      <c r="S1152" s="70"/>
    </row>
    <row r="1153" ht="15.75" customHeight="1">
      <c r="B1153" s="78"/>
      <c r="C1153" s="79"/>
      <c r="D1153" s="79"/>
      <c r="E1153" s="80"/>
      <c r="F1153" s="81"/>
      <c r="G1153" s="79"/>
      <c r="H1153" s="79"/>
      <c r="I1153" s="79"/>
      <c r="J1153" s="79"/>
      <c r="K1153" s="79"/>
      <c r="L1153" s="79"/>
      <c r="M1153" s="79"/>
      <c r="N1153" s="50"/>
      <c r="O1153" s="82"/>
      <c r="P1153" s="70"/>
      <c r="Q1153" s="70"/>
      <c r="R1153" s="70"/>
      <c r="S1153" s="70"/>
    </row>
    <row r="1154" ht="15.75" customHeight="1">
      <c r="B1154" s="78"/>
      <c r="C1154" s="79"/>
      <c r="D1154" s="79"/>
      <c r="E1154" s="80"/>
      <c r="F1154" s="81"/>
      <c r="G1154" s="79"/>
      <c r="H1154" s="79"/>
      <c r="I1154" s="79"/>
      <c r="J1154" s="79"/>
      <c r="K1154" s="79"/>
      <c r="L1154" s="79"/>
      <c r="M1154" s="79"/>
      <c r="N1154" s="50"/>
      <c r="O1154" s="82"/>
      <c r="P1154" s="70"/>
      <c r="Q1154" s="70"/>
      <c r="R1154" s="70"/>
      <c r="S1154" s="70"/>
    </row>
    <row r="1155" ht="15.75" customHeight="1">
      <c r="B1155" s="78"/>
      <c r="C1155" s="79"/>
      <c r="D1155" s="79"/>
      <c r="E1155" s="80"/>
      <c r="F1155" s="81"/>
      <c r="G1155" s="79"/>
      <c r="H1155" s="79"/>
      <c r="I1155" s="79"/>
      <c r="J1155" s="79"/>
      <c r="K1155" s="79"/>
      <c r="L1155" s="79"/>
      <c r="M1155" s="79"/>
      <c r="N1155" s="50"/>
      <c r="O1155" s="82"/>
      <c r="P1155" s="70"/>
      <c r="Q1155" s="70"/>
      <c r="R1155" s="70"/>
      <c r="S1155" s="70"/>
    </row>
    <row r="1156" ht="15.75" customHeight="1">
      <c r="B1156" s="78"/>
      <c r="C1156" s="79"/>
      <c r="D1156" s="79"/>
      <c r="E1156" s="80"/>
      <c r="F1156" s="81"/>
      <c r="G1156" s="79"/>
      <c r="H1156" s="79"/>
      <c r="I1156" s="79"/>
      <c r="J1156" s="79"/>
      <c r="K1156" s="79"/>
      <c r="L1156" s="79"/>
      <c r="M1156" s="79"/>
      <c r="N1156" s="50"/>
      <c r="O1156" s="82"/>
      <c r="P1156" s="70"/>
      <c r="Q1156" s="70"/>
      <c r="R1156" s="70"/>
      <c r="S1156" s="70"/>
    </row>
    <row r="1157" ht="15.75" customHeight="1">
      <c r="B1157" s="78"/>
      <c r="C1157" s="79"/>
      <c r="D1157" s="79"/>
      <c r="E1157" s="80"/>
      <c r="F1157" s="81"/>
      <c r="G1157" s="79"/>
      <c r="H1157" s="79"/>
      <c r="I1157" s="79"/>
      <c r="J1157" s="79"/>
      <c r="K1157" s="79"/>
      <c r="L1157" s="79"/>
      <c r="M1157" s="79"/>
      <c r="N1157" s="50"/>
      <c r="O1157" s="82"/>
      <c r="P1157" s="70"/>
      <c r="Q1157" s="70"/>
      <c r="R1157" s="70"/>
      <c r="S1157" s="70"/>
    </row>
    <row r="1158" ht="15.75" customHeight="1">
      <c r="B1158" s="78"/>
      <c r="C1158" s="79"/>
      <c r="D1158" s="79"/>
      <c r="E1158" s="80"/>
      <c r="F1158" s="81"/>
      <c r="G1158" s="79"/>
      <c r="H1158" s="79"/>
      <c r="I1158" s="79"/>
      <c r="J1158" s="79"/>
      <c r="K1158" s="79"/>
      <c r="L1158" s="79"/>
      <c r="M1158" s="79"/>
      <c r="N1158" s="50"/>
      <c r="O1158" s="82"/>
      <c r="P1158" s="70"/>
      <c r="Q1158" s="70"/>
      <c r="R1158" s="70"/>
      <c r="S1158" s="70"/>
    </row>
    <row r="1159" ht="15.75" customHeight="1">
      <c r="B1159" s="78"/>
      <c r="C1159" s="79"/>
      <c r="D1159" s="79"/>
      <c r="E1159" s="80"/>
      <c r="F1159" s="81"/>
      <c r="G1159" s="79"/>
      <c r="H1159" s="79"/>
      <c r="I1159" s="79"/>
      <c r="J1159" s="79"/>
      <c r="K1159" s="79"/>
      <c r="L1159" s="79"/>
      <c r="M1159" s="79"/>
      <c r="N1159" s="50"/>
      <c r="O1159" s="82"/>
      <c r="P1159" s="70"/>
      <c r="Q1159" s="70"/>
      <c r="R1159" s="70"/>
      <c r="S1159" s="70"/>
    </row>
    <row r="1160" ht="15.75" customHeight="1">
      <c r="B1160" s="78"/>
      <c r="C1160" s="79"/>
      <c r="D1160" s="79"/>
      <c r="E1160" s="80"/>
      <c r="F1160" s="81"/>
      <c r="G1160" s="79"/>
      <c r="H1160" s="79"/>
      <c r="I1160" s="79"/>
      <c r="J1160" s="79"/>
      <c r="K1160" s="79"/>
      <c r="L1160" s="79"/>
      <c r="M1160" s="79"/>
      <c r="N1160" s="50"/>
      <c r="O1160" s="82"/>
      <c r="P1160" s="70"/>
      <c r="Q1160" s="70"/>
      <c r="R1160" s="70"/>
      <c r="S1160" s="70"/>
    </row>
    <row r="1161" ht="15.75" customHeight="1">
      <c r="B1161" s="78"/>
      <c r="C1161" s="79"/>
      <c r="D1161" s="79"/>
      <c r="E1161" s="80"/>
      <c r="F1161" s="81"/>
      <c r="G1161" s="79"/>
      <c r="H1161" s="79"/>
      <c r="I1161" s="79"/>
      <c r="J1161" s="79"/>
      <c r="K1161" s="79"/>
      <c r="L1161" s="79"/>
      <c r="M1161" s="79"/>
      <c r="N1161" s="50"/>
      <c r="O1161" s="82"/>
      <c r="P1161" s="70"/>
      <c r="Q1161" s="70"/>
      <c r="R1161" s="70"/>
      <c r="S1161" s="70"/>
    </row>
    <row r="1162" ht="15.75" customHeight="1">
      <c r="B1162" s="78"/>
      <c r="C1162" s="79"/>
      <c r="D1162" s="79"/>
      <c r="E1162" s="80"/>
      <c r="F1162" s="81"/>
      <c r="G1162" s="79"/>
      <c r="H1162" s="79"/>
      <c r="I1162" s="79"/>
      <c r="J1162" s="79"/>
      <c r="K1162" s="79"/>
      <c r="L1162" s="79"/>
      <c r="M1162" s="79"/>
      <c r="N1162" s="50"/>
      <c r="O1162" s="82"/>
      <c r="P1162" s="70"/>
      <c r="Q1162" s="70"/>
      <c r="R1162" s="70"/>
      <c r="S1162" s="70"/>
    </row>
    <row r="1163" ht="15.75" customHeight="1">
      <c r="B1163" s="78"/>
      <c r="C1163" s="79"/>
      <c r="D1163" s="79"/>
      <c r="E1163" s="80"/>
      <c r="F1163" s="81"/>
      <c r="G1163" s="79"/>
      <c r="H1163" s="79"/>
      <c r="I1163" s="79"/>
      <c r="J1163" s="79"/>
      <c r="K1163" s="79"/>
      <c r="L1163" s="79"/>
      <c r="M1163" s="79"/>
      <c r="N1163" s="50"/>
      <c r="O1163" s="82"/>
      <c r="P1163" s="70"/>
      <c r="Q1163" s="70"/>
      <c r="R1163" s="70"/>
      <c r="S1163" s="70"/>
    </row>
    <row r="1164" ht="15.75" customHeight="1">
      <c r="B1164" s="78"/>
      <c r="C1164" s="79"/>
      <c r="D1164" s="79"/>
      <c r="E1164" s="80"/>
      <c r="F1164" s="81"/>
      <c r="G1164" s="79"/>
      <c r="H1164" s="79"/>
      <c r="I1164" s="79"/>
      <c r="J1164" s="79"/>
      <c r="K1164" s="79"/>
      <c r="L1164" s="79"/>
      <c r="M1164" s="79"/>
      <c r="N1164" s="50"/>
      <c r="O1164" s="82"/>
      <c r="P1164" s="70"/>
      <c r="Q1164" s="70"/>
      <c r="R1164" s="70"/>
      <c r="S1164" s="70"/>
    </row>
    <row r="1165" ht="15.75" customHeight="1">
      <c r="B1165" s="78"/>
      <c r="C1165" s="79"/>
      <c r="D1165" s="79"/>
      <c r="E1165" s="80"/>
      <c r="F1165" s="81"/>
      <c r="G1165" s="79"/>
      <c r="H1165" s="79"/>
      <c r="I1165" s="79"/>
      <c r="J1165" s="79"/>
      <c r="K1165" s="79"/>
      <c r="L1165" s="79"/>
      <c r="M1165" s="79"/>
      <c r="N1165" s="50"/>
      <c r="O1165" s="82"/>
      <c r="P1165" s="70"/>
      <c r="Q1165" s="70"/>
      <c r="R1165" s="70"/>
      <c r="S1165" s="70"/>
    </row>
    <row r="1166" ht="15.75" customHeight="1">
      <c r="B1166" s="78"/>
      <c r="C1166" s="79"/>
      <c r="D1166" s="79"/>
      <c r="E1166" s="80"/>
      <c r="F1166" s="81"/>
      <c r="G1166" s="79"/>
      <c r="H1166" s="79"/>
      <c r="I1166" s="79"/>
      <c r="J1166" s="79"/>
      <c r="K1166" s="79"/>
      <c r="L1166" s="79"/>
      <c r="M1166" s="79"/>
      <c r="N1166" s="50"/>
      <c r="O1166" s="82"/>
      <c r="P1166" s="70"/>
      <c r="Q1166" s="70"/>
      <c r="R1166" s="70"/>
      <c r="S1166" s="70"/>
    </row>
    <row r="1167" ht="15.75" customHeight="1">
      <c r="B1167" s="78"/>
      <c r="C1167" s="79"/>
      <c r="D1167" s="79"/>
      <c r="E1167" s="80"/>
      <c r="F1167" s="81"/>
      <c r="G1167" s="79"/>
      <c r="H1167" s="79"/>
      <c r="I1167" s="79"/>
      <c r="J1167" s="79"/>
      <c r="K1167" s="79"/>
      <c r="L1167" s="79"/>
      <c r="M1167" s="79"/>
      <c r="N1167" s="50"/>
      <c r="O1167" s="82"/>
      <c r="P1167" s="70"/>
      <c r="Q1167" s="70"/>
      <c r="R1167" s="70"/>
      <c r="S1167" s="70"/>
    </row>
    <row r="1168" ht="15.75" customHeight="1">
      <c r="B1168" s="78"/>
      <c r="C1168" s="79"/>
      <c r="D1168" s="79"/>
      <c r="E1168" s="80"/>
      <c r="F1168" s="81"/>
      <c r="G1168" s="79"/>
      <c r="H1168" s="79"/>
      <c r="I1168" s="79"/>
      <c r="J1168" s="79"/>
      <c r="K1168" s="79"/>
      <c r="L1168" s="79"/>
      <c r="M1168" s="79"/>
      <c r="N1168" s="50"/>
      <c r="O1168" s="82"/>
      <c r="P1168" s="70"/>
      <c r="Q1168" s="70"/>
      <c r="R1168" s="70"/>
      <c r="S1168" s="70"/>
    </row>
    <row r="1169" ht="15.75" customHeight="1">
      <c r="B1169" s="78"/>
      <c r="C1169" s="79"/>
      <c r="D1169" s="79"/>
      <c r="E1169" s="80"/>
      <c r="F1169" s="81"/>
      <c r="G1169" s="79"/>
      <c r="H1169" s="79"/>
      <c r="I1169" s="79"/>
      <c r="J1169" s="79"/>
      <c r="K1169" s="79"/>
      <c r="L1169" s="79"/>
      <c r="M1169" s="79"/>
      <c r="N1169" s="50"/>
      <c r="O1169" s="82"/>
      <c r="P1169" s="70"/>
      <c r="Q1169" s="70"/>
      <c r="R1169" s="70"/>
      <c r="S1169" s="70"/>
    </row>
    <row r="1170" ht="15.75" customHeight="1">
      <c r="B1170" s="78"/>
      <c r="C1170" s="79"/>
      <c r="D1170" s="79"/>
      <c r="E1170" s="80"/>
      <c r="F1170" s="81"/>
      <c r="G1170" s="79"/>
      <c r="H1170" s="79"/>
      <c r="I1170" s="79"/>
      <c r="J1170" s="79"/>
      <c r="K1170" s="79"/>
      <c r="L1170" s="79"/>
      <c r="M1170" s="79"/>
      <c r="N1170" s="50"/>
      <c r="O1170" s="82"/>
      <c r="P1170" s="70"/>
      <c r="Q1170" s="70"/>
      <c r="R1170" s="70"/>
      <c r="S1170" s="70"/>
    </row>
    <row r="1171" ht="15.75" customHeight="1">
      <c r="B1171" s="78"/>
      <c r="C1171" s="79"/>
      <c r="D1171" s="79"/>
      <c r="E1171" s="80"/>
      <c r="F1171" s="81"/>
      <c r="G1171" s="79"/>
      <c r="H1171" s="79"/>
      <c r="I1171" s="79"/>
      <c r="J1171" s="79"/>
      <c r="K1171" s="79"/>
      <c r="L1171" s="79"/>
      <c r="M1171" s="79"/>
      <c r="N1171" s="50"/>
      <c r="O1171" s="82"/>
      <c r="P1171" s="70"/>
      <c r="Q1171" s="70"/>
      <c r="R1171" s="70"/>
      <c r="S1171" s="70"/>
    </row>
    <row r="1172" ht="15.75" customHeight="1">
      <c r="B1172" s="78"/>
      <c r="C1172" s="79"/>
      <c r="D1172" s="79"/>
      <c r="E1172" s="80"/>
      <c r="F1172" s="81"/>
      <c r="G1172" s="79"/>
      <c r="H1172" s="79"/>
      <c r="I1172" s="79"/>
      <c r="J1172" s="79"/>
      <c r="K1172" s="79"/>
      <c r="L1172" s="79"/>
      <c r="M1172" s="79"/>
      <c r="N1172" s="50"/>
      <c r="O1172" s="82"/>
      <c r="P1172" s="70"/>
      <c r="Q1172" s="70"/>
      <c r="R1172" s="70"/>
      <c r="S1172" s="70"/>
    </row>
    <row r="1173" ht="15.75" customHeight="1">
      <c r="B1173" s="78"/>
      <c r="C1173" s="79"/>
      <c r="D1173" s="79"/>
      <c r="E1173" s="80"/>
      <c r="F1173" s="81"/>
      <c r="G1173" s="79"/>
      <c r="H1173" s="79"/>
      <c r="I1173" s="79"/>
      <c r="J1173" s="79"/>
      <c r="K1173" s="79"/>
      <c r="L1173" s="79"/>
      <c r="M1173" s="79"/>
      <c r="N1173" s="50"/>
      <c r="O1173" s="82"/>
      <c r="P1173" s="70"/>
      <c r="Q1173" s="70"/>
      <c r="R1173" s="70"/>
      <c r="S1173" s="70"/>
    </row>
    <row r="1174" ht="15.75" customHeight="1">
      <c r="B1174" s="78"/>
      <c r="C1174" s="79"/>
      <c r="D1174" s="79"/>
      <c r="E1174" s="80"/>
      <c r="F1174" s="81"/>
      <c r="G1174" s="79"/>
      <c r="H1174" s="79"/>
      <c r="I1174" s="79"/>
      <c r="J1174" s="79"/>
      <c r="K1174" s="79"/>
      <c r="L1174" s="79"/>
      <c r="M1174" s="79"/>
      <c r="N1174" s="50"/>
      <c r="O1174" s="82"/>
      <c r="P1174" s="70"/>
      <c r="Q1174" s="70"/>
      <c r="R1174" s="70"/>
      <c r="S1174" s="70"/>
    </row>
    <row r="1175" ht="15.75" customHeight="1">
      <c r="B1175" s="78"/>
      <c r="C1175" s="79"/>
      <c r="D1175" s="79"/>
      <c r="E1175" s="80"/>
      <c r="F1175" s="81"/>
      <c r="G1175" s="79"/>
      <c r="H1175" s="79"/>
      <c r="I1175" s="79"/>
      <c r="J1175" s="79"/>
      <c r="K1175" s="79"/>
      <c r="L1175" s="79"/>
      <c r="M1175" s="79"/>
      <c r="N1175" s="50"/>
      <c r="O1175" s="82"/>
      <c r="P1175" s="70"/>
      <c r="Q1175" s="70"/>
      <c r="R1175" s="70"/>
      <c r="S1175" s="70"/>
    </row>
    <row r="1176" ht="15.75" customHeight="1">
      <c r="B1176" s="78"/>
      <c r="C1176" s="79"/>
      <c r="D1176" s="79"/>
      <c r="E1176" s="80"/>
      <c r="F1176" s="81"/>
      <c r="G1176" s="79"/>
      <c r="H1176" s="79"/>
      <c r="I1176" s="79"/>
      <c r="J1176" s="79"/>
      <c r="K1176" s="79"/>
      <c r="L1176" s="79"/>
      <c r="M1176" s="79"/>
      <c r="N1176" s="50"/>
      <c r="O1176" s="82"/>
      <c r="P1176" s="70"/>
      <c r="Q1176" s="70"/>
      <c r="R1176" s="70"/>
      <c r="S1176" s="70"/>
    </row>
    <row r="1177" ht="15.75" customHeight="1">
      <c r="B1177" s="78"/>
      <c r="C1177" s="79"/>
      <c r="D1177" s="79"/>
      <c r="E1177" s="80"/>
      <c r="F1177" s="81"/>
      <c r="G1177" s="79"/>
      <c r="H1177" s="79"/>
      <c r="I1177" s="79"/>
      <c r="J1177" s="79"/>
      <c r="K1177" s="79"/>
      <c r="L1177" s="79"/>
      <c r="M1177" s="79"/>
      <c r="N1177" s="50"/>
      <c r="O1177" s="82"/>
      <c r="P1177" s="70"/>
      <c r="Q1177" s="70"/>
      <c r="R1177" s="70"/>
      <c r="S1177" s="70"/>
    </row>
    <row r="1178" ht="15.75" customHeight="1">
      <c r="B1178" s="78"/>
      <c r="C1178" s="79"/>
      <c r="D1178" s="79"/>
      <c r="E1178" s="80"/>
      <c r="F1178" s="81"/>
      <c r="G1178" s="79"/>
      <c r="H1178" s="79"/>
      <c r="I1178" s="79"/>
      <c r="J1178" s="79"/>
      <c r="K1178" s="79"/>
      <c r="L1178" s="79"/>
      <c r="M1178" s="79"/>
      <c r="N1178" s="50"/>
      <c r="O1178" s="82"/>
      <c r="P1178" s="70"/>
      <c r="Q1178" s="70"/>
      <c r="R1178" s="70"/>
      <c r="S1178" s="70"/>
    </row>
    <row r="1179" ht="15.75" customHeight="1">
      <c r="B1179" s="78"/>
      <c r="C1179" s="79"/>
      <c r="D1179" s="79"/>
      <c r="E1179" s="80"/>
      <c r="F1179" s="81"/>
      <c r="G1179" s="79"/>
      <c r="H1179" s="79"/>
      <c r="I1179" s="79"/>
      <c r="J1179" s="79"/>
      <c r="K1179" s="79"/>
      <c r="L1179" s="79"/>
      <c r="M1179" s="79"/>
      <c r="N1179" s="50"/>
      <c r="O1179" s="82"/>
      <c r="P1179" s="70"/>
      <c r="Q1179" s="70"/>
      <c r="R1179" s="70"/>
      <c r="S1179" s="70"/>
    </row>
    <row r="1180" ht="15.75" customHeight="1">
      <c r="B1180" s="78"/>
      <c r="C1180" s="79"/>
      <c r="D1180" s="79"/>
      <c r="E1180" s="80"/>
      <c r="F1180" s="81"/>
      <c r="G1180" s="79"/>
      <c r="H1180" s="79"/>
      <c r="I1180" s="79"/>
      <c r="J1180" s="79"/>
      <c r="K1180" s="79"/>
      <c r="L1180" s="79"/>
      <c r="M1180" s="79"/>
      <c r="N1180" s="50"/>
      <c r="O1180" s="82"/>
      <c r="P1180" s="70"/>
      <c r="Q1180" s="70"/>
      <c r="R1180" s="70"/>
      <c r="S1180" s="70"/>
    </row>
    <row r="1181" ht="15.75" customHeight="1">
      <c r="B1181" s="78"/>
      <c r="C1181" s="79"/>
      <c r="D1181" s="79"/>
      <c r="E1181" s="80"/>
      <c r="F1181" s="81"/>
      <c r="G1181" s="79"/>
      <c r="H1181" s="79"/>
      <c r="I1181" s="79"/>
      <c r="J1181" s="79"/>
      <c r="K1181" s="79"/>
      <c r="L1181" s="79"/>
      <c r="M1181" s="79"/>
      <c r="N1181" s="50"/>
      <c r="O1181" s="82"/>
      <c r="P1181" s="70"/>
      <c r="Q1181" s="70"/>
      <c r="R1181" s="70"/>
      <c r="S1181" s="70"/>
    </row>
    <row r="1182" ht="15.75" customHeight="1">
      <c r="B1182" s="78"/>
      <c r="C1182" s="79"/>
      <c r="D1182" s="79"/>
      <c r="E1182" s="80"/>
      <c r="F1182" s="81"/>
      <c r="G1182" s="79"/>
      <c r="H1182" s="79"/>
      <c r="I1182" s="79"/>
      <c r="J1182" s="79"/>
      <c r="K1182" s="79"/>
      <c r="L1182" s="79"/>
      <c r="M1182" s="79"/>
      <c r="N1182" s="50"/>
      <c r="O1182" s="82"/>
      <c r="P1182" s="70"/>
      <c r="Q1182" s="70"/>
      <c r="R1182" s="70"/>
      <c r="S1182" s="70"/>
    </row>
    <row r="1183" ht="15.75" customHeight="1">
      <c r="B1183" s="78"/>
      <c r="C1183" s="79"/>
      <c r="D1183" s="79"/>
      <c r="E1183" s="80"/>
      <c r="F1183" s="81"/>
      <c r="G1183" s="79"/>
      <c r="H1183" s="79"/>
      <c r="I1183" s="79"/>
      <c r="J1183" s="79"/>
      <c r="K1183" s="79"/>
      <c r="L1183" s="79"/>
      <c r="M1183" s="79"/>
      <c r="N1183" s="50"/>
      <c r="O1183" s="82"/>
      <c r="P1183" s="70"/>
      <c r="Q1183" s="70"/>
      <c r="R1183" s="70"/>
      <c r="S1183" s="70"/>
    </row>
    <row r="1184" ht="15.75" customHeight="1">
      <c r="B1184" s="78"/>
      <c r="C1184" s="79"/>
      <c r="D1184" s="79"/>
      <c r="E1184" s="80"/>
      <c r="F1184" s="81"/>
      <c r="G1184" s="79"/>
      <c r="H1184" s="79"/>
      <c r="I1184" s="79"/>
      <c r="J1184" s="79"/>
      <c r="K1184" s="79"/>
      <c r="L1184" s="79"/>
      <c r="M1184" s="79"/>
      <c r="N1184" s="50"/>
      <c r="O1184" s="82"/>
      <c r="P1184" s="70"/>
      <c r="Q1184" s="70"/>
      <c r="R1184" s="70"/>
      <c r="S1184" s="70"/>
    </row>
    <row r="1185" ht="15.75" customHeight="1">
      <c r="B1185" s="78"/>
      <c r="C1185" s="79"/>
      <c r="D1185" s="79"/>
      <c r="E1185" s="80"/>
      <c r="F1185" s="81"/>
      <c r="G1185" s="79"/>
      <c r="H1185" s="79"/>
      <c r="I1185" s="79"/>
      <c r="J1185" s="79"/>
      <c r="K1185" s="79"/>
      <c r="L1185" s="79"/>
      <c r="M1185" s="79"/>
      <c r="N1185" s="50"/>
      <c r="O1185" s="82"/>
      <c r="P1185" s="70"/>
      <c r="Q1185" s="70"/>
      <c r="R1185" s="70"/>
      <c r="S1185" s="70"/>
    </row>
    <row r="1186" ht="15.75" customHeight="1">
      <c r="B1186" s="78"/>
      <c r="C1186" s="79"/>
      <c r="D1186" s="79"/>
      <c r="E1186" s="80"/>
      <c r="F1186" s="81"/>
      <c r="G1186" s="79"/>
      <c r="H1186" s="79"/>
      <c r="I1186" s="79"/>
      <c r="J1186" s="79"/>
      <c r="K1186" s="79"/>
      <c r="L1186" s="79"/>
      <c r="M1186" s="79"/>
      <c r="N1186" s="50"/>
      <c r="O1186" s="82"/>
      <c r="P1186" s="70"/>
      <c r="Q1186" s="70"/>
      <c r="R1186" s="70"/>
      <c r="S1186" s="70"/>
    </row>
    <row r="1187" ht="15.75" customHeight="1">
      <c r="B1187" s="78"/>
      <c r="C1187" s="79"/>
      <c r="D1187" s="79"/>
      <c r="E1187" s="80"/>
      <c r="F1187" s="81"/>
      <c r="G1187" s="79"/>
      <c r="H1187" s="79"/>
      <c r="I1187" s="79"/>
      <c r="J1187" s="79"/>
      <c r="K1187" s="79"/>
      <c r="L1187" s="79"/>
      <c r="M1187" s="79"/>
      <c r="N1187" s="50"/>
      <c r="O1187" s="82"/>
      <c r="P1187" s="70"/>
      <c r="Q1187" s="70"/>
      <c r="R1187" s="70"/>
      <c r="S1187" s="70"/>
    </row>
    <row r="1188" ht="15.75" customHeight="1">
      <c r="B1188" s="78"/>
      <c r="C1188" s="79"/>
      <c r="D1188" s="79"/>
      <c r="E1188" s="80"/>
      <c r="F1188" s="81"/>
      <c r="G1188" s="79"/>
      <c r="H1188" s="79"/>
      <c r="I1188" s="79"/>
      <c r="J1188" s="79"/>
      <c r="K1188" s="79"/>
      <c r="L1188" s="79"/>
      <c r="M1188" s="79"/>
      <c r="N1188" s="50"/>
      <c r="O1188" s="82"/>
      <c r="P1188" s="70"/>
      <c r="Q1188" s="70"/>
      <c r="R1188" s="70"/>
      <c r="S1188" s="70"/>
    </row>
    <row r="1189" ht="15.75" customHeight="1">
      <c r="B1189" s="78"/>
      <c r="C1189" s="79"/>
      <c r="D1189" s="79"/>
      <c r="E1189" s="80"/>
      <c r="F1189" s="81"/>
      <c r="G1189" s="79"/>
      <c r="H1189" s="79"/>
      <c r="I1189" s="79"/>
      <c r="J1189" s="79"/>
      <c r="K1189" s="79"/>
      <c r="L1189" s="79"/>
      <c r="M1189" s="79"/>
      <c r="N1189" s="50"/>
      <c r="O1189" s="82"/>
      <c r="P1189" s="70"/>
      <c r="Q1189" s="70"/>
      <c r="R1189" s="70"/>
      <c r="S1189" s="70"/>
    </row>
    <row r="1190" ht="15.75" customHeight="1">
      <c r="B1190" s="78"/>
      <c r="C1190" s="79"/>
      <c r="D1190" s="79"/>
      <c r="E1190" s="80"/>
      <c r="F1190" s="81"/>
      <c r="G1190" s="79"/>
      <c r="H1190" s="79"/>
      <c r="I1190" s="79"/>
      <c r="J1190" s="79"/>
      <c r="K1190" s="79"/>
      <c r="L1190" s="79"/>
      <c r="M1190" s="79"/>
      <c r="N1190" s="50"/>
      <c r="O1190" s="82"/>
      <c r="P1190" s="70"/>
      <c r="Q1190" s="70"/>
      <c r="R1190" s="70"/>
      <c r="S1190" s="70"/>
    </row>
    <row r="1191" ht="15.75" customHeight="1">
      <c r="B1191" s="78"/>
      <c r="C1191" s="79"/>
      <c r="D1191" s="79"/>
      <c r="E1191" s="80"/>
      <c r="F1191" s="81"/>
      <c r="G1191" s="79"/>
      <c r="H1191" s="79"/>
      <c r="I1191" s="79"/>
      <c r="J1191" s="79"/>
      <c r="K1191" s="79"/>
      <c r="L1191" s="79"/>
      <c r="M1191" s="79"/>
      <c r="N1191" s="50"/>
      <c r="O1191" s="82"/>
      <c r="P1191" s="70"/>
      <c r="Q1191" s="70"/>
      <c r="R1191" s="70"/>
      <c r="S1191" s="70"/>
    </row>
    <row r="1192" ht="15.75" customHeight="1">
      <c r="B1192" s="78"/>
      <c r="C1192" s="79"/>
      <c r="D1192" s="79"/>
      <c r="E1192" s="80"/>
      <c r="F1192" s="81"/>
      <c r="G1192" s="79"/>
      <c r="H1192" s="79"/>
      <c r="I1192" s="79"/>
      <c r="J1192" s="79"/>
      <c r="K1192" s="79"/>
      <c r="L1192" s="79"/>
      <c r="M1192" s="79"/>
      <c r="N1192" s="50"/>
      <c r="O1192" s="82"/>
      <c r="P1192" s="70"/>
      <c r="Q1192" s="70"/>
      <c r="R1192" s="70"/>
      <c r="S1192" s="70"/>
    </row>
    <row r="1193" ht="15.75" customHeight="1">
      <c r="B1193" s="78"/>
      <c r="C1193" s="79"/>
      <c r="D1193" s="79"/>
      <c r="E1193" s="80"/>
      <c r="F1193" s="81"/>
      <c r="G1193" s="79"/>
      <c r="H1193" s="79"/>
      <c r="I1193" s="79"/>
      <c r="J1193" s="79"/>
      <c r="K1193" s="79"/>
      <c r="L1193" s="79"/>
      <c r="M1193" s="79"/>
      <c r="N1193" s="50"/>
      <c r="O1193" s="82"/>
      <c r="P1193" s="70"/>
      <c r="Q1193" s="70"/>
      <c r="R1193" s="70"/>
      <c r="S1193" s="70"/>
    </row>
    <row r="1194" ht="15.75" customHeight="1">
      <c r="B1194" s="78"/>
      <c r="C1194" s="79"/>
      <c r="D1194" s="79"/>
      <c r="E1194" s="80"/>
      <c r="F1194" s="81"/>
      <c r="G1194" s="79"/>
      <c r="H1194" s="79"/>
      <c r="I1194" s="79"/>
      <c r="J1194" s="79"/>
      <c r="K1194" s="79"/>
      <c r="L1194" s="79"/>
      <c r="M1194" s="79"/>
      <c r="N1194" s="50"/>
      <c r="O1194" s="82"/>
      <c r="P1194" s="70"/>
      <c r="Q1194" s="70"/>
      <c r="R1194" s="70"/>
      <c r="S1194" s="70"/>
    </row>
    <row r="1195" ht="15.75" customHeight="1">
      <c r="B1195" s="78"/>
      <c r="C1195" s="79"/>
      <c r="D1195" s="79"/>
      <c r="E1195" s="80"/>
      <c r="F1195" s="81"/>
      <c r="G1195" s="79"/>
      <c r="H1195" s="79"/>
      <c r="I1195" s="79"/>
      <c r="J1195" s="79"/>
      <c r="K1195" s="79"/>
      <c r="L1195" s="79"/>
      <c r="M1195" s="79"/>
      <c r="N1195" s="50"/>
      <c r="O1195" s="82"/>
      <c r="P1195" s="70"/>
      <c r="Q1195" s="70"/>
      <c r="R1195" s="70"/>
      <c r="S1195" s="70"/>
    </row>
    <row r="1196" ht="15.75" customHeight="1">
      <c r="B1196" s="78"/>
      <c r="C1196" s="79"/>
      <c r="D1196" s="79"/>
      <c r="E1196" s="80"/>
      <c r="F1196" s="81"/>
      <c r="G1196" s="79"/>
      <c r="H1196" s="79"/>
      <c r="I1196" s="79"/>
      <c r="J1196" s="79"/>
      <c r="K1196" s="79"/>
      <c r="L1196" s="79"/>
      <c r="M1196" s="79"/>
      <c r="N1196" s="50"/>
      <c r="O1196" s="82"/>
      <c r="P1196" s="70"/>
      <c r="Q1196" s="70"/>
      <c r="R1196" s="70"/>
      <c r="S1196" s="70"/>
    </row>
    <row r="1197" ht="15.75" customHeight="1">
      <c r="B1197" s="78"/>
      <c r="C1197" s="79"/>
      <c r="D1197" s="79"/>
      <c r="E1197" s="80"/>
      <c r="F1197" s="81"/>
      <c r="G1197" s="79"/>
      <c r="H1197" s="79"/>
      <c r="I1197" s="79"/>
      <c r="J1197" s="79"/>
      <c r="K1197" s="79"/>
      <c r="L1197" s="79"/>
      <c r="M1197" s="79"/>
      <c r="N1197" s="50"/>
      <c r="O1197" s="82"/>
      <c r="P1197" s="70"/>
      <c r="Q1197" s="70"/>
      <c r="R1197" s="70"/>
      <c r="S1197" s="70"/>
    </row>
    <row r="1198" ht="15.75" customHeight="1">
      <c r="B1198" s="78"/>
      <c r="C1198" s="79"/>
      <c r="D1198" s="79"/>
      <c r="E1198" s="80"/>
      <c r="F1198" s="81"/>
      <c r="G1198" s="79"/>
      <c r="H1198" s="79"/>
      <c r="I1198" s="79"/>
      <c r="J1198" s="79"/>
      <c r="K1198" s="79"/>
      <c r="L1198" s="79"/>
      <c r="M1198" s="79"/>
      <c r="N1198" s="50"/>
      <c r="O1198" s="82"/>
      <c r="P1198" s="70"/>
      <c r="Q1198" s="70"/>
      <c r="R1198" s="70"/>
      <c r="S1198" s="70"/>
    </row>
    <row r="1199" ht="15.75" customHeight="1">
      <c r="B1199" s="78"/>
      <c r="C1199" s="79"/>
      <c r="D1199" s="79"/>
      <c r="E1199" s="80"/>
      <c r="F1199" s="81"/>
      <c r="G1199" s="79"/>
      <c r="H1199" s="79"/>
      <c r="I1199" s="79"/>
      <c r="J1199" s="79"/>
      <c r="K1199" s="79"/>
      <c r="L1199" s="79"/>
      <c r="M1199" s="79"/>
      <c r="N1199" s="50"/>
      <c r="O1199" s="82"/>
      <c r="P1199" s="70"/>
      <c r="Q1199" s="70"/>
      <c r="R1199" s="70"/>
      <c r="S1199" s="70"/>
    </row>
    <row r="1200" ht="15.75" customHeight="1">
      <c r="B1200" s="78"/>
      <c r="C1200" s="79"/>
      <c r="D1200" s="79"/>
      <c r="E1200" s="80"/>
      <c r="F1200" s="81"/>
      <c r="G1200" s="79"/>
      <c r="H1200" s="79"/>
      <c r="I1200" s="79"/>
      <c r="J1200" s="79"/>
      <c r="K1200" s="79"/>
      <c r="L1200" s="79"/>
      <c r="M1200" s="79"/>
      <c r="N1200" s="50"/>
      <c r="O1200" s="82"/>
      <c r="P1200" s="70"/>
      <c r="Q1200" s="70"/>
      <c r="R1200" s="70"/>
      <c r="S1200" s="70"/>
    </row>
    <row r="1201" ht="15.75" customHeight="1">
      <c r="B1201" s="78"/>
      <c r="C1201" s="79"/>
      <c r="D1201" s="79"/>
      <c r="E1201" s="80"/>
      <c r="F1201" s="81"/>
      <c r="G1201" s="79"/>
      <c r="H1201" s="79"/>
      <c r="I1201" s="79"/>
      <c r="J1201" s="79"/>
      <c r="K1201" s="79"/>
      <c r="L1201" s="79"/>
      <c r="M1201" s="79"/>
      <c r="N1201" s="50"/>
      <c r="O1201" s="82"/>
      <c r="P1201" s="70"/>
      <c r="Q1201" s="70"/>
      <c r="R1201" s="70"/>
      <c r="S1201" s="70"/>
    </row>
    <row r="1202" ht="15.75" customHeight="1">
      <c r="B1202" s="78"/>
      <c r="C1202" s="79"/>
      <c r="D1202" s="79"/>
      <c r="E1202" s="80"/>
      <c r="F1202" s="81"/>
      <c r="G1202" s="79"/>
      <c r="H1202" s="79"/>
      <c r="I1202" s="79"/>
      <c r="J1202" s="79"/>
      <c r="K1202" s="79"/>
      <c r="L1202" s="79"/>
      <c r="M1202" s="79"/>
      <c r="N1202" s="50"/>
      <c r="O1202" s="82"/>
      <c r="P1202" s="70"/>
      <c r="Q1202" s="70"/>
      <c r="R1202" s="70"/>
      <c r="S1202" s="70"/>
    </row>
    <row r="1203" ht="15.75" customHeight="1">
      <c r="B1203" s="78"/>
      <c r="C1203" s="79"/>
      <c r="D1203" s="79"/>
      <c r="E1203" s="80"/>
      <c r="F1203" s="81"/>
      <c r="G1203" s="79"/>
      <c r="H1203" s="79"/>
      <c r="I1203" s="79"/>
      <c r="J1203" s="79"/>
      <c r="K1203" s="79"/>
      <c r="L1203" s="79"/>
      <c r="M1203" s="79"/>
      <c r="N1203" s="50"/>
      <c r="O1203" s="82"/>
      <c r="P1203" s="70"/>
      <c r="Q1203" s="70"/>
      <c r="R1203" s="70"/>
      <c r="S1203" s="70"/>
    </row>
    <row r="1204" ht="15.75" customHeight="1">
      <c r="B1204" s="78"/>
      <c r="C1204" s="79"/>
      <c r="D1204" s="79"/>
      <c r="E1204" s="80"/>
      <c r="F1204" s="81"/>
      <c r="G1204" s="79"/>
      <c r="H1204" s="79"/>
      <c r="I1204" s="79"/>
      <c r="J1204" s="79"/>
      <c r="K1204" s="79"/>
      <c r="L1204" s="79"/>
      <c r="M1204" s="79"/>
      <c r="N1204" s="50"/>
      <c r="O1204" s="82"/>
      <c r="P1204" s="70"/>
      <c r="Q1204" s="70"/>
      <c r="R1204" s="70"/>
      <c r="S1204" s="70"/>
    </row>
    <row r="1205" ht="15.75" customHeight="1">
      <c r="B1205" s="78"/>
      <c r="C1205" s="79"/>
      <c r="D1205" s="79"/>
      <c r="E1205" s="80"/>
      <c r="F1205" s="81"/>
      <c r="G1205" s="79"/>
      <c r="H1205" s="79"/>
      <c r="I1205" s="79"/>
      <c r="J1205" s="79"/>
      <c r="K1205" s="79"/>
      <c r="L1205" s="79"/>
      <c r="M1205" s="79"/>
      <c r="N1205" s="50"/>
      <c r="O1205" s="82"/>
      <c r="P1205" s="70"/>
      <c r="Q1205" s="70"/>
      <c r="R1205" s="70"/>
      <c r="S1205" s="70"/>
    </row>
    <row r="1206" ht="15.75" customHeight="1">
      <c r="B1206" s="78"/>
      <c r="C1206" s="79"/>
      <c r="D1206" s="79"/>
      <c r="E1206" s="80"/>
      <c r="F1206" s="81"/>
      <c r="G1206" s="79"/>
      <c r="H1206" s="79"/>
      <c r="I1206" s="79"/>
      <c r="J1206" s="79"/>
      <c r="K1206" s="79"/>
      <c r="L1206" s="79"/>
      <c r="M1206" s="79"/>
      <c r="N1206" s="50"/>
      <c r="O1206" s="82"/>
      <c r="P1206" s="70"/>
      <c r="Q1206" s="70"/>
      <c r="R1206" s="70"/>
      <c r="S1206" s="70"/>
    </row>
    <row r="1207" ht="15.75" customHeight="1">
      <c r="B1207" s="78"/>
      <c r="C1207" s="79"/>
      <c r="D1207" s="79"/>
      <c r="E1207" s="80"/>
      <c r="F1207" s="81"/>
      <c r="G1207" s="79"/>
      <c r="H1207" s="79"/>
      <c r="I1207" s="79"/>
      <c r="J1207" s="79"/>
      <c r="K1207" s="79"/>
      <c r="L1207" s="79"/>
      <c r="M1207" s="79"/>
      <c r="N1207" s="50"/>
      <c r="O1207" s="82"/>
      <c r="P1207" s="70"/>
      <c r="Q1207" s="70"/>
      <c r="R1207" s="70"/>
      <c r="S1207" s="70"/>
    </row>
    <row r="1208" ht="15.75" customHeight="1">
      <c r="B1208" s="78"/>
      <c r="C1208" s="79"/>
      <c r="D1208" s="79"/>
      <c r="E1208" s="80"/>
      <c r="F1208" s="81"/>
      <c r="G1208" s="79"/>
      <c r="H1208" s="79"/>
      <c r="I1208" s="79"/>
      <c r="J1208" s="79"/>
      <c r="K1208" s="79"/>
      <c r="L1208" s="79"/>
      <c r="M1208" s="79"/>
      <c r="N1208" s="50"/>
      <c r="O1208" s="82"/>
      <c r="P1208" s="70"/>
      <c r="Q1208" s="70"/>
      <c r="R1208" s="70"/>
      <c r="S1208" s="70"/>
    </row>
    <row r="1209" ht="15.75" customHeight="1">
      <c r="B1209" s="78"/>
      <c r="C1209" s="79"/>
      <c r="D1209" s="79"/>
      <c r="E1209" s="80"/>
      <c r="F1209" s="81"/>
      <c r="G1209" s="79"/>
      <c r="H1209" s="79"/>
      <c r="I1209" s="79"/>
      <c r="J1209" s="79"/>
      <c r="K1209" s="79"/>
      <c r="L1209" s="79"/>
      <c r="M1209" s="79"/>
      <c r="N1209" s="50"/>
      <c r="O1209" s="82"/>
      <c r="P1209" s="70"/>
      <c r="Q1209" s="70"/>
      <c r="R1209" s="70"/>
      <c r="S1209" s="70"/>
    </row>
    <row r="1210" ht="15.75" customHeight="1">
      <c r="B1210" s="78"/>
      <c r="C1210" s="79"/>
      <c r="D1210" s="79"/>
      <c r="E1210" s="80"/>
      <c r="F1210" s="81"/>
      <c r="G1210" s="79"/>
      <c r="H1210" s="79"/>
      <c r="I1210" s="79"/>
      <c r="J1210" s="79"/>
      <c r="K1210" s="79"/>
      <c r="L1210" s="79"/>
      <c r="M1210" s="79"/>
      <c r="N1210" s="50"/>
      <c r="O1210" s="82"/>
      <c r="P1210" s="70"/>
      <c r="Q1210" s="70"/>
      <c r="R1210" s="70"/>
      <c r="S1210" s="70"/>
    </row>
    <row r="1211" ht="15.75" customHeight="1">
      <c r="B1211" s="78"/>
      <c r="C1211" s="79"/>
      <c r="D1211" s="79"/>
      <c r="E1211" s="80"/>
      <c r="F1211" s="81"/>
      <c r="G1211" s="79"/>
      <c r="H1211" s="79"/>
      <c r="I1211" s="79"/>
      <c r="J1211" s="79"/>
      <c r="K1211" s="79"/>
      <c r="L1211" s="79"/>
      <c r="M1211" s="79"/>
      <c r="N1211" s="50"/>
      <c r="O1211" s="82"/>
      <c r="P1211" s="70"/>
      <c r="Q1211" s="70"/>
      <c r="R1211" s="70"/>
      <c r="S1211" s="70"/>
    </row>
    <row r="1212" ht="15.75" customHeight="1">
      <c r="B1212" s="78"/>
      <c r="C1212" s="79"/>
      <c r="D1212" s="79"/>
      <c r="E1212" s="80"/>
      <c r="F1212" s="81"/>
      <c r="G1212" s="79"/>
      <c r="H1212" s="79"/>
      <c r="I1212" s="79"/>
      <c r="J1212" s="79"/>
      <c r="K1212" s="79"/>
      <c r="L1212" s="79"/>
      <c r="M1212" s="79"/>
      <c r="N1212" s="50"/>
      <c r="O1212" s="82"/>
      <c r="P1212" s="70"/>
      <c r="Q1212" s="70"/>
      <c r="R1212" s="70"/>
      <c r="S1212" s="70"/>
    </row>
    <row r="1213" ht="15.75" customHeight="1">
      <c r="B1213" s="78"/>
      <c r="C1213" s="79"/>
      <c r="D1213" s="79"/>
      <c r="E1213" s="80"/>
      <c r="F1213" s="81"/>
      <c r="G1213" s="79"/>
      <c r="H1213" s="79"/>
      <c r="I1213" s="79"/>
      <c r="J1213" s="79"/>
      <c r="K1213" s="79"/>
      <c r="L1213" s="79"/>
      <c r="M1213" s="79"/>
      <c r="N1213" s="50"/>
      <c r="O1213" s="82"/>
      <c r="P1213" s="70"/>
      <c r="Q1213" s="70"/>
      <c r="R1213" s="70"/>
      <c r="S1213" s="70"/>
    </row>
    <row r="1214" ht="15.75" customHeight="1">
      <c r="B1214" s="78"/>
      <c r="C1214" s="79"/>
      <c r="D1214" s="79"/>
      <c r="E1214" s="80"/>
      <c r="F1214" s="81"/>
      <c r="G1214" s="79"/>
      <c r="H1214" s="79"/>
      <c r="I1214" s="79"/>
      <c r="J1214" s="79"/>
      <c r="K1214" s="79"/>
      <c r="L1214" s="79"/>
      <c r="M1214" s="79"/>
      <c r="N1214" s="50"/>
      <c r="O1214" s="82"/>
      <c r="P1214" s="70"/>
      <c r="Q1214" s="70"/>
      <c r="R1214" s="70"/>
      <c r="S1214" s="70"/>
    </row>
    <row r="1215" ht="15.75" customHeight="1">
      <c r="B1215" s="78"/>
      <c r="C1215" s="79"/>
      <c r="D1215" s="79"/>
      <c r="E1215" s="80"/>
      <c r="F1215" s="81"/>
      <c r="G1215" s="79"/>
      <c r="H1215" s="79"/>
      <c r="I1215" s="79"/>
      <c r="J1215" s="79"/>
      <c r="K1215" s="79"/>
      <c r="L1215" s="79"/>
      <c r="M1215" s="79"/>
      <c r="N1215" s="50"/>
      <c r="O1215" s="82"/>
      <c r="P1215" s="70"/>
      <c r="Q1215" s="70"/>
      <c r="R1215" s="70"/>
      <c r="S1215" s="70"/>
    </row>
    <row r="1216" ht="15.75" customHeight="1">
      <c r="B1216" s="78"/>
      <c r="C1216" s="79"/>
      <c r="D1216" s="79"/>
      <c r="E1216" s="80"/>
      <c r="F1216" s="81"/>
      <c r="G1216" s="79"/>
      <c r="H1216" s="79"/>
      <c r="I1216" s="79"/>
      <c r="J1216" s="79"/>
      <c r="K1216" s="79"/>
      <c r="L1216" s="79"/>
      <c r="M1216" s="79"/>
      <c r="N1216" s="50"/>
      <c r="O1216" s="82"/>
      <c r="P1216" s="70"/>
      <c r="Q1216" s="70"/>
      <c r="R1216" s="70"/>
      <c r="S1216" s="70"/>
    </row>
    <row r="1217" ht="15.75" customHeight="1">
      <c r="B1217" s="78"/>
      <c r="C1217" s="79"/>
      <c r="D1217" s="79"/>
      <c r="E1217" s="80"/>
      <c r="F1217" s="81"/>
      <c r="G1217" s="79"/>
      <c r="H1217" s="79"/>
      <c r="I1217" s="79"/>
      <c r="J1217" s="79"/>
      <c r="K1217" s="79"/>
      <c r="L1217" s="79"/>
      <c r="M1217" s="79"/>
      <c r="N1217" s="50"/>
      <c r="O1217" s="82"/>
      <c r="P1217" s="70"/>
      <c r="Q1217" s="70"/>
      <c r="R1217" s="70"/>
      <c r="S1217" s="70"/>
    </row>
    <row r="1218" ht="15.75" customHeight="1">
      <c r="B1218" s="78"/>
      <c r="C1218" s="79"/>
      <c r="D1218" s="79"/>
      <c r="E1218" s="80"/>
      <c r="F1218" s="81"/>
      <c r="G1218" s="79"/>
      <c r="H1218" s="79"/>
      <c r="I1218" s="79"/>
      <c r="J1218" s="79"/>
      <c r="K1218" s="79"/>
      <c r="L1218" s="79"/>
      <c r="M1218" s="79"/>
      <c r="N1218" s="50"/>
      <c r="O1218" s="82"/>
      <c r="P1218" s="70"/>
      <c r="Q1218" s="70"/>
      <c r="R1218" s="70"/>
      <c r="S1218" s="70"/>
    </row>
    <row r="1219" ht="15.75" customHeight="1">
      <c r="B1219" s="78"/>
      <c r="C1219" s="79"/>
      <c r="D1219" s="79"/>
      <c r="E1219" s="80"/>
      <c r="F1219" s="81"/>
      <c r="G1219" s="79"/>
      <c r="H1219" s="79"/>
      <c r="I1219" s="79"/>
      <c r="J1219" s="79"/>
      <c r="K1219" s="79"/>
      <c r="L1219" s="79"/>
      <c r="M1219" s="79"/>
      <c r="N1219" s="50"/>
      <c r="O1219" s="82"/>
      <c r="P1219" s="70"/>
      <c r="Q1219" s="70"/>
      <c r="R1219" s="70"/>
      <c r="S1219" s="70"/>
    </row>
    <row r="1220" ht="15.75" customHeight="1">
      <c r="B1220" s="78"/>
      <c r="C1220" s="79"/>
      <c r="D1220" s="79"/>
      <c r="E1220" s="80"/>
      <c r="F1220" s="81"/>
      <c r="G1220" s="79"/>
      <c r="H1220" s="79"/>
      <c r="I1220" s="79"/>
      <c r="J1220" s="79"/>
      <c r="K1220" s="79"/>
      <c r="L1220" s="79"/>
      <c r="M1220" s="79"/>
      <c r="N1220" s="50"/>
      <c r="O1220" s="82"/>
      <c r="P1220" s="70"/>
      <c r="Q1220" s="70"/>
      <c r="R1220" s="70"/>
      <c r="S1220" s="70"/>
    </row>
    <row r="1221" ht="15.75" customHeight="1">
      <c r="B1221" s="78"/>
      <c r="C1221" s="79"/>
      <c r="D1221" s="79"/>
      <c r="E1221" s="80"/>
      <c r="F1221" s="81"/>
      <c r="G1221" s="79"/>
      <c r="H1221" s="79"/>
      <c r="I1221" s="79"/>
      <c r="J1221" s="79"/>
      <c r="K1221" s="79"/>
      <c r="L1221" s="79"/>
      <c r="M1221" s="79"/>
      <c r="N1221" s="50"/>
      <c r="O1221" s="82"/>
      <c r="P1221" s="70"/>
      <c r="Q1221" s="70"/>
      <c r="R1221" s="70"/>
      <c r="S1221" s="70"/>
    </row>
    <row r="1222" ht="15.75" customHeight="1">
      <c r="B1222" s="78"/>
      <c r="C1222" s="79"/>
      <c r="D1222" s="79"/>
      <c r="E1222" s="80"/>
      <c r="F1222" s="81"/>
      <c r="G1222" s="79"/>
      <c r="H1222" s="79"/>
      <c r="I1222" s="79"/>
      <c r="J1222" s="79"/>
      <c r="K1222" s="79"/>
      <c r="L1222" s="79"/>
      <c r="M1222" s="79"/>
      <c r="N1222" s="50"/>
      <c r="O1222" s="82"/>
      <c r="P1222" s="70"/>
      <c r="Q1222" s="70"/>
      <c r="R1222" s="70"/>
      <c r="S1222" s="70"/>
    </row>
    <row r="1223" ht="15.75" customHeight="1">
      <c r="B1223" s="78"/>
      <c r="C1223" s="79"/>
      <c r="D1223" s="79"/>
      <c r="E1223" s="80"/>
      <c r="F1223" s="81"/>
      <c r="G1223" s="79"/>
      <c r="H1223" s="79"/>
      <c r="I1223" s="79"/>
      <c r="J1223" s="79"/>
      <c r="K1223" s="79"/>
      <c r="L1223" s="79"/>
      <c r="M1223" s="79"/>
      <c r="N1223" s="50"/>
      <c r="O1223" s="82"/>
      <c r="P1223" s="70"/>
      <c r="Q1223" s="70"/>
      <c r="R1223" s="70"/>
      <c r="S1223" s="70"/>
    </row>
    <row r="1224" ht="15.75" customHeight="1">
      <c r="B1224" s="78"/>
      <c r="C1224" s="79"/>
      <c r="D1224" s="79"/>
      <c r="E1224" s="80"/>
      <c r="F1224" s="81"/>
      <c r="G1224" s="79"/>
      <c r="H1224" s="79"/>
      <c r="I1224" s="79"/>
      <c r="J1224" s="79"/>
      <c r="K1224" s="79"/>
      <c r="L1224" s="79"/>
      <c r="M1224" s="79"/>
      <c r="N1224" s="50"/>
      <c r="O1224" s="82"/>
      <c r="P1224" s="70"/>
      <c r="Q1224" s="70"/>
      <c r="R1224" s="70"/>
      <c r="S1224" s="70"/>
    </row>
    <row r="1225" ht="15.75" customHeight="1">
      <c r="B1225" s="78"/>
      <c r="C1225" s="79"/>
      <c r="D1225" s="79"/>
      <c r="E1225" s="80"/>
      <c r="F1225" s="81"/>
      <c r="G1225" s="79"/>
      <c r="H1225" s="79"/>
      <c r="I1225" s="79"/>
      <c r="J1225" s="79"/>
      <c r="K1225" s="79"/>
      <c r="L1225" s="79"/>
      <c r="M1225" s="79"/>
      <c r="N1225" s="50"/>
      <c r="O1225" s="82"/>
      <c r="P1225" s="70"/>
      <c r="Q1225" s="70"/>
      <c r="R1225" s="70"/>
      <c r="S1225" s="70"/>
    </row>
    <row r="1226" ht="15.75" customHeight="1">
      <c r="B1226" s="78"/>
      <c r="C1226" s="79"/>
      <c r="D1226" s="79"/>
      <c r="E1226" s="80"/>
      <c r="F1226" s="81"/>
      <c r="G1226" s="79"/>
      <c r="H1226" s="79"/>
      <c r="I1226" s="79"/>
      <c r="J1226" s="79"/>
      <c r="K1226" s="79"/>
      <c r="L1226" s="79"/>
      <c r="M1226" s="79"/>
      <c r="N1226" s="50"/>
      <c r="O1226" s="82"/>
      <c r="P1226" s="70"/>
      <c r="Q1226" s="70"/>
      <c r="R1226" s="70"/>
      <c r="S1226" s="70"/>
    </row>
    <row r="1227" ht="15.75" customHeight="1">
      <c r="B1227" s="78"/>
      <c r="C1227" s="79"/>
      <c r="D1227" s="79"/>
      <c r="E1227" s="80"/>
      <c r="F1227" s="81"/>
      <c r="G1227" s="79"/>
      <c r="H1227" s="79"/>
      <c r="I1227" s="79"/>
      <c r="J1227" s="79"/>
      <c r="K1227" s="79"/>
      <c r="L1227" s="79"/>
      <c r="M1227" s="79"/>
      <c r="N1227" s="50"/>
      <c r="O1227" s="82"/>
      <c r="P1227" s="70"/>
      <c r="Q1227" s="70"/>
      <c r="R1227" s="70"/>
      <c r="S1227" s="70"/>
    </row>
    <row r="1228" ht="15.75" customHeight="1">
      <c r="B1228" s="78"/>
      <c r="C1228" s="79"/>
      <c r="D1228" s="79"/>
      <c r="E1228" s="80"/>
      <c r="F1228" s="81"/>
      <c r="G1228" s="79"/>
      <c r="H1228" s="79"/>
      <c r="I1228" s="79"/>
      <c r="J1228" s="79"/>
      <c r="K1228" s="79"/>
      <c r="L1228" s="79"/>
      <c r="M1228" s="79"/>
      <c r="N1228" s="50"/>
      <c r="O1228" s="82"/>
      <c r="P1228" s="70"/>
      <c r="Q1228" s="70"/>
      <c r="R1228" s="70"/>
      <c r="S1228" s="70"/>
    </row>
    <row r="1229" ht="15.75" customHeight="1">
      <c r="B1229" s="78"/>
      <c r="C1229" s="79"/>
      <c r="D1229" s="79"/>
      <c r="E1229" s="80"/>
      <c r="F1229" s="81"/>
      <c r="G1229" s="79"/>
      <c r="H1229" s="79"/>
      <c r="I1229" s="79"/>
      <c r="J1229" s="79"/>
      <c r="K1229" s="79"/>
      <c r="L1229" s="79"/>
      <c r="M1229" s="79"/>
      <c r="N1229" s="50"/>
      <c r="O1229" s="82"/>
      <c r="P1229" s="70"/>
      <c r="Q1229" s="70"/>
      <c r="R1229" s="70"/>
      <c r="S1229" s="70"/>
    </row>
    <row r="1230" ht="15.75" customHeight="1">
      <c r="B1230" s="78"/>
      <c r="C1230" s="79"/>
      <c r="D1230" s="79"/>
      <c r="E1230" s="80"/>
      <c r="F1230" s="81"/>
      <c r="G1230" s="79"/>
      <c r="H1230" s="79"/>
      <c r="I1230" s="79"/>
      <c r="J1230" s="79"/>
      <c r="K1230" s="79"/>
      <c r="L1230" s="79"/>
      <c r="M1230" s="79"/>
      <c r="N1230" s="50"/>
      <c r="O1230" s="82"/>
      <c r="P1230" s="70"/>
      <c r="Q1230" s="70"/>
      <c r="R1230" s="70"/>
      <c r="S1230" s="70"/>
    </row>
    <row r="1231" ht="15.75" customHeight="1">
      <c r="B1231" s="78"/>
      <c r="C1231" s="79"/>
      <c r="D1231" s="79"/>
      <c r="E1231" s="80"/>
      <c r="F1231" s="81"/>
      <c r="G1231" s="79"/>
      <c r="H1231" s="79"/>
      <c r="I1231" s="79"/>
      <c r="J1231" s="79"/>
      <c r="K1231" s="79"/>
      <c r="L1231" s="79"/>
      <c r="M1231" s="79"/>
      <c r="N1231" s="50"/>
      <c r="O1231" s="82"/>
      <c r="P1231" s="70"/>
      <c r="Q1231" s="70"/>
      <c r="R1231" s="70"/>
      <c r="S1231" s="70"/>
    </row>
    <row r="1232" ht="15.75" customHeight="1">
      <c r="B1232" s="78"/>
      <c r="C1232" s="79"/>
      <c r="D1232" s="79"/>
      <c r="E1232" s="80"/>
      <c r="F1232" s="81"/>
      <c r="G1232" s="79"/>
      <c r="H1232" s="79"/>
      <c r="I1232" s="79"/>
      <c r="J1232" s="79"/>
      <c r="K1232" s="79"/>
      <c r="L1232" s="79"/>
      <c r="M1232" s="79"/>
      <c r="N1232" s="50"/>
      <c r="O1232" s="82"/>
      <c r="P1232" s="70"/>
      <c r="Q1232" s="70"/>
      <c r="R1232" s="70"/>
      <c r="S1232" s="70"/>
    </row>
    <row r="1233" ht="15.75" customHeight="1">
      <c r="B1233" s="78"/>
      <c r="C1233" s="79"/>
      <c r="D1233" s="79"/>
      <c r="E1233" s="80"/>
      <c r="F1233" s="81"/>
      <c r="G1233" s="79"/>
      <c r="H1233" s="79"/>
      <c r="I1233" s="79"/>
      <c r="J1233" s="79"/>
      <c r="K1233" s="79"/>
      <c r="L1233" s="79"/>
      <c r="M1233" s="79"/>
      <c r="N1233" s="50"/>
      <c r="O1233" s="82"/>
      <c r="P1233" s="70"/>
      <c r="Q1233" s="70"/>
      <c r="R1233" s="70"/>
      <c r="S1233" s="70"/>
    </row>
    <row r="1234" ht="15.75" customHeight="1">
      <c r="B1234" s="78"/>
      <c r="C1234" s="79"/>
      <c r="D1234" s="79"/>
      <c r="E1234" s="80"/>
      <c r="F1234" s="81"/>
      <c r="G1234" s="79"/>
      <c r="H1234" s="79"/>
      <c r="I1234" s="79"/>
      <c r="J1234" s="79"/>
      <c r="K1234" s="79"/>
      <c r="L1234" s="79"/>
      <c r="M1234" s="79"/>
      <c r="N1234" s="50"/>
      <c r="O1234" s="82"/>
      <c r="P1234" s="70"/>
      <c r="Q1234" s="70"/>
      <c r="R1234" s="70"/>
      <c r="S1234" s="70"/>
    </row>
    <row r="1235" ht="15.75" customHeight="1">
      <c r="B1235" s="78"/>
      <c r="C1235" s="79"/>
      <c r="D1235" s="79"/>
      <c r="E1235" s="80"/>
      <c r="F1235" s="81"/>
      <c r="G1235" s="79"/>
      <c r="H1235" s="79"/>
      <c r="I1235" s="79"/>
      <c r="J1235" s="79"/>
      <c r="K1235" s="79"/>
      <c r="L1235" s="79"/>
      <c r="M1235" s="79"/>
      <c r="N1235" s="50"/>
      <c r="O1235" s="82"/>
      <c r="P1235" s="70"/>
      <c r="Q1235" s="70"/>
      <c r="R1235" s="70"/>
      <c r="S1235" s="70"/>
    </row>
    <row r="1236" ht="15.75" customHeight="1">
      <c r="B1236" s="78"/>
      <c r="C1236" s="79"/>
      <c r="D1236" s="79"/>
      <c r="E1236" s="80"/>
      <c r="F1236" s="81"/>
      <c r="G1236" s="79"/>
      <c r="H1236" s="79"/>
      <c r="I1236" s="79"/>
      <c r="J1236" s="79"/>
      <c r="K1236" s="79"/>
      <c r="L1236" s="79"/>
      <c r="M1236" s="79"/>
      <c r="N1236" s="50"/>
      <c r="O1236" s="82"/>
      <c r="P1236" s="70"/>
      <c r="Q1236" s="70"/>
      <c r="R1236" s="70"/>
      <c r="S1236" s="70"/>
    </row>
    <row r="1237" ht="15.75" customHeight="1">
      <c r="B1237" s="78"/>
      <c r="C1237" s="79"/>
      <c r="D1237" s="79"/>
      <c r="E1237" s="80"/>
      <c r="F1237" s="81"/>
      <c r="G1237" s="79"/>
      <c r="H1237" s="79"/>
      <c r="I1237" s="79"/>
      <c r="J1237" s="79"/>
      <c r="K1237" s="79"/>
      <c r="L1237" s="79"/>
      <c r="M1237" s="79"/>
      <c r="N1237" s="50"/>
      <c r="O1237" s="82"/>
      <c r="P1237" s="70"/>
      <c r="Q1237" s="70"/>
      <c r="R1237" s="70"/>
      <c r="S1237" s="70"/>
    </row>
    <row r="1238" ht="15.75" customHeight="1">
      <c r="B1238" s="78"/>
      <c r="C1238" s="79"/>
      <c r="D1238" s="79"/>
      <c r="E1238" s="80"/>
      <c r="F1238" s="81"/>
      <c r="G1238" s="79"/>
      <c r="H1238" s="79"/>
      <c r="I1238" s="79"/>
      <c r="J1238" s="79"/>
      <c r="K1238" s="79"/>
      <c r="L1238" s="79"/>
      <c r="M1238" s="79"/>
      <c r="N1238" s="50"/>
      <c r="O1238" s="82"/>
      <c r="P1238" s="70"/>
      <c r="Q1238" s="70"/>
      <c r="R1238" s="70"/>
      <c r="S1238" s="70"/>
    </row>
    <row r="1239" ht="15.75" customHeight="1">
      <c r="B1239" s="78"/>
      <c r="C1239" s="79"/>
      <c r="D1239" s="79"/>
      <c r="E1239" s="80"/>
      <c r="F1239" s="81"/>
      <c r="G1239" s="79"/>
      <c r="H1239" s="79"/>
      <c r="I1239" s="79"/>
      <c r="J1239" s="79"/>
      <c r="K1239" s="79"/>
      <c r="L1239" s="79"/>
      <c r="M1239" s="79"/>
      <c r="N1239" s="50"/>
      <c r="O1239" s="82"/>
      <c r="P1239" s="70"/>
      <c r="Q1239" s="70"/>
      <c r="R1239" s="70"/>
      <c r="S1239" s="70"/>
    </row>
    <row r="1240" ht="15.75" customHeight="1">
      <c r="B1240" s="78"/>
      <c r="C1240" s="79"/>
      <c r="D1240" s="79"/>
      <c r="E1240" s="80"/>
      <c r="F1240" s="81"/>
      <c r="G1240" s="79"/>
      <c r="H1240" s="79"/>
      <c r="I1240" s="79"/>
      <c r="J1240" s="79"/>
      <c r="K1240" s="79"/>
      <c r="L1240" s="79"/>
      <c r="M1240" s="79"/>
      <c r="N1240" s="50"/>
      <c r="O1240" s="82"/>
      <c r="P1240" s="70"/>
      <c r="Q1240" s="70"/>
      <c r="R1240" s="70"/>
      <c r="S1240" s="70"/>
    </row>
    <row r="1241" ht="15.75" customHeight="1">
      <c r="B1241" s="78"/>
      <c r="C1241" s="79"/>
      <c r="D1241" s="79"/>
      <c r="E1241" s="80"/>
      <c r="F1241" s="81"/>
      <c r="G1241" s="79"/>
      <c r="H1241" s="79"/>
      <c r="I1241" s="79"/>
      <c r="J1241" s="79"/>
      <c r="K1241" s="79"/>
      <c r="L1241" s="79"/>
      <c r="M1241" s="79"/>
      <c r="N1241" s="50"/>
      <c r="O1241" s="82"/>
      <c r="P1241" s="70"/>
      <c r="Q1241" s="70"/>
      <c r="R1241" s="70"/>
      <c r="S1241" s="70"/>
    </row>
    <row r="1242" ht="15.75" customHeight="1">
      <c r="B1242" s="78"/>
      <c r="C1242" s="79"/>
      <c r="D1242" s="79"/>
      <c r="E1242" s="80"/>
      <c r="F1242" s="81"/>
      <c r="G1242" s="79"/>
      <c r="H1242" s="79"/>
      <c r="I1242" s="79"/>
      <c r="J1242" s="79"/>
      <c r="K1242" s="79"/>
      <c r="L1242" s="79"/>
      <c r="M1242" s="79"/>
      <c r="N1242" s="50"/>
      <c r="O1242" s="82"/>
      <c r="P1242" s="70"/>
      <c r="Q1242" s="70"/>
      <c r="R1242" s="70"/>
      <c r="S1242" s="70"/>
    </row>
    <row r="1243" ht="15.75" customHeight="1">
      <c r="B1243" s="78"/>
      <c r="C1243" s="79"/>
      <c r="D1243" s="79"/>
      <c r="E1243" s="80"/>
      <c r="F1243" s="81"/>
      <c r="G1243" s="79"/>
      <c r="H1243" s="79"/>
      <c r="I1243" s="79"/>
      <c r="J1243" s="79"/>
      <c r="K1243" s="79"/>
      <c r="L1243" s="79"/>
      <c r="M1243" s="79"/>
      <c r="N1243" s="50"/>
      <c r="O1243" s="82"/>
      <c r="P1243" s="70"/>
      <c r="Q1243" s="70"/>
      <c r="R1243" s="70"/>
      <c r="S1243" s="70"/>
    </row>
    <row r="1244" ht="15.75" customHeight="1">
      <c r="B1244" s="78"/>
      <c r="C1244" s="79"/>
      <c r="D1244" s="79"/>
      <c r="E1244" s="80"/>
      <c r="F1244" s="81"/>
      <c r="G1244" s="79"/>
      <c r="H1244" s="79"/>
      <c r="I1244" s="79"/>
      <c r="J1244" s="79"/>
      <c r="K1244" s="79"/>
      <c r="L1244" s="79"/>
      <c r="M1244" s="79"/>
      <c r="N1244" s="50"/>
      <c r="O1244" s="82"/>
      <c r="P1244" s="70"/>
      <c r="Q1244" s="70"/>
      <c r="R1244" s="70"/>
      <c r="S1244" s="70"/>
    </row>
    <row r="1245" ht="15.75" customHeight="1">
      <c r="B1245" s="78"/>
      <c r="C1245" s="79"/>
      <c r="D1245" s="79"/>
      <c r="E1245" s="80"/>
      <c r="F1245" s="81"/>
      <c r="G1245" s="79"/>
      <c r="H1245" s="79"/>
      <c r="I1245" s="79"/>
      <c r="J1245" s="79"/>
      <c r="K1245" s="79"/>
      <c r="L1245" s="79"/>
      <c r="M1245" s="79"/>
      <c r="N1245" s="50"/>
      <c r="O1245" s="82"/>
      <c r="P1245" s="70"/>
      <c r="Q1245" s="70"/>
      <c r="R1245" s="70"/>
      <c r="S1245" s="70"/>
    </row>
    <row r="1246" ht="15.75" customHeight="1">
      <c r="B1246" s="78"/>
      <c r="C1246" s="79"/>
      <c r="D1246" s="79"/>
      <c r="E1246" s="80"/>
      <c r="F1246" s="81"/>
      <c r="G1246" s="79"/>
      <c r="H1246" s="79"/>
      <c r="I1246" s="79"/>
      <c r="J1246" s="79"/>
      <c r="K1246" s="79"/>
      <c r="L1246" s="79"/>
      <c r="M1246" s="79"/>
      <c r="N1246" s="50"/>
      <c r="O1246" s="82"/>
      <c r="P1246" s="70"/>
      <c r="Q1246" s="70"/>
      <c r="R1246" s="70"/>
      <c r="S1246" s="70"/>
    </row>
    <row r="1247" ht="15.75" customHeight="1">
      <c r="B1247" s="78"/>
      <c r="C1247" s="79"/>
      <c r="D1247" s="79"/>
      <c r="E1247" s="80"/>
      <c r="F1247" s="81"/>
      <c r="G1247" s="79"/>
      <c r="H1247" s="79"/>
      <c r="I1247" s="79"/>
      <c r="J1247" s="79"/>
      <c r="K1247" s="79"/>
      <c r="L1247" s="79"/>
      <c r="M1247" s="79"/>
      <c r="N1247" s="50"/>
      <c r="O1247" s="82"/>
      <c r="P1247" s="70"/>
      <c r="Q1247" s="70"/>
      <c r="R1247" s="70"/>
      <c r="S1247" s="70"/>
    </row>
    <row r="1248" ht="15.75" customHeight="1">
      <c r="B1248" s="78"/>
      <c r="C1248" s="79"/>
      <c r="D1248" s="79"/>
      <c r="E1248" s="80"/>
      <c r="F1248" s="81"/>
      <c r="G1248" s="79"/>
      <c r="H1248" s="79"/>
      <c r="I1248" s="79"/>
      <c r="J1248" s="79"/>
      <c r="K1248" s="79"/>
      <c r="L1248" s="79"/>
      <c r="M1248" s="79"/>
      <c r="N1248" s="50"/>
      <c r="O1248" s="82"/>
      <c r="P1248" s="70"/>
      <c r="Q1248" s="70"/>
      <c r="R1248" s="70"/>
      <c r="S1248" s="70"/>
    </row>
    <row r="1249" ht="15.75" customHeight="1">
      <c r="B1249" s="78"/>
      <c r="C1249" s="79"/>
      <c r="D1249" s="79"/>
      <c r="E1249" s="80"/>
      <c r="F1249" s="81"/>
      <c r="G1249" s="79"/>
      <c r="H1249" s="79"/>
      <c r="I1249" s="79"/>
      <c r="J1249" s="79"/>
      <c r="K1249" s="79"/>
      <c r="L1249" s="79"/>
      <c r="M1249" s="79"/>
      <c r="N1249" s="50"/>
      <c r="O1249" s="82"/>
      <c r="P1249" s="70"/>
      <c r="Q1249" s="70"/>
      <c r="R1249" s="70"/>
      <c r="S1249" s="70"/>
    </row>
    <row r="1250" ht="15.75" customHeight="1">
      <c r="B1250" s="78"/>
      <c r="C1250" s="79"/>
      <c r="D1250" s="79"/>
      <c r="E1250" s="80"/>
      <c r="F1250" s="81"/>
      <c r="G1250" s="79"/>
      <c r="H1250" s="79"/>
      <c r="I1250" s="79"/>
      <c r="J1250" s="79"/>
      <c r="K1250" s="79"/>
      <c r="L1250" s="79"/>
      <c r="M1250" s="79"/>
      <c r="N1250" s="50"/>
      <c r="O1250" s="82"/>
      <c r="P1250" s="70"/>
      <c r="Q1250" s="70"/>
      <c r="R1250" s="70"/>
      <c r="S1250" s="70"/>
    </row>
    <row r="1251" ht="15.75" customHeight="1">
      <c r="B1251" s="78"/>
      <c r="C1251" s="79"/>
      <c r="D1251" s="79"/>
      <c r="E1251" s="80"/>
      <c r="F1251" s="81"/>
      <c r="G1251" s="79"/>
      <c r="H1251" s="79"/>
      <c r="I1251" s="79"/>
      <c r="J1251" s="79"/>
      <c r="K1251" s="79"/>
      <c r="L1251" s="79"/>
      <c r="M1251" s="79"/>
      <c r="N1251" s="50"/>
      <c r="O1251" s="82"/>
      <c r="P1251" s="70"/>
      <c r="Q1251" s="70"/>
      <c r="R1251" s="70"/>
      <c r="S1251" s="70"/>
    </row>
    <row r="1252" ht="15.75" customHeight="1">
      <c r="B1252" s="78"/>
      <c r="C1252" s="79"/>
      <c r="D1252" s="79"/>
      <c r="E1252" s="80"/>
      <c r="F1252" s="81"/>
      <c r="G1252" s="79"/>
      <c r="H1252" s="79"/>
      <c r="I1252" s="79"/>
      <c r="J1252" s="79"/>
      <c r="K1252" s="79"/>
      <c r="L1252" s="79"/>
      <c r="M1252" s="79"/>
      <c r="N1252" s="50"/>
      <c r="O1252" s="82"/>
      <c r="P1252" s="70"/>
      <c r="Q1252" s="70"/>
      <c r="R1252" s="70"/>
      <c r="S1252" s="70"/>
    </row>
    <row r="1253" ht="15.75" customHeight="1">
      <c r="B1253" s="78"/>
      <c r="C1253" s="79"/>
      <c r="D1253" s="79"/>
      <c r="E1253" s="80"/>
      <c r="F1253" s="81"/>
      <c r="G1253" s="79"/>
      <c r="H1253" s="79"/>
      <c r="I1253" s="79"/>
      <c r="J1253" s="79"/>
      <c r="K1253" s="79"/>
      <c r="L1253" s="79"/>
      <c r="M1253" s="79"/>
      <c r="N1253" s="50"/>
      <c r="O1253" s="82"/>
      <c r="P1253" s="70"/>
      <c r="Q1253" s="70"/>
      <c r="R1253" s="70"/>
      <c r="S1253" s="70"/>
    </row>
    <row r="1254" ht="15.75" customHeight="1">
      <c r="B1254" s="78"/>
      <c r="C1254" s="79"/>
      <c r="D1254" s="79"/>
      <c r="E1254" s="80"/>
      <c r="F1254" s="81"/>
      <c r="G1254" s="79"/>
      <c r="H1254" s="79"/>
      <c r="I1254" s="79"/>
      <c r="J1254" s="79"/>
      <c r="K1254" s="79"/>
      <c r="L1254" s="79"/>
      <c r="M1254" s="79"/>
      <c r="N1254" s="50"/>
      <c r="O1254" s="82"/>
      <c r="P1254" s="70"/>
      <c r="Q1254" s="70"/>
      <c r="R1254" s="70"/>
      <c r="S1254" s="70"/>
    </row>
    <row r="1255" ht="15.75" customHeight="1">
      <c r="B1255" s="78"/>
      <c r="C1255" s="79"/>
      <c r="D1255" s="79"/>
      <c r="E1255" s="80"/>
      <c r="F1255" s="81"/>
      <c r="G1255" s="79"/>
      <c r="H1255" s="79"/>
      <c r="I1255" s="79"/>
      <c r="J1255" s="79"/>
      <c r="K1255" s="79"/>
      <c r="L1255" s="79"/>
      <c r="M1255" s="79"/>
      <c r="N1255" s="50"/>
      <c r="O1255" s="82"/>
      <c r="P1255" s="70"/>
      <c r="Q1255" s="70"/>
      <c r="R1255" s="70"/>
      <c r="S1255" s="70"/>
    </row>
    <row r="1256" ht="15.75" customHeight="1">
      <c r="B1256" s="78"/>
      <c r="C1256" s="79"/>
      <c r="D1256" s="79"/>
      <c r="E1256" s="80"/>
      <c r="F1256" s="81"/>
      <c r="G1256" s="79"/>
      <c r="H1256" s="79"/>
      <c r="I1256" s="79"/>
      <c r="J1256" s="79"/>
      <c r="K1256" s="79"/>
      <c r="L1256" s="79"/>
      <c r="M1256" s="79"/>
      <c r="N1256" s="50"/>
      <c r="O1256" s="82"/>
      <c r="P1256" s="70"/>
      <c r="Q1256" s="70"/>
      <c r="R1256" s="70"/>
      <c r="S1256" s="70"/>
    </row>
    <row r="1257" ht="15.75" customHeight="1">
      <c r="B1257" s="78"/>
      <c r="C1257" s="79"/>
      <c r="D1257" s="79"/>
      <c r="E1257" s="80"/>
      <c r="F1257" s="81"/>
      <c r="G1257" s="79"/>
      <c r="H1257" s="79"/>
      <c r="I1257" s="79"/>
      <c r="J1257" s="79"/>
      <c r="K1257" s="79"/>
      <c r="L1257" s="79"/>
      <c r="M1257" s="79"/>
      <c r="N1257" s="50"/>
      <c r="O1257" s="82"/>
      <c r="P1257" s="70"/>
      <c r="Q1257" s="70"/>
      <c r="R1257" s="70"/>
      <c r="S1257" s="70"/>
    </row>
    <row r="1258" ht="15.75" customHeight="1">
      <c r="B1258" s="78"/>
      <c r="C1258" s="79"/>
      <c r="D1258" s="79"/>
      <c r="E1258" s="80"/>
      <c r="F1258" s="81"/>
      <c r="G1258" s="79"/>
      <c r="H1258" s="79"/>
      <c r="I1258" s="79"/>
      <c r="J1258" s="79"/>
      <c r="K1258" s="79"/>
      <c r="L1258" s="79"/>
      <c r="M1258" s="79"/>
      <c r="N1258" s="50"/>
      <c r="O1258" s="82"/>
      <c r="P1258" s="70"/>
      <c r="Q1258" s="70"/>
      <c r="R1258" s="70"/>
      <c r="S1258" s="70"/>
    </row>
    <row r="1259" ht="15.75" customHeight="1">
      <c r="B1259" s="78"/>
      <c r="C1259" s="79"/>
      <c r="D1259" s="79"/>
      <c r="E1259" s="80"/>
      <c r="F1259" s="81"/>
      <c r="G1259" s="79"/>
      <c r="H1259" s="79"/>
      <c r="I1259" s="79"/>
      <c r="J1259" s="79"/>
      <c r="K1259" s="79"/>
      <c r="L1259" s="79"/>
      <c r="M1259" s="79"/>
      <c r="N1259" s="50"/>
      <c r="O1259" s="82"/>
      <c r="P1259" s="70"/>
      <c r="Q1259" s="70"/>
      <c r="R1259" s="70"/>
      <c r="S1259" s="70"/>
    </row>
    <row r="1260" ht="15.75" customHeight="1">
      <c r="B1260" s="78"/>
      <c r="C1260" s="79"/>
      <c r="D1260" s="79"/>
      <c r="E1260" s="80"/>
      <c r="F1260" s="81"/>
      <c r="G1260" s="79"/>
      <c r="H1260" s="79"/>
      <c r="I1260" s="79"/>
      <c r="J1260" s="79"/>
      <c r="K1260" s="79"/>
      <c r="L1260" s="79"/>
      <c r="M1260" s="79"/>
      <c r="N1260" s="50"/>
      <c r="O1260" s="82"/>
      <c r="P1260" s="70"/>
      <c r="Q1260" s="70"/>
      <c r="R1260" s="70"/>
      <c r="S1260" s="70"/>
    </row>
    <row r="1261" ht="15.75" customHeight="1">
      <c r="B1261" s="78"/>
      <c r="C1261" s="79"/>
      <c r="D1261" s="79"/>
      <c r="E1261" s="80"/>
      <c r="F1261" s="81"/>
      <c r="G1261" s="79"/>
      <c r="H1261" s="79"/>
      <c r="I1261" s="79"/>
      <c r="J1261" s="79"/>
      <c r="K1261" s="79"/>
      <c r="L1261" s="79"/>
      <c r="M1261" s="79"/>
      <c r="N1261" s="50"/>
      <c r="O1261" s="82"/>
      <c r="P1261" s="70"/>
      <c r="Q1261" s="70"/>
      <c r="R1261" s="70"/>
      <c r="S1261" s="70"/>
    </row>
    <row r="1262" ht="15.75" customHeight="1">
      <c r="B1262" s="78"/>
      <c r="C1262" s="79"/>
      <c r="D1262" s="79"/>
      <c r="E1262" s="80"/>
      <c r="F1262" s="81"/>
      <c r="G1262" s="79"/>
      <c r="H1262" s="79"/>
      <c r="I1262" s="79"/>
      <c r="J1262" s="79"/>
      <c r="K1262" s="79"/>
      <c r="L1262" s="79"/>
      <c r="M1262" s="79"/>
      <c r="N1262" s="50"/>
      <c r="O1262" s="82"/>
      <c r="P1262" s="70"/>
      <c r="Q1262" s="70"/>
      <c r="R1262" s="70"/>
      <c r="S1262" s="70"/>
    </row>
    <row r="1263" ht="15.75" customHeight="1">
      <c r="B1263" s="78"/>
      <c r="C1263" s="79"/>
      <c r="D1263" s="79"/>
      <c r="E1263" s="80"/>
      <c r="F1263" s="81"/>
      <c r="G1263" s="79"/>
      <c r="H1263" s="79"/>
      <c r="I1263" s="79"/>
      <c r="J1263" s="79"/>
      <c r="K1263" s="79"/>
      <c r="L1263" s="79"/>
      <c r="M1263" s="79"/>
      <c r="N1263" s="50"/>
      <c r="O1263" s="82"/>
      <c r="P1263" s="70"/>
      <c r="Q1263" s="70"/>
      <c r="R1263" s="70"/>
      <c r="S1263" s="70"/>
    </row>
    <row r="1264" ht="15.75" customHeight="1">
      <c r="B1264" s="78"/>
      <c r="C1264" s="79"/>
      <c r="D1264" s="79"/>
      <c r="E1264" s="80"/>
      <c r="F1264" s="81"/>
      <c r="G1264" s="79"/>
      <c r="H1264" s="79"/>
      <c r="I1264" s="79"/>
      <c r="J1264" s="79"/>
      <c r="K1264" s="79"/>
      <c r="L1264" s="79"/>
      <c r="M1264" s="79"/>
      <c r="N1264" s="50"/>
      <c r="O1264" s="82"/>
      <c r="P1264" s="70"/>
      <c r="Q1264" s="70"/>
      <c r="R1264" s="70"/>
      <c r="S1264" s="70"/>
    </row>
    <row r="1265" ht="15.75" customHeight="1">
      <c r="B1265" s="78"/>
      <c r="C1265" s="79"/>
      <c r="D1265" s="79"/>
      <c r="E1265" s="80"/>
      <c r="F1265" s="81"/>
      <c r="G1265" s="79"/>
      <c r="H1265" s="79"/>
      <c r="I1265" s="79"/>
      <c r="J1265" s="79"/>
      <c r="K1265" s="79"/>
      <c r="L1265" s="79"/>
      <c r="M1265" s="79"/>
      <c r="N1265" s="50"/>
      <c r="O1265" s="82"/>
      <c r="P1265" s="70"/>
      <c r="Q1265" s="70"/>
      <c r="R1265" s="70"/>
      <c r="S1265" s="70"/>
    </row>
    <row r="1266" ht="15.75" customHeight="1">
      <c r="B1266" s="78"/>
      <c r="C1266" s="79"/>
      <c r="D1266" s="79"/>
      <c r="E1266" s="80"/>
      <c r="F1266" s="81"/>
      <c r="G1266" s="79"/>
      <c r="H1266" s="79"/>
      <c r="I1266" s="79"/>
      <c r="J1266" s="79"/>
      <c r="K1266" s="79"/>
      <c r="L1266" s="79"/>
      <c r="M1266" s="79"/>
      <c r="N1266" s="50"/>
      <c r="O1266" s="82"/>
      <c r="P1266" s="70"/>
      <c r="Q1266" s="70"/>
      <c r="R1266" s="70"/>
      <c r="S1266" s="70"/>
    </row>
    <row r="1267" ht="15.75" customHeight="1">
      <c r="B1267" s="78"/>
      <c r="C1267" s="79"/>
      <c r="D1267" s="79"/>
      <c r="E1267" s="80"/>
      <c r="F1267" s="81"/>
      <c r="G1267" s="79"/>
      <c r="H1267" s="79"/>
      <c r="I1267" s="79"/>
      <c r="J1267" s="79"/>
      <c r="K1267" s="79"/>
      <c r="L1267" s="79"/>
      <c r="M1267" s="79"/>
      <c r="N1267" s="50"/>
      <c r="O1267" s="82"/>
      <c r="P1267" s="70"/>
      <c r="Q1267" s="70"/>
      <c r="R1267" s="70"/>
      <c r="S1267" s="70"/>
    </row>
    <row r="1268" ht="15.75" customHeight="1">
      <c r="B1268" s="78"/>
      <c r="C1268" s="79"/>
      <c r="D1268" s="79"/>
      <c r="E1268" s="80"/>
      <c r="F1268" s="81"/>
      <c r="G1268" s="79"/>
      <c r="H1268" s="79"/>
      <c r="I1268" s="79"/>
      <c r="J1268" s="79"/>
      <c r="K1268" s="79"/>
      <c r="L1268" s="79"/>
      <c r="M1268" s="79"/>
      <c r="N1268" s="50"/>
      <c r="O1268" s="82"/>
      <c r="P1268" s="70"/>
      <c r="Q1268" s="70"/>
      <c r="R1268" s="70"/>
      <c r="S1268" s="70"/>
    </row>
    <row r="1269" ht="15.75" customHeight="1">
      <c r="B1269" s="78"/>
      <c r="C1269" s="79"/>
      <c r="D1269" s="79"/>
      <c r="E1269" s="80"/>
      <c r="F1269" s="81"/>
      <c r="G1269" s="79"/>
      <c r="H1269" s="79"/>
      <c r="I1269" s="79"/>
      <c r="J1269" s="79"/>
      <c r="K1269" s="79"/>
      <c r="L1269" s="79"/>
      <c r="M1269" s="79"/>
      <c r="N1269" s="50"/>
      <c r="O1269" s="82"/>
      <c r="P1269" s="70"/>
      <c r="Q1269" s="70"/>
      <c r="R1269" s="70"/>
      <c r="S1269" s="70"/>
    </row>
    <row r="1270" ht="15.75" customHeight="1">
      <c r="B1270" s="78"/>
      <c r="C1270" s="79"/>
      <c r="D1270" s="79"/>
      <c r="E1270" s="80"/>
      <c r="F1270" s="81"/>
      <c r="G1270" s="79"/>
      <c r="H1270" s="79"/>
      <c r="I1270" s="79"/>
      <c r="J1270" s="79"/>
      <c r="K1270" s="79"/>
      <c r="L1270" s="79"/>
      <c r="M1270" s="79"/>
      <c r="N1270" s="50"/>
      <c r="O1270" s="82"/>
      <c r="P1270" s="70"/>
      <c r="Q1270" s="70"/>
      <c r="R1270" s="70"/>
      <c r="S1270" s="70"/>
    </row>
    <row r="1271" ht="15.75" customHeight="1">
      <c r="B1271" s="78"/>
      <c r="C1271" s="79"/>
      <c r="D1271" s="79"/>
      <c r="E1271" s="80"/>
      <c r="F1271" s="81"/>
      <c r="G1271" s="79"/>
      <c r="H1271" s="79"/>
      <c r="I1271" s="79"/>
      <c r="J1271" s="79"/>
      <c r="K1271" s="79"/>
      <c r="L1271" s="79"/>
      <c r="M1271" s="79"/>
      <c r="N1271" s="50"/>
      <c r="O1271" s="82"/>
      <c r="P1271" s="70"/>
      <c r="Q1271" s="70"/>
      <c r="R1271" s="70"/>
      <c r="S1271" s="70"/>
    </row>
    <row r="1272" ht="15.75" customHeight="1">
      <c r="B1272" s="78"/>
      <c r="C1272" s="79"/>
      <c r="D1272" s="79"/>
      <c r="E1272" s="80"/>
      <c r="F1272" s="81"/>
      <c r="G1272" s="79"/>
      <c r="H1272" s="79"/>
      <c r="I1272" s="79"/>
      <c r="J1272" s="79"/>
      <c r="K1272" s="79"/>
      <c r="L1272" s="79"/>
      <c r="M1272" s="79"/>
      <c r="N1272" s="50"/>
      <c r="O1272" s="82"/>
      <c r="P1272" s="70"/>
      <c r="Q1272" s="70"/>
      <c r="R1272" s="70"/>
      <c r="S1272" s="70"/>
    </row>
    <row r="1273" ht="15.75" customHeight="1">
      <c r="B1273" s="78"/>
      <c r="C1273" s="79"/>
      <c r="D1273" s="79"/>
      <c r="E1273" s="80"/>
      <c r="F1273" s="81"/>
      <c r="G1273" s="79"/>
      <c r="H1273" s="79"/>
      <c r="I1273" s="79"/>
      <c r="J1273" s="79"/>
      <c r="K1273" s="79"/>
      <c r="L1273" s="79"/>
      <c r="M1273" s="79"/>
      <c r="N1273" s="50"/>
      <c r="O1273" s="82"/>
      <c r="P1273" s="70"/>
      <c r="Q1273" s="70"/>
      <c r="R1273" s="70"/>
      <c r="S1273" s="70"/>
    </row>
    <row r="1274" ht="15.75" customHeight="1">
      <c r="B1274" s="78"/>
      <c r="C1274" s="79"/>
      <c r="D1274" s="79"/>
      <c r="E1274" s="80"/>
      <c r="F1274" s="81"/>
      <c r="G1274" s="79"/>
      <c r="H1274" s="79"/>
      <c r="I1274" s="79"/>
      <c r="J1274" s="79"/>
      <c r="K1274" s="79"/>
      <c r="L1274" s="79"/>
      <c r="M1274" s="79"/>
      <c r="N1274" s="50"/>
      <c r="O1274" s="82"/>
      <c r="P1274" s="70"/>
      <c r="Q1274" s="70"/>
      <c r="R1274" s="70"/>
      <c r="S1274" s="70"/>
    </row>
    <row r="1275" ht="15.75" customHeight="1">
      <c r="B1275" s="78"/>
      <c r="C1275" s="79"/>
      <c r="D1275" s="79"/>
      <c r="E1275" s="80"/>
      <c r="F1275" s="81"/>
      <c r="G1275" s="79"/>
      <c r="H1275" s="79"/>
      <c r="I1275" s="79"/>
      <c r="J1275" s="79"/>
      <c r="K1275" s="79"/>
      <c r="L1275" s="79"/>
      <c r="M1275" s="79"/>
      <c r="N1275" s="50"/>
      <c r="O1275" s="82"/>
      <c r="P1275" s="70"/>
      <c r="Q1275" s="70"/>
      <c r="R1275" s="70"/>
      <c r="S1275" s="70"/>
    </row>
    <row r="1276" ht="15.75" customHeight="1">
      <c r="B1276" s="78"/>
      <c r="C1276" s="79"/>
      <c r="D1276" s="79"/>
      <c r="E1276" s="80"/>
      <c r="F1276" s="81"/>
      <c r="G1276" s="79"/>
      <c r="H1276" s="79"/>
      <c r="I1276" s="79"/>
      <c r="J1276" s="79"/>
      <c r="K1276" s="79"/>
      <c r="L1276" s="79"/>
      <c r="M1276" s="79"/>
      <c r="N1276" s="50"/>
      <c r="O1276" s="82"/>
      <c r="P1276" s="70"/>
      <c r="Q1276" s="70"/>
      <c r="R1276" s="70"/>
      <c r="S1276" s="70"/>
    </row>
    <row r="1277" ht="15.75" customHeight="1">
      <c r="B1277" s="78"/>
      <c r="C1277" s="79"/>
      <c r="D1277" s="79"/>
      <c r="E1277" s="80"/>
      <c r="F1277" s="81"/>
      <c r="G1277" s="79"/>
      <c r="H1277" s="79"/>
      <c r="I1277" s="79"/>
      <c r="J1277" s="79"/>
      <c r="K1277" s="79"/>
      <c r="L1277" s="79"/>
      <c r="M1277" s="79"/>
      <c r="N1277" s="50"/>
      <c r="O1277" s="82"/>
      <c r="P1277" s="70"/>
      <c r="Q1277" s="70"/>
      <c r="R1277" s="70"/>
      <c r="S1277" s="70"/>
    </row>
    <row r="1278" ht="15.75" customHeight="1">
      <c r="B1278" s="78"/>
      <c r="C1278" s="79"/>
      <c r="D1278" s="79"/>
      <c r="E1278" s="80"/>
      <c r="F1278" s="81"/>
      <c r="G1278" s="79"/>
      <c r="H1278" s="79"/>
      <c r="I1278" s="79"/>
      <c r="J1278" s="79"/>
      <c r="K1278" s="79"/>
      <c r="L1278" s="79"/>
      <c r="M1278" s="79"/>
      <c r="N1278" s="50"/>
      <c r="O1278" s="82"/>
      <c r="P1278" s="70"/>
      <c r="Q1278" s="70"/>
      <c r="R1278" s="70"/>
      <c r="S1278" s="70"/>
    </row>
    <row r="1279" ht="15.75" customHeight="1">
      <c r="B1279" s="78"/>
      <c r="C1279" s="79"/>
      <c r="D1279" s="79"/>
      <c r="E1279" s="80"/>
      <c r="F1279" s="81"/>
      <c r="G1279" s="79"/>
      <c r="H1279" s="79"/>
      <c r="I1279" s="79"/>
      <c r="J1279" s="79"/>
      <c r="K1279" s="79"/>
      <c r="L1279" s="79"/>
      <c r="M1279" s="79"/>
      <c r="N1279" s="50"/>
      <c r="O1279" s="82"/>
      <c r="P1279" s="70"/>
      <c r="Q1279" s="70"/>
      <c r="R1279" s="70"/>
      <c r="S1279" s="70"/>
    </row>
    <row r="1280" ht="15.75" customHeight="1">
      <c r="B1280" s="78"/>
      <c r="C1280" s="79"/>
      <c r="D1280" s="79"/>
      <c r="E1280" s="80"/>
      <c r="F1280" s="81"/>
      <c r="G1280" s="79"/>
      <c r="H1280" s="79"/>
      <c r="I1280" s="79"/>
      <c r="J1280" s="79"/>
      <c r="K1280" s="79"/>
      <c r="L1280" s="79"/>
      <c r="M1280" s="79"/>
      <c r="N1280" s="50"/>
      <c r="O1280" s="82"/>
      <c r="P1280" s="70"/>
      <c r="Q1280" s="70"/>
      <c r="R1280" s="70"/>
      <c r="S1280" s="70"/>
    </row>
    <row r="1281" ht="15.75" customHeight="1">
      <c r="B1281" s="78"/>
      <c r="C1281" s="79"/>
      <c r="D1281" s="79"/>
      <c r="E1281" s="80"/>
      <c r="F1281" s="81"/>
      <c r="G1281" s="79"/>
      <c r="H1281" s="79"/>
      <c r="I1281" s="79"/>
      <c r="J1281" s="79"/>
      <c r="K1281" s="79"/>
      <c r="L1281" s="79"/>
      <c r="M1281" s="79"/>
      <c r="N1281" s="50"/>
      <c r="O1281" s="82"/>
      <c r="P1281" s="70"/>
      <c r="Q1281" s="70"/>
      <c r="R1281" s="70"/>
      <c r="S1281" s="70"/>
    </row>
    <row r="1282" ht="15.75" customHeight="1">
      <c r="B1282" s="78"/>
      <c r="C1282" s="79"/>
      <c r="D1282" s="79"/>
      <c r="E1282" s="80"/>
      <c r="F1282" s="81"/>
      <c r="G1282" s="79"/>
      <c r="H1282" s="79"/>
      <c r="I1282" s="79"/>
      <c r="J1282" s="79"/>
      <c r="K1282" s="79"/>
      <c r="L1282" s="79"/>
      <c r="M1282" s="79"/>
      <c r="N1282" s="50"/>
      <c r="O1282" s="82"/>
      <c r="P1282" s="70"/>
      <c r="Q1282" s="70"/>
      <c r="R1282" s="70"/>
      <c r="S1282" s="70"/>
    </row>
    <row r="1283" ht="15.75" customHeight="1">
      <c r="B1283" s="78"/>
      <c r="C1283" s="79"/>
      <c r="D1283" s="79"/>
      <c r="E1283" s="80"/>
      <c r="F1283" s="81"/>
      <c r="G1283" s="79"/>
      <c r="H1283" s="79"/>
      <c r="I1283" s="79"/>
      <c r="J1283" s="79"/>
      <c r="K1283" s="79"/>
      <c r="L1283" s="79"/>
      <c r="M1283" s="79"/>
      <c r="N1283" s="50"/>
      <c r="O1283" s="82"/>
      <c r="P1283" s="70"/>
      <c r="Q1283" s="70"/>
      <c r="R1283" s="70"/>
      <c r="S1283" s="70"/>
    </row>
    <row r="1284" ht="15.75" customHeight="1">
      <c r="B1284" s="78"/>
      <c r="C1284" s="79"/>
      <c r="D1284" s="79"/>
      <c r="E1284" s="80"/>
      <c r="F1284" s="81"/>
      <c r="G1284" s="79"/>
      <c r="H1284" s="79"/>
      <c r="I1284" s="79"/>
      <c r="J1284" s="79"/>
      <c r="K1284" s="79"/>
      <c r="L1284" s="79"/>
      <c r="M1284" s="79"/>
      <c r="N1284" s="50"/>
      <c r="O1284" s="82"/>
      <c r="P1284" s="70"/>
      <c r="Q1284" s="70"/>
      <c r="R1284" s="70"/>
      <c r="S1284" s="70"/>
    </row>
    <row r="1285" ht="15.75" customHeight="1">
      <c r="B1285" s="78"/>
      <c r="C1285" s="79"/>
      <c r="D1285" s="79"/>
      <c r="E1285" s="80"/>
      <c r="F1285" s="81"/>
      <c r="G1285" s="79"/>
      <c r="H1285" s="79"/>
      <c r="I1285" s="79"/>
      <c r="J1285" s="79"/>
      <c r="K1285" s="79"/>
      <c r="L1285" s="79"/>
      <c r="M1285" s="79"/>
      <c r="N1285" s="50"/>
      <c r="O1285" s="82"/>
      <c r="P1285" s="70"/>
      <c r="Q1285" s="70"/>
      <c r="R1285" s="70"/>
      <c r="S1285" s="70"/>
    </row>
    <row r="1286" ht="15.75" customHeight="1">
      <c r="B1286" s="78"/>
      <c r="C1286" s="79"/>
      <c r="D1286" s="79"/>
      <c r="E1286" s="80"/>
      <c r="F1286" s="81"/>
      <c r="G1286" s="79"/>
      <c r="H1286" s="79"/>
      <c r="I1286" s="79"/>
      <c r="J1286" s="79"/>
      <c r="K1286" s="79"/>
      <c r="L1286" s="79"/>
      <c r="M1286" s="79"/>
      <c r="N1286" s="50"/>
      <c r="O1286" s="82"/>
      <c r="P1286" s="70"/>
      <c r="Q1286" s="70"/>
      <c r="R1286" s="70"/>
      <c r="S1286" s="70"/>
    </row>
    <row r="1287" ht="15.75" customHeight="1">
      <c r="B1287" s="78"/>
      <c r="C1287" s="79"/>
      <c r="D1287" s="79"/>
      <c r="E1287" s="80"/>
      <c r="F1287" s="81"/>
      <c r="G1287" s="79"/>
      <c r="H1287" s="79"/>
      <c r="I1287" s="79"/>
      <c r="J1287" s="79"/>
      <c r="K1287" s="79"/>
      <c r="L1287" s="79"/>
      <c r="M1287" s="79"/>
      <c r="N1287" s="50"/>
      <c r="O1287" s="82"/>
      <c r="P1287" s="70"/>
      <c r="Q1287" s="70"/>
      <c r="R1287" s="70"/>
      <c r="S1287" s="70"/>
    </row>
    <row r="1288" ht="15.75" customHeight="1">
      <c r="B1288" s="78"/>
      <c r="C1288" s="79"/>
      <c r="D1288" s="79"/>
      <c r="E1288" s="80"/>
      <c r="F1288" s="81"/>
      <c r="G1288" s="79"/>
      <c r="H1288" s="79"/>
      <c r="I1288" s="79"/>
      <c r="J1288" s="79"/>
      <c r="K1288" s="79"/>
      <c r="L1288" s="79"/>
      <c r="M1288" s="79"/>
      <c r="N1288" s="50"/>
      <c r="O1288" s="82"/>
      <c r="P1288" s="70"/>
      <c r="Q1288" s="70"/>
      <c r="R1288" s="70"/>
      <c r="S1288" s="70"/>
    </row>
    <row r="1289" ht="15.75" customHeight="1">
      <c r="B1289" s="78"/>
      <c r="C1289" s="79"/>
      <c r="D1289" s="79"/>
      <c r="E1289" s="80"/>
      <c r="F1289" s="81"/>
      <c r="G1289" s="79"/>
      <c r="H1289" s="79"/>
      <c r="I1289" s="79"/>
      <c r="J1289" s="79"/>
      <c r="K1289" s="79"/>
      <c r="L1289" s="79"/>
      <c r="M1289" s="79"/>
      <c r="N1289" s="50"/>
      <c r="O1289" s="82"/>
      <c r="P1289" s="70"/>
      <c r="Q1289" s="70"/>
      <c r="R1289" s="70"/>
      <c r="S1289" s="70"/>
    </row>
    <row r="1290" ht="15.75" customHeight="1">
      <c r="B1290" s="78"/>
      <c r="C1290" s="79"/>
      <c r="D1290" s="79"/>
      <c r="E1290" s="80"/>
      <c r="F1290" s="81"/>
      <c r="G1290" s="79"/>
      <c r="H1290" s="79"/>
      <c r="I1290" s="79"/>
      <c r="J1290" s="79"/>
      <c r="K1290" s="79"/>
      <c r="L1290" s="79"/>
      <c r="M1290" s="79"/>
      <c r="N1290" s="50"/>
      <c r="O1290" s="82"/>
      <c r="P1290" s="70"/>
      <c r="Q1290" s="70"/>
      <c r="R1290" s="70"/>
      <c r="S1290" s="70"/>
    </row>
    <row r="1291" ht="15.75" customHeight="1">
      <c r="B1291" s="78"/>
      <c r="C1291" s="79"/>
      <c r="D1291" s="79"/>
      <c r="E1291" s="80"/>
      <c r="F1291" s="81"/>
      <c r="G1291" s="79"/>
      <c r="H1291" s="79"/>
      <c r="I1291" s="79"/>
      <c r="J1291" s="79"/>
      <c r="K1291" s="79"/>
      <c r="L1291" s="79"/>
      <c r="M1291" s="79"/>
      <c r="N1291" s="50"/>
      <c r="O1291" s="82"/>
      <c r="P1291" s="70"/>
      <c r="Q1291" s="70"/>
      <c r="R1291" s="70"/>
      <c r="S1291" s="70"/>
    </row>
    <row r="1292" ht="15.75" customHeight="1">
      <c r="B1292" s="78"/>
      <c r="C1292" s="79"/>
      <c r="D1292" s="79"/>
      <c r="E1292" s="80"/>
      <c r="F1292" s="81"/>
      <c r="G1292" s="79"/>
      <c r="H1292" s="79"/>
      <c r="I1292" s="79"/>
      <c r="J1292" s="79"/>
      <c r="K1292" s="79"/>
      <c r="L1292" s="79"/>
      <c r="M1292" s="79"/>
      <c r="N1292" s="50"/>
      <c r="O1292" s="82"/>
      <c r="P1292" s="70"/>
      <c r="Q1292" s="70"/>
      <c r="R1292" s="70"/>
      <c r="S1292" s="70"/>
    </row>
    <row r="1293" ht="15.75" customHeight="1">
      <c r="B1293" s="78"/>
      <c r="C1293" s="79"/>
      <c r="D1293" s="79"/>
      <c r="E1293" s="80"/>
      <c r="F1293" s="81"/>
      <c r="G1293" s="79"/>
      <c r="H1293" s="79"/>
      <c r="I1293" s="79"/>
      <c r="J1293" s="79"/>
      <c r="K1293" s="79"/>
      <c r="L1293" s="79"/>
      <c r="M1293" s="79"/>
      <c r="N1293" s="50"/>
      <c r="O1293" s="82"/>
      <c r="P1293" s="70"/>
      <c r="Q1293" s="70"/>
      <c r="R1293" s="70"/>
      <c r="S1293" s="70"/>
    </row>
    <row r="1294" ht="15.75" customHeight="1">
      <c r="B1294" s="78"/>
      <c r="C1294" s="79"/>
      <c r="D1294" s="79"/>
      <c r="E1294" s="80"/>
      <c r="F1294" s="81"/>
      <c r="G1294" s="79"/>
      <c r="H1294" s="79"/>
      <c r="I1294" s="79"/>
      <c r="J1294" s="79"/>
      <c r="K1294" s="79"/>
      <c r="L1294" s="79"/>
      <c r="M1294" s="79"/>
      <c r="N1294" s="50"/>
      <c r="O1294" s="82"/>
      <c r="P1294" s="70"/>
      <c r="Q1294" s="70"/>
      <c r="R1294" s="70"/>
      <c r="S1294" s="70"/>
    </row>
    <row r="1295" ht="15.75" customHeight="1">
      <c r="B1295" s="78"/>
      <c r="C1295" s="79"/>
      <c r="D1295" s="79"/>
      <c r="E1295" s="80"/>
      <c r="F1295" s="81"/>
      <c r="G1295" s="79"/>
      <c r="H1295" s="79"/>
      <c r="I1295" s="79"/>
      <c r="J1295" s="79"/>
      <c r="K1295" s="79"/>
      <c r="L1295" s="79"/>
      <c r="M1295" s="79"/>
      <c r="N1295" s="50"/>
      <c r="O1295" s="82"/>
      <c r="P1295" s="70"/>
      <c r="Q1295" s="70"/>
      <c r="R1295" s="70"/>
      <c r="S1295" s="70"/>
    </row>
    <row r="1296" ht="15.75" customHeight="1">
      <c r="B1296" s="78"/>
      <c r="C1296" s="79"/>
      <c r="D1296" s="79"/>
      <c r="E1296" s="80"/>
      <c r="F1296" s="81"/>
      <c r="G1296" s="79"/>
      <c r="H1296" s="79"/>
      <c r="I1296" s="79"/>
      <c r="J1296" s="79"/>
      <c r="K1296" s="79"/>
      <c r="L1296" s="79"/>
      <c r="M1296" s="79"/>
      <c r="N1296" s="50"/>
      <c r="O1296" s="82"/>
      <c r="P1296" s="70"/>
      <c r="Q1296" s="70"/>
      <c r="R1296" s="70"/>
      <c r="S1296" s="70"/>
    </row>
    <row r="1297" ht="15.75" customHeight="1">
      <c r="B1297" s="78"/>
      <c r="C1297" s="79"/>
      <c r="D1297" s="79"/>
      <c r="E1297" s="80"/>
      <c r="F1297" s="81"/>
      <c r="G1297" s="79"/>
      <c r="H1297" s="79"/>
      <c r="I1297" s="79"/>
      <c r="J1297" s="79"/>
      <c r="K1297" s="79"/>
      <c r="L1297" s="79"/>
      <c r="M1297" s="79"/>
      <c r="N1297" s="50"/>
      <c r="O1297" s="82"/>
      <c r="P1297" s="70"/>
      <c r="Q1297" s="70"/>
      <c r="R1297" s="70"/>
      <c r="S1297" s="70"/>
    </row>
    <row r="1298" ht="15.75" customHeight="1">
      <c r="B1298" s="78"/>
      <c r="C1298" s="79"/>
      <c r="D1298" s="79"/>
      <c r="E1298" s="80"/>
      <c r="F1298" s="81"/>
      <c r="G1298" s="79"/>
      <c r="H1298" s="79"/>
      <c r="I1298" s="79"/>
      <c r="J1298" s="79"/>
      <c r="K1298" s="79"/>
      <c r="L1298" s="79"/>
      <c r="M1298" s="79"/>
      <c r="N1298" s="50"/>
      <c r="O1298" s="82"/>
      <c r="P1298" s="70"/>
      <c r="Q1298" s="70"/>
      <c r="R1298" s="70"/>
      <c r="S1298" s="70"/>
    </row>
    <row r="1299" ht="15.75" customHeight="1">
      <c r="B1299" s="78"/>
      <c r="C1299" s="79"/>
      <c r="D1299" s="79"/>
      <c r="E1299" s="80"/>
      <c r="F1299" s="81"/>
      <c r="G1299" s="79"/>
      <c r="H1299" s="79"/>
      <c r="I1299" s="79"/>
      <c r="J1299" s="79"/>
      <c r="K1299" s="79"/>
      <c r="L1299" s="79"/>
      <c r="M1299" s="79"/>
      <c r="N1299" s="50"/>
      <c r="O1299" s="82"/>
      <c r="P1299" s="70"/>
      <c r="Q1299" s="70"/>
      <c r="R1299" s="70"/>
      <c r="S1299" s="70"/>
    </row>
    <row r="1300" ht="15.75" customHeight="1">
      <c r="B1300" s="78"/>
      <c r="C1300" s="79"/>
      <c r="D1300" s="79"/>
      <c r="E1300" s="80"/>
      <c r="F1300" s="81"/>
      <c r="G1300" s="79"/>
      <c r="H1300" s="79"/>
      <c r="I1300" s="79"/>
      <c r="J1300" s="79"/>
      <c r="K1300" s="79"/>
      <c r="L1300" s="79"/>
      <c r="M1300" s="79"/>
      <c r="N1300" s="50"/>
      <c r="O1300" s="82"/>
      <c r="P1300" s="70"/>
      <c r="Q1300" s="70"/>
      <c r="R1300" s="70"/>
      <c r="S1300" s="70"/>
    </row>
    <row r="1301" ht="15.75" customHeight="1">
      <c r="B1301" s="78"/>
      <c r="C1301" s="79"/>
      <c r="D1301" s="79"/>
      <c r="E1301" s="80"/>
      <c r="F1301" s="81"/>
      <c r="G1301" s="79"/>
      <c r="H1301" s="79"/>
      <c r="I1301" s="79"/>
      <c r="J1301" s="79"/>
      <c r="K1301" s="79"/>
      <c r="L1301" s="79"/>
      <c r="M1301" s="79"/>
      <c r="N1301" s="50"/>
      <c r="O1301" s="82"/>
      <c r="P1301" s="70"/>
      <c r="Q1301" s="70"/>
      <c r="R1301" s="70"/>
      <c r="S1301" s="70"/>
    </row>
    <row r="1302" ht="15.75" customHeight="1">
      <c r="B1302" s="78"/>
      <c r="C1302" s="79"/>
      <c r="D1302" s="79"/>
      <c r="E1302" s="80"/>
      <c r="F1302" s="81"/>
      <c r="G1302" s="79"/>
      <c r="H1302" s="79"/>
      <c r="I1302" s="79"/>
      <c r="J1302" s="79"/>
      <c r="K1302" s="79"/>
      <c r="L1302" s="79"/>
      <c r="M1302" s="79"/>
      <c r="N1302" s="50"/>
      <c r="O1302" s="82"/>
      <c r="P1302" s="70"/>
      <c r="Q1302" s="70"/>
      <c r="R1302" s="70"/>
      <c r="S1302" s="70"/>
    </row>
    <row r="1303" ht="15.75" customHeight="1">
      <c r="B1303" s="78"/>
      <c r="C1303" s="79"/>
      <c r="D1303" s="79"/>
      <c r="E1303" s="80"/>
      <c r="F1303" s="81"/>
      <c r="G1303" s="79"/>
      <c r="H1303" s="79"/>
      <c r="I1303" s="79"/>
      <c r="J1303" s="79"/>
      <c r="K1303" s="79"/>
      <c r="L1303" s="79"/>
      <c r="M1303" s="79"/>
      <c r="N1303" s="50"/>
      <c r="O1303" s="82"/>
      <c r="P1303" s="70"/>
      <c r="Q1303" s="70"/>
      <c r="R1303" s="70"/>
      <c r="S1303" s="70"/>
    </row>
    <row r="1304" ht="15.75" customHeight="1">
      <c r="B1304" s="78"/>
      <c r="C1304" s="79"/>
      <c r="D1304" s="79"/>
      <c r="E1304" s="80"/>
      <c r="F1304" s="81"/>
      <c r="G1304" s="79"/>
      <c r="H1304" s="79"/>
      <c r="I1304" s="79"/>
      <c r="J1304" s="79"/>
      <c r="K1304" s="79"/>
      <c r="L1304" s="79"/>
      <c r="M1304" s="79"/>
      <c r="N1304" s="50"/>
      <c r="O1304" s="82"/>
      <c r="P1304" s="70"/>
      <c r="Q1304" s="70"/>
      <c r="R1304" s="70"/>
      <c r="S1304" s="70"/>
    </row>
    <row r="1305" ht="15.75" customHeight="1">
      <c r="B1305" s="78"/>
      <c r="C1305" s="79"/>
      <c r="D1305" s="79"/>
      <c r="E1305" s="80"/>
      <c r="F1305" s="81"/>
      <c r="G1305" s="79"/>
      <c r="H1305" s="79"/>
      <c r="I1305" s="79"/>
      <c r="J1305" s="79"/>
      <c r="K1305" s="79"/>
      <c r="L1305" s="79"/>
      <c r="M1305" s="79"/>
      <c r="N1305" s="50"/>
      <c r="O1305" s="82"/>
      <c r="P1305" s="70"/>
      <c r="Q1305" s="70"/>
      <c r="R1305" s="70"/>
      <c r="S1305" s="70"/>
    </row>
    <row r="1306" ht="15.75" customHeight="1">
      <c r="B1306" s="78"/>
      <c r="C1306" s="79"/>
      <c r="D1306" s="79"/>
      <c r="E1306" s="80"/>
      <c r="F1306" s="81"/>
      <c r="G1306" s="79"/>
      <c r="H1306" s="79"/>
      <c r="I1306" s="79"/>
      <c r="J1306" s="79"/>
      <c r="K1306" s="79"/>
      <c r="L1306" s="79"/>
      <c r="M1306" s="79"/>
      <c r="N1306" s="50"/>
      <c r="O1306" s="82"/>
      <c r="P1306" s="70"/>
      <c r="Q1306" s="70"/>
      <c r="R1306" s="70"/>
      <c r="S1306" s="70"/>
    </row>
    <row r="1307" ht="15.75" customHeight="1">
      <c r="B1307" s="78"/>
      <c r="C1307" s="79"/>
      <c r="D1307" s="79"/>
      <c r="E1307" s="80"/>
      <c r="F1307" s="81"/>
      <c r="G1307" s="79"/>
      <c r="H1307" s="79"/>
      <c r="I1307" s="79"/>
      <c r="J1307" s="79"/>
      <c r="K1307" s="79"/>
      <c r="L1307" s="79"/>
      <c r="M1307" s="79"/>
      <c r="N1307" s="50"/>
      <c r="O1307" s="82"/>
      <c r="P1307" s="70"/>
      <c r="Q1307" s="70"/>
      <c r="R1307" s="70"/>
      <c r="S1307" s="70"/>
    </row>
    <row r="1308" ht="15.75" customHeight="1">
      <c r="B1308" s="78"/>
      <c r="C1308" s="79"/>
      <c r="D1308" s="79"/>
      <c r="E1308" s="80"/>
      <c r="F1308" s="81"/>
      <c r="G1308" s="79"/>
      <c r="H1308" s="79"/>
      <c r="I1308" s="79"/>
      <c r="J1308" s="79"/>
      <c r="K1308" s="79"/>
      <c r="L1308" s="79"/>
      <c r="M1308" s="79"/>
      <c r="N1308" s="50"/>
      <c r="O1308" s="82"/>
      <c r="P1308" s="70"/>
      <c r="Q1308" s="70"/>
      <c r="R1308" s="70"/>
      <c r="S1308" s="70"/>
    </row>
    <row r="1309" ht="15.75" customHeight="1">
      <c r="B1309" s="78"/>
      <c r="C1309" s="79"/>
      <c r="D1309" s="79"/>
      <c r="E1309" s="80"/>
      <c r="F1309" s="81"/>
      <c r="G1309" s="79"/>
      <c r="H1309" s="79"/>
      <c r="I1309" s="79"/>
      <c r="J1309" s="79"/>
      <c r="K1309" s="79"/>
      <c r="L1309" s="79"/>
      <c r="M1309" s="79"/>
      <c r="N1309" s="50"/>
      <c r="O1309" s="82"/>
      <c r="P1309" s="70"/>
      <c r="Q1309" s="70"/>
      <c r="R1309" s="70"/>
      <c r="S1309" s="70"/>
    </row>
    <row r="1310" ht="15.75" customHeight="1">
      <c r="B1310" s="78"/>
      <c r="C1310" s="79"/>
      <c r="D1310" s="79"/>
      <c r="E1310" s="80"/>
      <c r="F1310" s="81"/>
      <c r="G1310" s="79"/>
      <c r="H1310" s="79"/>
      <c r="I1310" s="79"/>
      <c r="J1310" s="79"/>
      <c r="K1310" s="79"/>
      <c r="L1310" s="79"/>
      <c r="M1310" s="79"/>
      <c r="N1310" s="50"/>
      <c r="O1310" s="82"/>
      <c r="P1310" s="70"/>
      <c r="Q1310" s="70"/>
      <c r="R1310" s="70"/>
      <c r="S1310" s="70"/>
    </row>
    <row r="1311" ht="15.75" customHeight="1">
      <c r="B1311" s="78"/>
      <c r="C1311" s="79"/>
      <c r="D1311" s="79"/>
      <c r="E1311" s="80"/>
      <c r="F1311" s="81"/>
      <c r="G1311" s="79"/>
      <c r="H1311" s="79"/>
      <c r="I1311" s="79"/>
      <c r="J1311" s="79"/>
      <c r="K1311" s="79"/>
      <c r="L1311" s="79"/>
      <c r="M1311" s="79"/>
      <c r="N1311" s="50"/>
      <c r="O1311" s="82"/>
      <c r="P1311" s="70"/>
      <c r="Q1311" s="70"/>
      <c r="R1311" s="70"/>
      <c r="S1311" s="70"/>
    </row>
    <row r="1312" ht="15.75" customHeight="1">
      <c r="B1312" s="78"/>
      <c r="C1312" s="79"/>
      <c r="D1312" s="79"/>
      <c r="E1312" s="80"/>
      <c r="F1312" s="81"/>
      <c r="G1312" s="79"/>
      <c r="H1312" s="79"/>
      <c r="I1312" s="79"/>
      <c r="J1312" s="79"/>
      <c r="K1312" s="79"/>
      <c r="L1312" s="79"/>
      <c r="M1312" s="79"/>
      <c r="N1312" s="50"/>
      <c r="O1312" s="82"/>
      <c r="P1312" s="70"/>
      <c r="Q1312" s="70"/>
      <c r="R1312" s="70"/>
      <c r="S1312" s="70"/>
    </row>
    <row r="1313" ht="15.75" customHeight="1">
      <c r="B1313" s="78"/>
      <c r="C1313" s="79"/>
      <c r="D1313" s="79"/>
      <c r="E1313" s="80"/>
      <c r="F1313" s="81"/>
      <c r="G1313" s="79"/>
      <c r="H1313" s="79"/>
      <c r="I1313" s="79"/>
      <c r="J1313" s="79"/>
      <c r="K1313" s="79"/>
      <c r="L1313" s="79"/>
      <c r="M1313" s="79"/>
      <c r="N1313" s="50"/>
      <c r="O1313" s="82"/>
      <c r="P1313" s="70"/>
      <c r="Q1313" s="70"/>
      <c r="R1313" s="70"/>
      <c r="S1313" s="70"/>
    </row>
    <row r="1314" ht="15.75" customHeight="1">
      <c r="B1314" s="78"/>
      <c r="C1314" s="79"/>
      <c r="D1314" s="79"/>
      <c r="E1314" s="80"/>
      <c r="F1314" s="81"/>
      <c r="G1314" s="79"/>
      <c r="H1314" s="79"/>
      <c r="I1314" s="79"/>
      <c r="J1314" s="79"/>
      <c r="K1314" s="79"/>
      <c r="L1314" s="79"/>
      <c r="M1314" s="79"/>
      <c r="N1314" s="50"/>
      <c r="O1314" s="82"/>
      <c r="P1314" s="70"/>
      <c r="Q1314" s="70"/>
      <c r="R1314" s="70"/>
      <c r="S1314" s="70"/>
    </row>
    <row r="1315" ht="15.75" customHeight="1">
      <c r="B1315" s="78"/>
      <c r="C1315" s="79"/>
      <c r="D1315" s="79"/>
      <c r="E1315" s="80"/>
      <c r="F1315" s="81"/>
      <c r="G1315" s="79"/>
      <c r="H1315" s="79"/>
      <c r="I1315" s="79"/>
      <c r="J1315" s="79"/>
      <c r="K1315" s="79"/>
      <c r="L1315" s="79"/>
      <c r="M1315" s="79"/>
      <c r="N1315" s="50"/>
      <c r="O1315" s="82"/>
      <c r="P1315" s="70"/>
      <c r="Q1315" s="70"/>
      <c r="R1315" s="70"/>
      <c r="S1315" s="70"/>
    </row>
    <row r="1316" ht="15.75" customHeight="1">
      <c r="B1316" s="78"/>
      <c r="C1316" s="79"/>
      <c r="D1316" s="79"/>
      <c r="E1316" s="80"/>
      <c r="F1316" s="81"/>
      <c r="G1316" s="79"/>
      <c r="H1316" s="79"/>
      <c r="I1316" s="79"/>
      <c r="J1316" s="79"/>
      <c r="K1316" s="79"/>
      <c r="L1316" s="79"/>
      <c r="M1316" s="79"/>
      <c r="N1316" s="50"/>
      <c r="O1316" s="82"/>
      <c r="P1316" s="70"/>
      <c r="Q1316" s="70"/>
      <c r="R1316" s="70"/>
      <c r="S1316" s="70"/>
    </row>
    <row r="1317" ht="15.75" customHeight="1">
      <c r="B1317" s="78"/>
      <c r="C1317" s="79"/>
      <c r="D1317" s="79"/>
      <c r="E1317" s="80"/>
      <c r="F1317" s="81"/>
      <c r="G1317" s="79"/>
      <c r="H1317" s="79"/>
      <c r="I1317" s="79"/>
      <c r="J1317" s="79"/>
      <c r="K1317" s="79"/>
      <c r="L1317" s="79"/>
      <c r="M1317" s="79"/>
      <c r="N1317" s="50"/>
      <c r="O1317" s="82"/>
      <c r="P1317" s="70"/>
      <c r="Q1317" s="70"/>
      <c r="R1317" s="70"/>
      <c r="S1317" s="70"/>
    </row>
    <row r="1318" ht="15.75" customHeight="1">
      <c r="B1318" s="78"/>
      <c r="C1318" s="79"/>
      <c r="D1318" s="79"/>
      <c r="E1318" s="80"/>
      <c r="F1318" s="81"/>
      <c r="G1318" s="79"/>
      <c r="H1318" s="79"/>
      <c r="I1318" s="79"/>
      <c r="J1318" s="79"/>
      <c r="K1318" s="79"/>
      <c r="L1318" s="79"/>
      <c r="M1318" s="79"/>
      <c r="N1318" s="50"/>
      <c r="O1318" s="82"/>
      <c r="P1318" s="70"/>
      <c r="Q1318" s="70"/>
      <c r="R1318" s="70"/>
      <c r="S1318" s="70"/>
    </row>
    <row r="1319" ht="15.75" customHeight="1">
      <c r="B1319" s="78"/>
      <c r="C1319" s="79"/>
      <c r="D1319" s="79"/>
      <c r="E1319" s="80"/>
      <c r="F1319" s="81"/>
      <c r="G1319" s="79"/>
      <c r="H1319" s="79"/>
      <c r="I1319" s="79"/>
      <c r="J1319" s="79"/>
      <c r="K1319" s="79"/>
      <c r="L1319" s="79"/>
      <c r="M1319" s="79"/>
      <c r="N1319" s="50"/>
      <c r="O1319" s="82"/>
      <c r="P1319" s="70"/>
      <c r="Q1319" s="70"/>
      <c r="R1319" s="70"/>
      <c r="S1319" s="70"/>
    </row>
    <row r="1320" ht="15.75" customHeight="1">
      <c r="B1320" s="78"/>
      <c r="C1320" s="79"/>
      <c r="D1320" s="79"/>
      <c r="E1320" s="80"/>
      <c r="F1320" s="81"/>
      <c r="G1320" s="79"/>
      <c r="H1320" s="79"/>
      <c r="I1320" s="79"/>
      <c r="J1320" s="79"/>
      <c r="K1320" s="79"/>
      <c r="L1320" s="79"/>
      <c r="M1320" s="79"/>
      <c r="N1320" s="50"/>
      <c r="O1320" s="82"/>
      <c r="P1320" s="70"/>
      <c r="Q1320" s="70"/>
      <c r="R1320" s="70"/>
      <c r="S1320" s="70"/>
    </row>
    <row r="1321" ht="15.75" customHeight="1">
      <c r="B1321" s="78"/>
      <c r="C1321" s="79"/>
      <c r="D1321" s="79"/>
      <c r="E1321" s="80"/>
      <c r="F1321" s="81"/>
      <c r="G1321" s="79"/>
      <c r="H1321" s="79"/>
      <c r="I1321" s="79"/>
      <c r="J1321" s="79"/>
      <c r="K1321" s="79"/>
      <c r="L1321" s="79"/>
      <c r="M1321" s="79"/>
      <c r="N1321" s="50"/>
      <c r="O1321" s="82"/>
      <c r="P1321" s="70"/>
      <c r="Q1321" s="70"/>
      <c r="R1321" s="70"/>
      <c r="S1321" s="70"/>
    </row>
    <row r="1322" ht="15.75" customHeight="1">
      <c r="B1322" s="78"/>
      <c r="C1322" s="79"/>
      <c r="D1322" s="79"/>
      <c r="E1322" s="80"/>
      <c r="F1322" s="81"/>
      <c r="G1322" s="79"/>
      <c r="H1322" s="79"/>
      <c r="I1322" s="79"/>
      <c r="J1322" s="79"/>
      <c r="K1322" s="79"/>
      <c r="L1322" s="79"/>
      <c r="M1322" s="79"/>
      <c r="N1322" s="50"/>
      <c r="O1322" s="82"/>
      <c r="P1322" s="70"/>
      <c r="Q1322" s="70"/>
      <c r="R1322" s="70"/>
      <c r="S1322" s="70"/>
    </row>
    <row r="1323" ht="15.75" customHeight="1">
      <c r="B1323" s="78"/>
      <c r="C1323" s="79"/>
      <c r="D1323" s="79"/>
      <c r="E1323" s="80"/>
      <c r="F1323" s="81"/>
      <c r="G1323" s="79"/>
      <c r="H1323" s="79"/>
      <c r="I1323" s="79"/>
      <c r="J1323" s="79"/>
      <c r="K1323" s="79"/>
      <c r="L1323" s="79"/>
      <c r="M1323" s="79"/>
      <c r="N1323" s="50"/>
      <c r="O1323" s="82"/>
      <c r="P1323" s="70"/>
      <c r="Q1323" s="70"/>
      <c r="R1323" s="70"/>
      <c r="S1323" s="70"/>
    </row>
    <row r="1324" ht="15.75" customHeight="1">
      <c r="B1324" s="78"/>
      <c r="C1324" s="79"/>
      <c r="D1324" s="79"/>
      <c r="E1324" s="80"/>
      <c r="F1324" s="81"/>
      <c r="G1324" s="79"/>
      <c r="H1324" s="79"/>
      <c r="I1324" s="79"/>
      <c r="J1324" s="79"/>
      <c r="K1324" s="79"/>
      <c r="L1324" s="79"/>
      <c r="M1324" s="79"/>
      <c r="N1324" s="50"/>
      <c r="O1324" s="82"/>
      <c r="P1324" s="70"/>
      <c r="Q1324" s="70"/>
      <c r="R1324" s="70"/>
      <c r="S1324" s="70"/>
    </row>
    <row r="1325" ht="15.75" customHeight="1">
      <c r="B1325" s="78"/>
      <c r="C1325" s="79"/>
      <c r="D1325" s="79"/>
      <c r="E1325" s="80"/>
      <c r="F1325" s="81"/>
      <c r="G1325" s="79"/>
      <c r="H1325" s="79"/>
      <c r="I1325" s="79"/>
      <c r="J1325" s="79"/>
      <c r="K1325" s="79"/>
      <c r="L1325" s="79"/>
      <c r="M1325" s="79"/>
      <c r="N1325" s="50"/>
      <c r="O1325" s="82"/>
      <c r="P1325" s="70"/>
      <c r="Q1325" s="70"/>
      <c r="R1325" s="70"/>
      <c r="S1325" s="70"/>
    </row>
    <row r="1326" ht="15.75" customHeight="1">
      <c r="B1326" s="78"/>
      <c r="C1326" s="79"/>
      <c r="D1326" s="79"/>
      <c r="E1326" s="80"/>
      <c r="F1326" s="81"/>
      <c r="G1326" s="79"/>
      <c r="H1326" s="79"/>
      <c r="I1326" s="79"/>
      <c r="J1326" s="79"/>
      <c r="K1326" s="79"/>
      <c r="L1326" s="79"/>
      <c r="M1326" s="79"/>
      <c r="N1326" s="50"/>
      <c r="O1326" s="82"/>
      <c r="P1326" s="70"/>
      <c r="Q1326" s="70"/>
      <c r="R1326" s="70"/>
      <c r="S1326" s="70"/>
    </row>
    <row r="1327" ht="15.75" customHeight="1">
      <c r="B1327" s="78"/>
      <c r="C1327" s="79"/>
      <c r="D1327" s="79"/>
      <c r="E1327" s="80"/>
      <c r="F1327" s="81"/>
      <c r="G1327" s="79"/>
      <c r="H1327" s="79"/>
      <c r="I1327" s="79"/>
      <c r="J1327" s="79"/>
      <c r="K1327" s="79"/>
      <c r="L1327" s="79"/>
      <c r="M1327" s="79"/>
      <c r="N1327" s="50"/>
      <c r="O1327" s="82"/>
      <c r="P1327" s="70"/>
      <c r="Q1327" s="70"/>
      <c r="R1327" s="70"/>
      <c r="S1327" s="70"/>
    </row>
    <row r="1328" ht="15.75" customHeight="1">
      <c r="B1328" s="78"/>
      <c r="C1328" s="79"/>
      <c r="D1328" s="79"/>
      <c r="E1328" s="80"/>
      <c r="F1328" s="81"/>
      <c r="G1328" s="79"/>
      <c r="H1328" s="79"/>
      <c r="I1328" s="79"/>
      <c r="J1328" s="79"/>
      <c r="K1328" s="79"/>
      <c r="L1328" s="79"/>
      <c r="M1328" s="79"/>
      <c r="N1328" s="50"/>
      <c r="O1328" s="82"/>
      <c r="P1328" s="70"/>
      <c r="Q1328" s="70"/>
      <c r="R1328" s="70"/>
      <c r="S1328" s="70"/>
    </row>
    <row r="1329" ht="15.75" customHeight="1">
      <c r="B1329" s="78"/>
      <c r="C1329" s="79"/>
      <c r="D1329" s="79"/>
      <c r="E1329" s="80"/>
      <c r="F1329" s="81"/>
      <c r="G1329" s="79"/>
      <c r="H1329" s="79"/>
      <c r="I1329" s="79"/>
      <c r="J1329" s="79"/>
      <c r="K1329" s="79"/>
      <c r="L1329" s="79"/>
      <c r="M1329" s="79"/>
      <c r="N1329" s="50"/>
      <c r="O1329" s="82"/>
      <c r="P1329" s="70"/>
      <c r="Q1329" s="70"/>
      <c r="R1329" s="70"/>
      <c r="S1329" s="70"/>
    </row>
    <row r="1330" ht="15.75" customHeight="1">
      <c r="B1330" s="78"/>
      <c r="C1330" s="79"/>
      <c r="D1330" s="79"/>
      <c r="E1330" s="80"/>
      <c r="F1330" s="81"/>
      <c r="G1330" s="79"/>
      <c r="H1330" s="79"/>
      <c r="I1330" s="79"/>
      <c r="J1330" s="79"/>
      <c r="K1330" s="79"/>
      <c r="L1330" s="79"/>
      <c r="M1330" s="79"/>
      <c r="N1330" s="50"/>
      <c r="O1330" s="82"/>
      <c r="P1330" s="70"/>
      <c r="Q1330" s="70"/>
      <c r="R1330" s="70"/>
      <c r="S1330" s="70"/>
    </row>
    <row r="1331" ht="15.75" customHeight="1">
      <c r="B1331" s="78"/>
      <c r="C1331" s="79"/>
      <c r="D1331" s="79"/>
      <c r="E1331" s="80"/>
      <c r="F1331" s="81"/>
      <c r="G1331" s="79"/>
      <c r="H1331" s="79"/>
      <c r="I1331" s="79"/>
      <c r="J1331" s="79"/>
      <c r="K1331" s="79"/>
      <c r="L1331" s="79"/>
      <c r="M1331" s="79"/>
      <c r="N1331" s="50"/>
      <c r="O1331" s="82"/>
      <c r="P1331" s="70"/>
      <c r="Q1331" s="70"/>
      <c r="R1331" s="70"/>
      <c r="S1331" s="70"/>
    </row>
    <row r="1332" ht="15.75" customHeight="1">
      <c r="B1332" s="78"/>
      <c r="C1332" s="79"/>
      <c r="D1332" s="79"/>
      <c r="E1332" s="80"/>
      <c r="F1332" s="81"/>
      <c r="G1332" s="79"/>
      <c r="H1332" s="79"/>
      <c r="I1332" s="79"/>
      <c r="J1332" s="79"/>
      <c r="K1332" s="79"/>
      <c r="L1332" s="79"/>
      <c r="M1332" s="79"/>
      <c r="N1332" s="50"/>
      <c r="O1332" s="82"/>
      <c r="P1332" s="70"/>
      <c r="Q1332" s="70"/>
      <c r="R1332" s="70"/>
      <c r="S1332" s="70"/>
    </row>
    <row r="1333" ht="15.75" customHeight="1">
      <c r="B1333" s="78"/>
      <c r="C1333" s="79"/>
      <c r="D1333" s="79"/>
      <c r="E1333" s="80"/>
      <c r="F1333" s="81"/>
      <c r="G1333" s="79"/>
      <c r="H1333" s="79"/>
      <c r="I1333" s="79"/>
      <c r="J1333" s="79"/>
      <c r="K1333" s="79"/>
      <c r="L1333" s="79"/>
      <c r="M1333" s="79"/>
      <c r="N1333" s="50"/>
      <c r="O1333" s="82"/>
      <c r="P1333" s="70"/>
      <c r="Q1333" s="70"/>
      <c r="R1333" s="70"/>
      <c r="S1333" s="70"/>
    </row>
    <row r="1334" ht="15.75" customHeight="1">
      <c r="B1334" s="78"/>
      <c r="C1334" s="79"/>
      <c r="D1334" s="79"/>
      <c r="E1334" s="80"/>
      <c r="F1334" s="81"/>
      <c r="G1334" s="79"/>
      <c r="H1334" s="79"/>
      <c r="I1334" s="79"/>
      <c r="J1334" s="79"/>
      <c r="K1334" s="79"/>
      <c r="L1334" s="79"/>
      <c r="M1334" s="79"/>
      <c r="N1334" s="50"/>
      <c r="O1334" s="82"/>
      <c r="P1334" s="70"/>
      <c r="Q1334" s="70"/>
      <c r="R1334" s="70"/>
      <c r="S1334" s="70"/>
    </row>
    <row r="1335" ht="15.75" customHeight="1">
      <c r="B1335" s="78"/>
      <c r="C1335" s="79"/>
      <c r="D1335" s="79"/>
      <c r="E1335" s="80"/>
      <c r="F1335" s="81"/>
      <c r="G1335" s="79"/>
      <c r="H1335" s="79"/>
      <c r="I1335" s="79"/>
      <c r="J1335" s="79"/>
      <c r="K1335" s="79"/>
      <c r="L1335" s="79"/>
      <c r="M1335" s="79"/>
      <c r="N1335" s="50"/>
      <c r="O1335" s="82"/>
      <c r="P1335" s="70"/>
      <c r="Q1335" s="70"/>
      <c r="R1335" s="70"/>
      <c r="S1335" s="70"/>
    </row>
    <row r="1336" ht="15.75" customHeight="1">
      <c r="B1336" s="78"/>
      <c r="C1336" s="79"/>
      <c r="D1336" s="79"/>
      <c r="E1336" s="80"/>
      <c r="F1336" s="81"/>
      <c r="G1336" s="79"/>
      <c r="H1336" s="79"/>
      <c r="I1336" s="79"/>
      <c r="J1336" s="79"/>
      <c r="K1336" s="79"/>
      <c r="L1336" s="79"/>
      <c r="M1336" s="79"/>
      <c r="N1336" s="50"/>
      <c r="O1336" s="82"/>
      <c r="P1336" s="70"/>
      <c r="Q1336" s="70"/>
      <c r="R1336" s="70"/>
      <c r="S1336" s="70"/>
    </row>
    <row r="1337" ht="15.75" customHeight="1">
      <c r="B1337" s="78"/>
      <c r="C1337" s="79"/>
      <c r="D1337" s="79"/>
      <c r="E1337" s="80"/>
      <c r="F1337" s="81"/>
      <c r="G1337" s="79"/>
      <c r="H1337" s="79"/>
      <c r="I1337" s="79"/>
      <c r="J1337" s="79"/>
      <c r="K1337" s="79"/>
      <c r="L1337" s="79"/>
      <c r="M1337" s="79"/>
      <c r="N1337" s="50"/>
      <c r="O1337" s="82"/>
      <c r="P1337" s="70"/>
      <c r="Q1337" s="70"/>
      <c r="R1337" s="70"/>
      <c r="S1337" s="70"/>
    </row>
    <row r="1338" ht="15.75" customHeight="1">
      <c r="B1338" s="78"/>
      <c r="C1338" s="79"/>
      <c r="D1338" s="79"/>
      <c r="E1338" s="80"/>
      <c r="F1338" s="81"/>
      <c r="G1338" s="79"/>
      <c r="H1338" s="79"/>
      <c r="I1338" s="79"/>
      <c r="J1338" s="79"/>
      <c r="K1338" s="79"/>
      <c r="L1338" s="79"/>
      <c r="M1338" s="79"/>
      <c r="N1338" s="50"/>
      <c r="O1338" s="82"/>
      <c r="P1338" s="70"/>
      <c r="Q1338" s="70"/>
      <c r="R1338" s="70"/>
      <c r="S1338" s="70"/>
    </row>
    <row r="1339" ht="15.75" customHeight="1">
      <c r="B1339" s="78"/>
      <c r="C1339" s="79"/>
      <c r="D1339" s="79"/>
      <c r="E1339" s="80"/>
      <c r="F1339" s="81"/>
      <c r="G1339" s="79"/>
      <c r="H1339" s="79"/>
      <c r="I1339" s="79"/>
      <c r="J1339" s="79"/>
      <c r="K1339" s="79"/>
      <c r="L1339" s="79"/>
      <c r="M1339" s="79"/>
      <c r="N1339" s="50"/>
      <c r="O1339" s="82"/>
      <c r="P1339" s="70"/>
      <c r="Q1339" s="70"/>
      <c r="R1339" s="70"/>
      <c r="S1339" s="70"/>
    </row>
    <row r="1340" ht="15.75" customHeight="1">
      <c r="B1340" s="78"/>
      <c r="C1340" s="79"/>
      <c r="D1340" s="79"/>
      <c r="E1340" s="80"/>
      <c r="F1340" s="81"/>
      <c r="G1340" s="79"/>
      <c r="H1340" s="79"/>
      <c r="I1340" s="79"/>
      <c r="J1340" s="79"/>
      <c r="K1340" s="79"/>
      <c r="L1340" s="79"/>
      <c r="M1340" s="79"/>
      <c r="N1340" s="50"/>
      <c r="O1340" s="82"/>
      <c r="P1340" s="70"/>
      <c r="Q1340" s="70"/>
      <c r="R1340" s="70"/>
      <c r="S1340" s="70"/>
    </row>
    <row r="1341" ht="15.75" customHeight="1">
      <c r="B1341" s="78"/>
      <c r="C1341" s="79"/>
      <c r="D1341" s="79"/>
      <c r="E1341" s="80"/>
      <c r="F1341" s="81"/>
      <c r="G1341" s="79"/>
      <c r="H1341" s="79"/>
      <c r="I1341" s="79"/>
      <c r="J1341" s="79"/>
      <c r="K1341" s="79"/>
      <c r="L1341" s="79"/>
      <c r="M1341" s="79"/>
      <c r="N1341" s="50"/>
      <c r="O1341" s="82"/>
      <c r="P1341" s="70"/>
      <c r="Q1341" s="70"/>
      <c r="R1341" s="70"/>
      <c r="S1341" s="70"/>
    </row>
    <row r="1342" ht="15.75" customHeight="1">
      <c r="B1342" s="78"/>
      <c r="C1342" s="79"/>
      <c r="D1342" s="79"/>
      <c r="E1342" s="80"/>
      <c r="F1342" s="81"/>
      <c r="G1342" s="79"/>
      <c r="H1342" s="79"/>
      <c r="I1342" s="79"/>
      <c r="J1342" s="79"/>
      <c r="K1342" s="79"/>
      <c r="L1342" s="79"/>
      <c r="M1342" s="79"/>
      <c r="N1342" s="50"/>
      <c r="O1342" s="82"/>
      <c r="P1342" s="70"/>
      <c r="Q1342" s="70"/>
      <c r="R1342" s="70"/>
      <c r="S1342" s="70"/>
    </row>
    <row r="1343" ht="15.75" customHeight="1">
      <c r="B1343" s="78"/>
      <c r="C1343" s="79"/>
      <c r="D1343" s="79"/>
      <c r="E1343" s="80"/>
      <c r="F1343" s="81"/>
      <c r="G1343" s="79"/>
      <c r="H1343" s="79"/>
      <c r="I1343" s="79"/>
      <c r="J1343" s="79"/>
      <c r="K1343" s="79"/>
      <c r="L1343" s="79"/>
      <c r="M1343" s="79"/>
      <c r="N1343" s="50"/>
      <c r="O1343" s="82"/>
      <c r="P1343" s="70"/>
      <c r="Q1343" s="70"/>
      <c r="R1343" s="70"/>
      <c r="S1343" s="70"/>
    </row>
    <row r="1344" ht="15.75" customHeight="1">
      <c r="B1344" s="78"/>
      <c r="C1344" s="79"/>
      <c r="D1344" s="79"/>
      <c r="E1344" s="80"/>
      <c r="F1344" s="81"/>
      <c r="G1344" s="79"/>
      <c r="H1344" s="79"/>
      <c r="I1344" s="79"/>
      <c r="J1344" s="79"/>
      <c r="K1344" s="79"/>
      <c r="L1344" s="79"/>
      <c r="M1344" s="79"/>
      <c r="N1344" s="50"/>
      <c r="O1344" s="82"/>
      <c r="P1344" s="70"/>
      <c r="Q1344" s="70"/>
      <c r="R1344" s="70"/>
      <c r="S1344" s="70"/>
    </row>
    <row r="1345" ht="15.75" customHeight="1">
      <c r="B1345" s="78"/>
      <c r="C1345" s="79"/>
      <c r="D1345" s="79"/>
      <c r="E1345" s="80"/>
      <c r="F1345" s="81"/>
      <c r="G1345" s="79"/>
      <c r="H1345" s="79"/>
      <c r="I1345" s="79"/>
      <c r="J1345" s="79"/>
      <c r="K1345" s="79"/>
      <c r="L1345" s="79"/>
      <c r="M1345" s="79"/>
      <c r="N1345" s="50"/>
      <c r="O1345" s="82"/>
      <c r="P1345" s="70"/>
      <c r="Q1345" s="70"/>
      <c r="R1345" s="70"/>
      <c r="S1345" s="70"/>
    </row>
    <row r="1346" ht="15.75" customHeight="1">
      <c r="B1346" s="78"/>
      <c r="C1346" s="79"/>
      <c r="D1346" s="79"/>
      <c r="E1346" s="80"/>
      <c r="F1346" s="81"/>
      <c r="G1346" s="79"/>
      <c r="H1346" s="79"/>
      <c r="I1346" s="79"/>
      <c r="J1346" s="79"/>
      <c r="K1346" s="79"/>
      <c r="L1346" s="79"/>
      <c r="M1346" s="79"/>
      <c r="N1346" s="50"/>
      <c r="O1346" s="82"/>
      <c r="P1346" s="70"/>
      <c r="Q1346" s="70"/>
      <c r="R1346" s="70"/>
      <c r="S1346" s="70"/>
    </row>
    <row r="1347" ht="15.75" customHeight="1">
      <c r="B1347" s="78"/>
      <c r="C1347" s="79"/>
      <c r="D1347" s="79"/>
      <c r="E1347" s="80"/>
      <c r="F1347" s="81"/>
      <c r="G1347" s="79"/>
      <c r="H1347" s="79"/>
      <c r="I1347" s="79"/>
      <c r="J1347" s="79"/>
      <c r="K1347" s="79"/>
      <c r="L1347" s="79"/>
      <c r="M1347" s="79"/>
      <c r="N1347" s="50"/>
      <c r="O1347" s="82"/>
      <c r="P1347" s="70"/>
      <c r="Q1347" s="70"/>
      <c r="R1347" s="70"/>
      <c r="S1347" s="70"/>
    </row>
    <row r="1348" ht="15.75" customHeight="1">
      <c r="B1348" s="78"/>
      <c r="C1348" s="79"/>
      <c r="D1348" s="79"/>
      <c r="E1348" s="80"/>
      <c r="F1348" s="81"/>
      <c r="G1348" s="79"/>
      <c r="H1348" s="79"/>
      <c r="I1348" s="79"/>
      <c r="J1348" s="79"/>
      <c r="K1348" s="79"/>
      <c r="L1348" s="79"/>
      <c r="M1348" s="79"/>
      <c r="N1348" s="50"/>
      <c r="O1348" s="82"/>
      <c r="P1348" s="70"/>
      <c r="Q1348" s="70"/>
      <c r="R1348" s="70"/>
      <c r="S1348" s="70"/>
    </row>
    <row r="1349" ht="15.75" customHeight="1">
      <c r="B1349" s="78"/>
      <c r="C1349" s="79"/>
      <c r="D1349" s="79"/>
      <c r="E1349" s="80"/>
      <c r="F1349" s="81"/>
      <c r="G1349" s="79"/>
      <c r="H1349" s="79"/>
      <c r="I1349" s="79"/>
      <c r="J1349" s="79"/>
      <c r="K1349" s="79"/>
      <c r="L1349" s="79"/>
      <c r="M1349" s="79"/>
      <c r="N1349" s="50"/>
      <c r="O1349" s="82"/>
      <c r="P1349" s="70"/>
      <c r="Q1349" s="70"/>
      <c r="R1349" s="70"/>
      <c r="S1349" s="70"/>
    </row>
    <row r="1350" ht="15.75" customHeight="1">
      <c r="B1350" s="78"/>
      <c r="C1350" s="79"/>
      <c r="D1350" s="79"/>
      <c r="E1350" s="80"/>
      <c r="F1350" s="81"/>
      <c r="G1350" s="79"/>
      <c r="H1350" s="79"/>
      <c r="I1350" s="79"/>
      <c r="J1350" s="79"/>
      <c r="K1350" s="79"/>
      <c r="L1350" s="79"/>
      <c r="M1350" s="79"/>
      <c r="N1350" s="50"/>
      <c r="O1350" s="82"/>
      <c r="P1350" s="70"/>
      <c r="Q1350" s="70"/>
      <c r="R1350" s="70"/>
      <c r="S1350" s="70"/>
    </row>
    <row r="1351" ht="15.75" customHeight="1">
      <c r="B1351" s="78"/>
      <c r="C1351" s="79"/>
      <c r="D1351" s="79"/>
      <c r="E1351" s="80"/>
      <c r="F1351" s="81"/>
      <c r="G1351" s="79"/>
      <c r="H1351" s="79"/>
      <c r="I1351" s="79"/>
      <c r="J1351" s="79"/>
      <c r="K1351" s="79"/>
      <c r="L1351" s="79"/>
      <c r="M1351" s="79"/>
      <c r="N1351" s="50"/>
      <c r="O1351" s="82"/>
      <c r="P1351" s="70"/>
      <c r="Q1351" s="70"/>
      <c r="R1351" s="70"/>
      <c r="S1351" s="70"/>
    </row>
    <row r="1352" ht="15.75" customHeight="1">
      <c r="B1352" s="78"/>
      <c r="C1352" s="79"/>
      <c r="D1352" s="79"/>
      <c r="E1352" s="80"/>
      <c r="F1352" s="81"/>
      <c r="G1352" s="79"/>
      <c r="H1352" s="79"/>
      <c r="I1352" s="79"/>
      <c r="J1352" s="79"/>
      <c r="K1352" s="79"/>
      <c r="L1352" s="79"/>
      <c r="M1352" s="79"/>
      <c r="N1352" s="50"/>
      <c r="O1352" s="82"/>
      <c r="P1352" s="70"/>
      <c r="Q1352" s="70"/>
      <c r="R1352" s="70"/>
      <c r="S1352" s="70"/>
    </row>
    <row r="1353" ht="15.75" customHeight="1">
      <c r="B1353" s="78"/>
      <c r="C1353" s="79"/>
      <c r="D1353" s="79"/>
      <c r="E1353" s="80"/>
      <c r="F1353" s="81"/>
      <c r="G1353" s="79"/>
      <c r="H1353" s="79"/>
      <c r="I1353" s="79"/>
      <c r="J1353" s="79"/>
      <c r="K1353" s="79"/>
      <c r="L1353" s="79"/>
      <c r="M1353" s="79"/>
      <c r="N1353" s="50"/>
      <c r="O1353" s="82"/>
      <c r="P1353" s="70"/>
      <c r="Q1353" s="70"/>
      <c r="R1353" s="70"/>
      <c r="S1353" s="70"/>
    </row>
    <row r="1354" ht="15.75" customHeight="1">
      <c r="B1354" s="78"/>
      <c r="C1354" s="79"/>
      <c r="D1354" s="79"/>
      <c r="E1354" s="80"/>
      <c r="F1354" s="81"/>
      <c r="G1354" s="79"/>
      <c r="H1354" s="79"/>
      <c r="I1354" s="79"/>
      <c r="J1354" s="79"/>
      <c r="K1354" s="79"/>
      <c r="L1354" s="79"/>
      <c r="M1354" s="79"/>
      <c r="N1354" s="50"/>
      <c r="O1354" s="82"/>
      <c r="P1354" s="70"/>
      <c r="Q1354" s="70"/>
      <c r="R1354" s="70"/>
      <c r="S1354" s="70"/>
    </row>
    <row r="1355" ht="15.75" customHeight="1">
      <c r="B1355" s="78"/>
      <c r="C1355" s="79"/>
      <c r="D1355" s="79"/>
      <c r="E1355" s="80"/>
      <c r="F1355" s="81"/>
      <c r="G1355" s="79"/>
      <c r="H1355" s="79"/>
      <c r="I1355" s="79"/>
      <c r="J1355" s="79"/>
      <c r="K1355" s="79"/>
      <c r="L1355" s="79"/>
      <c r="M1355" s="79"/>
      <c r="N1355" s="50"/>
      <c r="O1355" s="82"/>
      <c r="P1355" s="70"/>
      <c r="Q1355" s="70"/>
      <c r="R1355" s="70"/>
      <c r="S1355" s="70"/>
    </row>
    <row r="1356" ht="15.75" customHeight="1">
      <c r="B1356" s="78"/>
      <c r="C1356" s="79"/>
      <c r="D1356" s="79"/>
      <c r="E1356" s="80"/>
      <c r="F1356" s="81"/>
      <c r="G1356" s="79"/>
      <c r="H1356" s="79"/>
      <c r="I1356" s="79"/>
      <c r="J1356" s="79"/>
      <c r="K1356" s="79"/>
      <c r="L1356" s="79"/>
      <c r="M1356" s="79"/>
      <c r="N1356" s="50"/>
      <c r="O1356" s="82"/>
      <c r="P1356" s="70"/>
      <c r="Q1356" s="70"/>
      <c r="R1356" s="70"/>
      <c r="S1356" s="70"/>
    </row>
    <row r="1357" ht="15.75" customHeight="1">
      <c r="B1357" s="78"/>
      <c r="C1357" s="79"/>
      <c r="D1357" s="79"/>
      <c r="E1357" s="80"/>
      <c r="F1357" s="81"/>
      <c r="G1357" s="79"/>
      <c r="H1357" s="79"/>
      <c r="I1357" s="79"/>
      <c r="J1357" s="79"/>
      <c r="K1357" s="79"/>
      <c r="L1357" s="79"/>
      <c r="M1357" s="79"/>
      <c r="N1357" s="50"/>
      <c r="O1357" s="82"/>
      <c r="P1357" s="70"/>
      <c r="Q1357" s="70"/>
      <c r="R1357" s="70"/>
      <c r="S1357" s="70"/>
    </row>
    <row r="1358" ht="15.75" customHeight="1">
      <c r="B1358" s="78"/>
      <c r="C1358" s="79"/>
      <c r="D1358" s="79"/>
      <c r="E1358" s="80"/>
      <c r="F1358" s="81"/>
      <c r="G1358" s="79"/>
      <c r="H1358" s="79"/>
      <c r="I1358" s="79"/>
      <c r="J1358" s="79"/>
      <c r="K1358" s="79"/>
      <c r="L1358" s="79"/>
      <c r="M1358" s="79"/>
      <c r="N1358" s="50"/>
      <c r="O1358" s="82"/>
      <c r="P1358" s="70"/>
      <c r="Q1358" s="70"/>
      <c r="R1358" s="70"/>
      <c r="S1358" s="70"/>
    </row>
    <row r="1359" ht="15.75" customHeight="1">
      <c r="B1359" s="78"/>
      <c r="C1359" s="79"/>
      <c r="D1359" s="79"/>
      <c r="E1359" s="80"/>
      <c r="F1359" s="81"/>
      <c r="G1359" s="79"/>
      <c r="H1359" s="79"/>
      <c r="I1359" s="79"/>
      <c r="J1359" s="79"/>
      <c r="K1359" s="79"/>
      <c r="L1359" s="79"/>
      <c r="M1359" s="79"/>
      <c r="N1359" s="50"/>
      <c r="O1359" s="82"/>
      <c r="P1359" s="70"/>
      <c r="Q1359" s="70"/>
      <c r="R1359" s="70"/>
      <c r="S1359" s="70"/>
    </row>
    <row r="1360" ht="15.75" customHeight="1">
      <c r="B1360" s="78"/>
      <c r="C1360" s="79"/>
      <c r="D1360" s="79"/>
      <c r="E1360" s="80"/>
      <c r="F1360" s="81"/>
      <c r="G1360" s="79"/>
      <c r="H1360" s="79"/>
      <c r="I1360" s="79"/>
      <c r="J1360" s="79"/>
      <c r="K1360" s="79"/>
      <c r="L1360" s="79"/>
      <c r="M1360" s="79"/>
      <c r="N1360" s="50"/>
      <c r="O1360" s="82"/>
      <c r="P1360" s="70"/>
      <c r="Q1360" s="70"/>
      <c r="R1360" s="70"/>
      <c r="S1360" s="70"/>
    </row>
    <row r="1361" ht="15.75" customHeight="1">
      <c r="B1361" s="78"/>
      <c r="C1361" s="79"/>
      <c r="D1361" s="79"/>
      <c r="E1361" s="80"/>
      <c r="F1361" s="81"/>
      <c r="G1361" s="79"/>
      <c r="H1361" s="79"/>
      <c r="I1361" s="79"/>
      <c r="J1361" s="79"/>
      <c r="K1361" s="79"/>
      <c r="L1361" s="79"/>
      <c r="M1361" s="79"/>
      <c r="N1361" s="50"/>
      <c r="O1361" s="82"/>
      <c r="P1361" s="70"/>
      <c r="Q1361" s="70"/>
      <c r="R1361" s="70"/>
      <c r="S1361" s="70"/>
    </row>
    <row r="1362" ht="15.75" customHeight="1">
      <c r="B1362" s="78"/>
      <c r="C1362" s="79"/>
      <c r="D1362" s="79"/>
      <c r="E1362" s="80"/>
      <c r="F1362" s="81"/>
      <c r="G1362" s="79"/>
      <c r="H1362" s="79"/>
      <c r="I1362" s="79"/>
      <c r="J1362" s="79"/>
      <c r="K1362" s="79"/>
      <c r="L1362" s="79"/>
      <c r="M1362" s="79"/>
      <c r="N1362" s="50"/>
      <c r="O1362" s="82"/>
      <c r="P1362" s="70"/>
      <c r="Q1362" s="70"/>
      <c r="R1362" s="70"/>
      <c r="S1362" s="70"/>
    </row>
    <row r="1363" ht="15.75" customHeight="1">
      <c r="B1363" s="78"/>
      <c r="C1363" s="79"/>
      <c r="D1363" s="79"/>
      <c r="E1363" s="80"/>
      <c r="F1363" s="81"/>
      <c r="G1363" s="79"/>
      <c r="H1363" s="79"/>
      <c r="I1363" s="79"/>
      <c r="J1363" s="79"/>
      <c r="K1363" s="79"/>
      <c r="L1363" s="79"/>
      <c r="M1363" s="79"/>
      <c r="N1363" s="50"/>
      <c r="O1363" s="82"/>
      <c r="P1363" s="70"/>
      <c r="Q1363" s="70"/>
      <c r="R1363" s="70"/>
      <c r="S1363" s="70"/>
    </row>
    <row r="1364" ht="15.75" customHeight="1">
      <c r="B1364" s="78"/>
      <c r="C1364" s="79"/>
      <c r="D1364" s="79"/>
      <c r="E1364" s="80"/>
      <c r="F1364" s="81"/>
      <c r="G1364" s="79"/>
      <c r="H1364" s="79"/>
      <c r="I1364" s="79"/>
      <c r="J1364" s="79"/>
      <c r="K1364" s="79"/>
      <c r="L1364" s="79"/>
      <c r="M1364" s="79"/>
      <c r="N1364" s="50"/>
      <c r="O1364" s="82"/>
      <c r="P1364" s="70"/>
      <c r="Q1364" s="70"/>
      <c r="R1364" s="70"/>
      <c r="S1364" s="70"/>
    </row>
    <row r="1365" ht="15.75" customHeight="1">
      <c r="B1365" s="78"/>
      <c r="C1365" s="79"/>
      <c r="D1365" s="79"/>
      <c r="E1365" s="80"/>
      <c r="F1365" s="81"/>
      <c r="G1365" s="79"/>
      <c r="H1365" s="79"/>
      <c r="I1365" s="79"/>
      <c r="J1365" s="79"/>
      <c r="K1365" s="79"/>
      <c r="L1365" s="79"/>
      <c r="M1365" s="79"/>
      <c r="N1365" s="50"/>
      <c r="O1365" s="82"/>
      <c r="P1365" s="70"/>
      <c r="Q1365" s="70"/>
      <c r="R1365" s="70"/>
      <c r="S1365" s="70"/>
    </row>
    <row r="1366" ht="15.75" customHeight="1">
      <c r="B1366" s="78"/>
      <c r="C1366" s="79"/>
      <c r="D1366" s="79"/>
      <c r="E1366" s="80"/>
      <c r="F1366" s="81"/>
      <c r="G1366" s="79"/>
      <c r="H1366" s="79"/>
      <c r="I1366" s="79"/>
      <c r="J1366" s="79"/>
      <c r="K1366" s="79"/>
      <c r="L1366" s="79"/>
      <c r="M1366" s="79"/>
      <c r="N1366" s="50"/>
      <c r="O1366" s="82"/>
      <c r="P1366" s="70"/>
      <c r="Q1366" s="70"/>
      <c r="R1366" s="70"/>
      <c r="S1366" s="70"/>
    </row>
    <row r="1367" ht="15.75" customHeight="1">
      <c r="B1367" s="78"/>
      <c r="C1367" s="79"/>
      <c r="D1367" s="79"/>
      <c r="E1367" s="80"/>
      <c r="F1367" s="81"/>
      <c r="G1367" s="79"/>
      <c r="H1367" s="79"/>
      <c r="I1367" s="79"/>
      <c r="J1367" s="79"/>
      <c r="K1367" s="79"/>
      <c r="L1367" s="79"/>
      <c r="M1367" s="79"/>
      <c r="N1367" s="50"/>
      <c r="O1367" s="82"/>
      <c r="P1367" s="70"/>
      <c r="Q1367" s="70"/>
      <c r="R1367" s="70"/>
      <c r="S1367" s="70"/>
    </row>
    <row r="1368" ht="15.75" customHeight="1">
      <c r="B1368" s="78"/>
      <c r="C1368" s="79"/>
      <c r="D1368" s="79"/>
      <c r="E1368" s="80"/>
      <c r="F1368" s="81"/>
      <c r="G1368" s="79"/>
      <c r="H1368" s="79"/>
      <c r="I1368" s="79"/>
      <c r="J1368" s="79"/>
      <c r="K1368" s="79"/>
      <c r="L1368" s="79"/>
      <c r="M1368" s="79"/>
      <c r="N1368" s="50"/>
      <c r="O1368" s="82"/>
      <c r="P1368" s="70"/>
      <c r="Q1368" s="70"/>
      <c r="R1368" s="70"/>
      <c r="S1368" s="70"/>
    </row>
    <row r="1369" ht="15.75" customHeight="1">
      <c r="B1369" s="78"/>
      <c r="C1369" s="79"/>
      <c r="D1369" s="79"/>
      <c r="E1369" s="80"/>
      <c r="F1369" s="81"/>
      <c r="G1369" s="79"/>
      <c r="H1369" s="79"/>
      <c r="I1369" s="79"/>
      <c r="J1369" s="79"/>
      <c r="K1369" s="79"/>
      <c r="L1369" s="79"/>
      <c r="M1369" s="79"/>
      <c r="N1369" s="50"/>
      <c r="O1369" s="82"/>
      <c r="P1369" s="70"/>
      <c r="Q1369" s="70"/>
      <c r="R1369" s="70"/>
      <c r="S1369" s="70"/>
    </row>
    <row r="1370" ht="15.75" customHeight="1">
      <c r="B1370" s="78"/>
      <c r="C1370" s="79"/>
      <c r="D1370" s="79"/>
      <c r="E1370" s="80"/>
      <c r="F1370" s="81"/>
      <c r="G1370" s="79"/>
      <c r="H1370" s="79"/>
      <c r="I1370" s="79"/>
      <c r="J1370" s="79"/>
      <c r="K1370" s="79"/>
      <c r="L1370" s="79"/>
      <c r="M1370" s="79"/>
      <c r="N1370" s="50"/>
      <c r="O1370" s="82"/>
      <c r="P1370" s="70"/>
      <c r="Q1370" s="70"/>
      <c r="R1370" s="70"/>
      <c r="S1370" s="70"/>
    </row>
    <row r="1371" ht="15.75" customHeight="1">
      <c r="B1371" s="78"/>
      <c r="C1371" s="79"/>
      <c r="D1371" s="79"/>
      <c r="E1371" s="80"/>
      <c r="F1371" s="81"/>
      <c r="G1371" s="79"/>
      <c r="H1371" s="79"/>
      <c r="I1371" s="79"/>
      <c r="J1371" s="79"/>
      <c r="K1371" s="79"/>
      <c r="L1371" s="79"/>
      <c r="M1371" s="79"/>
      <c r="N1371" s="50"/>
      <c r="O1371" s="82"/>
      <c r="P1371" s="70"/>
      <c r="Q1371" s="70"/>
      <c r="R1371" s="70"/>
      <c r="S1371" s="70"/>
    </row>
    <row r="1372" ht="15.75" customHeight="1">
      <c r="B1372" s="78"/>
      <c r="C1372" s="79"/>
      <c r="D1372" s="79"/>
      <c r="E1372" s="80"/>
      <c r="F1372" s="81"/>
      <c r="G1372" s="79"/>
      <c r="H1372" s="79"/>
      <c r="I1372" s="79"/>
      <c r="J1372" s="79"/>
      <c r="K1372" s="79"/>
      <c r="L1372" s="79"/>
      <c r="M1372" s="79"/>
      <c r="N1372" s="50"/>
      <c r="O1372" s="82"/>
      <c r="P1372" s="70"/>
      <c r="Q1372" s="70"/>
      <c r="R1372" s="70"/>
      <c r="S1372" s="70"/>
    </row>
    <row r="1373" ht="15.75" customHeight="1">
      <c r="B1373" s="78"/>
      <c r="C1373" s="79"/>
      <c r="D1373" s="79"/>
      <c r="E1373" s="80"/>
      <c r="F1373" s="81"/>
      <c r="G1373" s="79"/>
      <c r="H1373" s="79"/>
      <c r="I1373" s="79"/>
      <c r="J1373" s="79"/>
      <c r="K1373" s="79"/>
      <c r="L1373" s="79"/>
      <c r="M1373" s="79"/>
      <c r="N1373" s="50"/>
      <c r="O1373" s="82"/>
      <c r="P1373" s="70"/>
      <c r="Q1373" s="70"/>
      <c r="R1373" s="70"/>
      <c r="S1373" s="70"/>
    </row>
    <row r="1374" ht="15.75" customHeight="1">
      <c r="B1374" s="78"/>
      <c r="C1374" s="79"/>
      <c r="D1374" s="79"/>
      <c r="E1374" s="80"/>
      <c r="F1374" s="81"/>
      <c r="G1374" s="79"/>
      <c r="H1374" s="79"/>
      <c r="I1374" s="79"/>
      <c r="J1374" s="79"/>
      <c r="K1374" s="79"/>
      <c r="L1374" s="79"/>
      <c r="M1374" s="79"/>
      <c r="N1374" s="50"/>
      <c r="O1374" s="82"/>
      <c r="P1374" s="70"/>
      <c r="Q1374" s="70"/>
      <c r="R1374" s="70"/>
      <c r="S1374" s="70"/>
    </row>
    <row r="1375" ht="15.75" customHeight="1">
      <c r="B1375" s="78"/>
      <c r="C1375" s="79"/>
      <c r="D1375" s="79"/>
      <c r="E1375" s="80"/>
      <c r="F1375" s="81"/>
      <c r="G1375" s="79"/>
      <c r="H1375" s="79"/>
      <c r="I1375" s="79"/>
      <c r="J1375" s="79"/>
      <c r="K1375" s="79"/>
      <c r="L1375" s="79"/>
      <c r="M1375" s="79"/>
      <c r="N1375" s="50"/>
      <c r="O1375" s="82"/>
      <c r="P1375" s="70"/>
      <c r="Q1375" s="70"/>
      <c r="R1375" s="70"/>
      <c r="S1375" s="70"/>
    </row>
    <row r="1376" ht="15.75" customHeight="1">
      <c r="B1376" s="78"/>
      <c r="C1376" s="79"/>
      <c r="D1376" s="79"/>
      <c r="E1376" s="80"/>
      <c r="F1376" s="81"/>
      <c r="G1376" s="79"/>
      <c r="H1376" s="79"/>
      <c r="I1376" s="79"/>
      <c r="J1376" s="79"/>
      <c r="K1376" s="79"/>
      <c r="L1376" s="79"/>
      <c r="M1376" s="79"/>
      <c r="N1376" s="50"/>
      <c r="O1376" s="82"/>
      <c r="P1376" s="70"/>
      <c r="Q1376" s="70"/>
      <c r="R1376" s="70"/>
      <c r="S1376" s="70"/>
    </row>
    <row r="1377" ht="15.75" customHeight="1">
      <c r="B1377" s="78"/>
      <c r="C1377" s="79"/>
      <c r="D1377" s="79"/>
      <c r="E1377" s="80"/>
      <c r="F1377" s="81"/>
      <c r="G1377" s="79"/>
      <c r="H1377" s="79"/>
      <c r="I1377" s="79"/>
      <c r="J1377" s="79"/>
      <c r="K1377" s="79"/>
      <c r="L1377" s="79"/>
      <c r="M1377" s="79"/>
      <c r="N1377" s="50"/>
      <c r="O1377" s="82"/>
      <c r="P1377" s="70"/>
      <c r="Q1377" s="70"/>
      <c r="R1377" s="70"/>
      <c r="S1377" s="70"/>
    </row>
    <row r="1378" ht="15.75" customHeight="1">
      <c r="B1378" s="78"/>
      <c r="C1378" s="79"/>
      <c r="D1378" s="79"/>
      <c r="E1378" s="80"/>
      <c r="F1378" s="81"/>
      <c r="G1378" s="79"/>
      <c r="H1378" s="79"/>
      <c r="I1378" s="79"/>
      <c r="J1378" s="79"/>
      <c r="K1378" s="79"/>
      <c r="L1378" s="79"/>
      <c r="M1378" s="79"/>
      <c r="N1378" s="50"/>
      <c r="O1378" s="82"/>
      <c r="P1378" s="70"/>
      <c r="Q1378" s="70"/>
      <c r="R1378" s="70"/>
      <c r="S1378" s="70"/>
    </row>
    <row r="1379" ht="15.75" customHeight="1">
      <c r="B1379" s="78"/>
      <c r="C1379" s="79"/>
      <c r="D1379" s="79"/>
      <c r="E1379" s="80"/>
      <c r="F1379" s="81"/>
      <c r="G1379" s="79"/>
      <c r="H1379" s="79"/>
      <c r="I1379" s="79"/>
      <c r="J1379" s="79"/>
      <c r="K1379" s="79"/>
      <c r="L1379" s="79"/>
      <c r="M1379" s="79"/>
      <c r="N1379" s="50"/>
      <c r="O1379" s="82"/>
      <c r="P1379" s="70"/>
      <c r="Q1379" s="70"/>
      <c r="R1379" s="70"/>
      <c r="S1379" s="70"/>
    </row>
    <row r="1380" ht="15.75" customHeight="1">
      <c r="B1380" s="78"/>
      <c r="C1380" s="79"/>
      <c r="D1380" s="79"/>
      <c r="E1380" s="80"/>
      <c r="F1380" s="81"/>
      <c r="G1380" s="79"/>
      <c r="H1380" s="79"/>
      <c r="I1380" s="79"/>
      <c r="J1380" s="79"/>
      <c r="K1380" s="79"/>
      <c r="L1380" s="79"/>
      <c r="M1380" s="79"/>
      <c r="N1380" s="50"/>
      <c r="O1380" s="82"/>
      <c r="P1380" s="70"/>
      <c r="Q1380" s="70"/>
      <c r="R1380" s="70"/>
      <c r="S1380" s="70"/>
    </row>
    <row r="1381" ht="15.75" customHeight="1">
      <c r="B1381" s="78"/>
      <c r="C1381" s="79"/>
      <c r="D1381" s="79"/>
      <c r="E1381" s="80"/>
      <c r="F1381" s="81"/>
      <c r="G1381" s="79"/>
      <c r="H1381" s="79"/>
      <c r="I1381" s="79"/>
      <c r="J1381" s="79"/>
      <c r="K1381" s="79"/>
      <c r="L1381" s="79"/>
      <c r="M1381" s="79"/>
      <c r="N1381" s="50"/>
      <c r="O1381" s="82"/>
      <c r="P1381" s="70"/>
      <c r="Q1381" s="70"/>
      <c r="R1381" s="70"/>
      <c r="S1381" s="70"/>
    </row>
    <row r="1382" ht="15.75" customHeight="1">
      <c r="B1382" s="78"/>
      <c r="C1382" s="79"/>
      <c r="D1382" s="79"/>
      <c r="E1382" s="80"/>
      <c r="F1382" s="81"/>
      <c r="G1382" s="79"/>
      <c r="H1382" s="79"/>
      <c r="I1382" s="79"/>
      <c r="J1382" s="79"/>
      <c r="K1382" s="79"/>
      <c r="L1382" s="79"/>
      <c r="M1382" s="79"/>
      <c r="N1382" s="50"/>
      <c r="O1382" s="82"/>
      <c r="P1382" s="70"/>
      <c r="Q1382" s="70"/>
      <c r="R1382" s="70"/>
      <c r="S1382" s="70"/>
    </row>
    <row r="1383" ht="15.75" customHeight="1">
      <c r="B1383" s="78"/>
      <c r="C1383" s="79"/>
      <c r="D1383" s="79"/>
      <c r="E1383" s="80"/>
      <c r="F1383" s="81"/>
      <c r="G1383" s="79"/>
      <c r="H1383" s="79"/>
      <c r="I1383" s="79"/>
      <c r="J1383" s="79"/>
      <c r="K1383" s="79"/>
      <c r="L1383" s="79"/>
      <c r="M1383" s="79"/>
      <c r="N1383" s="50"/>
      <c r="O1383" s="82"/>
      <c r="P1383" s="70"/>
      <c r="Q1383" s="70"/>
      <c r="R1383" s="70"/>
      <c r="S1383" s="70"/>
    </row>
    <row r="1384" ht="15.75" customHeight="1">
      <c r="B1384" s="78"/>
      <c r="C1384" s="79"/>
      <c r="D1384" s="79"/>
      <c r="E1384" s="80"/>
      <c r="F1384" s="81"/>
      <c r="G1384" s="79"/>
      <c r="H1384" s="79"/>
      <c r="I1384" s="79"/>
      <c r="J1384" s="79"/>
      <c r="K1384" s="79"/>
      <c r="L1384" s="79"/>
      <c r="M1384" s="79"/>
      <c r="N1384" s="50"/>
      <c r="O1384" s="82"/>
      <c r="P1384" s="70"/>
      <c r="Q1384" s="70"/>
      <c r="R1384" s="70"/>
      <c r="S1384" s="70"/>
    </row>
    <row r="1385" ht="15.75" customHeight="1">
      <c r="B1385" s="78"/>
      <c r="C1385" s="79"/>
      <c r="D1385" s="79"/>
      <c r="E1385" s="80"/>
      <c r="F1385" s="81"/>
      <c r="G1385" s="79"/>
      <c r="H1385" s="79"/>
      <c r="I1385" s="79"/>
      <c r="J1385" s="79"/>
      <c r="K1385" s="79"/>
      <c r="L1385" s="79"/>
      <c r="M1385" s="79"/>
      <c r="N1385" s="50"/>
      <c r="O1385" s="82"/>
      <c r="P1385" s="70"/>
      <c r="Q1385" s="70"/>
      <c r="R1385" s="70"/>
      <c r="S1385" s="70"/>
    </row>
    <row r="1386" ht="15.75" customHeight="1">
      <c r="B1386" s="78"/>
      <c r="C1386" s="79"/>
      <c r="D1386" s="79"/>
      <c r="E1386" s="80"/>
      <c r="F1386" s="81"/>
      <c r="G1386" s="79"/>
      <c r="H1386" s="79"/>
      <c r="I1386" s="79"/>
      <c r="J1386" s="79"/>
      <c r="K1386" s="79"/>
      <c r="L1386" s="79"/>
      <c r="M1386" s="79"/>
      <c r="N1386" s="50"/>
      <c r="O1386" s="82"/>
      <c r="P1386" s="70"/>
      <c r="Q1386" s="70"/>
      <c r="R1386" s="70"/>
      <c r="S1386" s="70"/>
    </row>
    <row r="1387" ht="15.75" customHeight="1">
      <c r="B1387" s="78"/>
      <c r="C1387" s="79"/>
      <c r="D1387" s="79"/>
      <c r="E1387" s="80"/>
      <c r="F1387" s="81"/>
      <c r="G1387" s="79"/>
      <c r="H1387" s="79"/>
      <c r="I1387" s="79"/>
      <c r="J1387" s="79"/>
      <c r="K1387" s="79"/>
      <c r="L1387" s="79"/>
      <c r="M1387" s="79"/>
      <c r="N1387" s="50"/>
      <c r="O1387" s="82"/>
      <c r="P1387" s="70"/>
      <c r="Q1387" s="70"/>
      <c r="R1387" s="70"/>
      <c r="S1387" s="70"/>
    </row>
    <row r="1388" ht="15.75" customHeight="1">
      <c r="B1388" s="78"/>
      <c r="C1388" s="79"/>
      <c r="D1388" s="79"/>
      <c r="E1388" s="80"/>
      <c r="F1388" s="81"/>
      <c r="G1388" s="79"/>
      <c r="H1388" s="79"/>
      <c r="I1388" s="79"/>
      <c r="J1388" s="79"/>
      <c r="K1388" s="79"/>
      <c r="L1388" s="79"/>
      <c r="M1388" s="79"/>
      <c r="N1388" s="50"/>
      <c r="O1388" s="82"/>
      <c r="P1388" s="70"/>
      <c r="Q1388" s="70"/>
      <c r="R1388" s="70"/>
      <c r="S1388" s="70"/>
    </row>
    <row r="1389" ht="15.75" customHeight="1">
      <c r="B1389" s="78"/>
      <c r="C1389" s="79"/>
      <c r="D1389" s="79"/>
      <c r="E1389" s="80"/>
      <c r="F1389" s="81"/>
      <c r="G1389" s="79"/>
      <c r="H1389" s="79"/>
      <c r="I1389" s="79"/>
      <c r="J1389" s="79"/>
      <c r="K1389" s="79"/>
      <c r="L1389" s="79"/>
      <c r="M1389" s="79"/>
      <c r="N1389" s="50"/>
      <c r="O1389" s="82"/>
      <c r="P1389" s="70"/>
      <c r="Q1389" s="70"/>
      <c r="R1389" s="70"/>
      <c r="S1389" s="70"/>
    </row>
    <row r="1390" ht="15.75" customHeight="1">
      <c r="B1390" s="78"/>
      <c r="C1390" s="79"/>
      <c r="D1390" s="79"/>
      <c r="E1390" s="80"/>
      <c r="F1390" s="81"/>
      <c r="G1390" s="79"/>
      <c r="H1390" s="79"/>
      <c r="I1390" s="79"/>
      <c r="J1390" s="79"/>
      <c r="K1390" s="79"/>
      <c r="L1390" s="79"/>
      <c r="M1390" s="79"/>
      <c r="N1390" s="50"/>
      <c r="O1390" s="82"/>
      <c r="P1390" s="70"/>
      <c r="Q1390" s="70"/>
      <c r="R1390" s="70"/>
      <c r="S1390" s="70"/>
    </row>
    <row r="1391" ht="15.75" customHeight="1">
      <c r="B1391" s="78"/>
      <c r="C1391" s="79"/>
      <c r="D1391" s="79"/>
      <c r="E1391" s="80"/>
      <c r="F1391" s="81"/>
      <c r="G1391" s="79"/>
      <c r="H1391" s="79"/>
      <c r="I1391" s="79"/>
      <c r="J1391" s="79"/>
      <c r="K1391" s="79"/>
      <c r="L1391" s="79"/>
      <c r="M1391" s="79"/>
      <c r="N1391" s="50"/>
      <c r="O1391" s="82"/>
      <c r="P1391" s="70"/>
      <c r="Q1391" s="70"/>
      <c r="R1391" s="70"/>
      <c r="S1391" s="70"/>
    </row>
    <row r="1392" ht="15.75" customHeight="1">
      <c r="B1392" s="78"/>
      <c r="C1392" s="79"/>
      <c r="D1392" s="79"/>
      <c r="E1392" s="80"/>
      <c r="F1392" s="81"/>
      <c r="G1392" s="79"/>
      <c r="H1392" s="79"/>
      <c r="I1392" s="79"/>
      <c r="J1392" s="79"/>
      <c r="K1392" s="79"/>
      <c r="L1392" s="79"/>
      <c r="M1392" s="79"/>
      <c r="N1392" s="50"/>
      <c r="O1392" s="82"/>
      <c r="P1392" s="70"/>
      <c r="Q1392" s="70"/>
      <c r="R1392" s="70"/>
      <c r="S1392" s="70"/>
    </row>
    <row r="1393" ht="15.75" customHeight="1">
      <c r="B1393" s="78"/>
      <c r="C1393" s="79"/>
      <c r="D1393" s="79"/>
      <c r="E1393" s="80"/>
      <c r="F1393" s="81"/>
      <c r="G1393" s="79"/>
      <c r="H1393" s="79"/>
      <c r="I1393" s="79"/>
      <c r="J1393" s="79"/>
      <c r="K1393" s="79"/>
      <c r="L1393" s="79"/>
      <c r="M1393" s="79"/>
      <c r="N1393" s="50"/>
      <c r="O1393" s="82"/>
      <c r="P1393" s="70"/>
      <c r="Q1393" s="70"/>
      <c r="R1393" s="70"/>
      <c r="S1393" s="70"/>
    </row>
    <row r="1394" ht="15.75" customHeight="1">
      <c r="B1394" s="78"/>
      <c r="C1394" s="79"/>
      <c r="D1394" s="79"/>
      <c r="E1394" s="80"/>
      <c r="F1394" s="81"/>
      <c r="G1394" s="79"/>
      <c r="H1394" s="79"/>
      <c r="I1394" s="79"/>
      <c r="J1394" s="79"/>
      <c r="K1394" s="79"/>
      <c r="L1394" s="79"/>
      <c r="M1394" s="79"/>
      <c r="N1394" s="50"/>
      <c r="O1394" s="82"/>
      <c r="P1394" s="70"/>
      <c r="Q1394" s="70"/>
      <c r="R1394" s="70"/>
      <c r="S1394" s="70"/>
    </row>
    <row r="1395" ht="15.75" customHeight="1">
      <c r="B1395" s="78"/>
      <c r="C1395" s="79"/>
      <c r="D1395" s="79"/>
      <c r="E1395" s="80"/>
      <c r="F1395" s="81"/>
      <c r="G1395" s="79"/>
      <c r="H1395" s="79"/>
      <c r="I1395" s="79"/>
      <c r="J1395" s="79"/>
      <c r="K1395" s="79"/>
      <c r="L1395" s="79"/>
      <c r="M1395" s="79"/>
      <c r="N1395" s="50"/>
      <c r="O1395" s="82"/>
      <c r="P1395" s="70"/>
      <c r="Q1395" s="70"/>
      <c r="R1395" s="70"/>
      <c r="S1395" s="70"/>
    </row>
    <row r="1396" ht="15.75" customHeight="1">
      <c r="B1396" s="78"/>
      <c r="C1396" s="79"/>
      <c r="D1396" s="79"/>
      <c r="E1396" s="80"/>
      <c r="F1396" s="81"/>
      <c r="G1396" s="79"/>
      <c r="H1396" s="79"/>
      <c r="I1396" s="79"/>
      <c r="J1396" s="79"/>
      <c r="K1396" s="79"/>
      <c r="L1396" s="79"/>
      <c r="M1396" s="79"/>
      <c r="N1396" s="50"/>
      <c r="O1396" s="82"/>
      <c r="P1396" s="70"/>
      <c r="Q1396" s="70"/>
      <c r="R1396" s="70"/>
      <c r="S1396" s="70"/>
    </row>
    <row r="1397" ht="15.75" customHeight="1">
      <c r="B1397" s="78"/>
      <c r="C1397" s="79"/>
      <c r="D1397" s="79"/>
      <c r="E1397" s="80"/>
      <c r="F1397" s="81"/>
      <c r="G1397" s="79"/>
      <c r="H1397" s="79"/>
      <c r="I1397" s="79"/>
      <c r="J1397" s="79"/>
      <c r="K1397" s="79"/>
      <c r="L1397" s="79"/>
      <c r="M1397" s="79"/>
      <c r="N1397" s="50"/>
      <c r="O1397" s="82"/>
      <c r="P1397" s="70"/>
      <c r="Q1397" s="70"/>
      <c r="R1397" s="70"/>
      <c r="S1397" s="70"/>
    </row>
    <row r="1398" ht="15.75" customHeight="1">
      <c r="B1398" s="78"/>
      <c r="C1398" s="79"/>
      <c r="D1398" s="79"/>
      <c r="E1398" s="80"/>
      <c r="F1398" s="81"/>
      <c r="G1398" s="79"/>
      <c r="H1398" s="79"/>
      <c r="I1398" s="79"/>
      <c r="J1398" s="79"/>
      <c r="K1398" s="79"/>
      <c r="L1398" s="79"/>
      <c r="M1398" s="79"/>
      <c r="N1398" s="50"/>
      <c r="O1398" s="82"/>
      <c r="P1398" s="70"/>
      <c r="Q1398" s="70"/>
      <c r="R1398" s="70"/>
      <c r="S1398" s="70"/>
    </row>
    <row r="1399" ht="15.75" customHeight="1">
      <c r="B1399" s="78"/>
      <c r="C1399" s="79"/>
      <c r="D1399" s="79"/>
      <c r="E1399" s="80"/>
      <c r="F1399" s="81"/>
      <c r="G1399" s="79"/>
      <c r="H1399" s="79"/>
      <c r="I1399" s="79"/>
      <c r="J1399" s="79"/>
      <c r="K1399" s="79"/>
      <c r="L1399" s="79"/>
      <c r="M1399" s="79"/>
      <c r="N1399" s="50"/>
      <c r="O1399" s="82"/>
      <c r="P1399" s="70"/>
      <c r="Q1399" s="70"/>
      <c r="R1399" s="70"/>
      <c r="S1399" s="70"/>
    </row>
    <row r="1400" ht="15.75" customHeight="1">
      <c r="B1400" s="78"/>
      <c r="C1400" s="79"/>
      <c r="D1400" s="79"/>
      <c r="E1400" s="80"/>
      <c r="F1400" s="81"/>
      <c r="G1400" s="79"/>
      <c r="H1400" s="79"/>
      <c r="I1400" s="79"/>
      <c r="J1400" s="79"/>
      <c r="K1400" s="79"/>
      <c r="L1400" s="79"/>
      <c r="M1400" s="79"/>
      <c r="N1400" s="50"/>
      <c r="O1400" s="82"/>
      <c r="P1400" s="70"/>
      <c r="Q1400" s="70"/>
      <c r="R1400" s="70"/>
      <c r="S1400" s="70"/>
    </row>
    <row r="1401" ht="15.75" customHeight="1">
      <c r="B1401" s="78"/>
      <c r="C1401" s="79"/>
      <c r="D1401" s="79"/>
      <c r="E1401" s="80"/>
      <c r="F1401" s="81"/>
      <c r="G1401" s="79"/>
      <c r="H1401" s="79"/>
      <c r="I1401" s="79"/>
      <c r="J1401" s="79"/>
      <c r="K1401" s="79"/>
      <c r="L1401" s="79"/>
      <c r="M1401" s="79"/>
      <c r="N1401" s="50"/>
      <c r="O1401" s="82"/>
      <c r="P1401" s="70"/>
      <c r="Q1401" s="70"/>
      <c r="R1401" s="70"/>
      <c r="S1401" s="70"/>
    </row>
    <row r="1402" ht="15.75" customHeight="1">
      <c r="B1402" s="78"/>
      <c r="C1402" s="79"/>
      <c r="D1402" s="79"/>
      <c r="E1402" s="80"/>
      <c r="F1402" s="81"/>
      <c r="G1402" s="79"/>
      <c r="H1402" s="79"/>
      <c r="I1402" s="79"/>
      <c r="J1402" s="79"/>
      <c r="K1402" s="79"/>
      <c r="L1402" s="79"/>
      <c r="M1402" s="79"/>
      <c r="N1402" s="50"/>
      <c r="O1402" s="82"/>
      <c r="P1402" s="70"/>
      <c r="Q1402" s="70"/>
      <c r="R1402" s="70"/>
      <c r="S1402" s="70"/>
    </row>
    <row r="1403" ht="15.75" customHeight="1">
      <c r="B1403" s="78"/>
      <c r="C1403" s="79"/>
      <c r="D1403" s="79"/>
      <c r="E1403" s="80"/>
      <c r="F1403" s="81"/>
      <c r="G1403" s="79"/>
      <c r="H1403" s="79"/>
      <c r="I1403" s="79"/>
      <c r="J1403" s="79"/>
      <c r="K1403" s="79"/>
      <c r="L1403" s="79"/>
      <c r="M1403" s="79"/>
      <c r="N1403" s="50"/>
      <c r="O1403" s="82"/>
      <c r="P1403" s="70"/>
      <c r="Q1403" s="70"/>
      <c r="R1403" s="70"/>
      <c r="S1403" s="70"/>
    </row>
    <row r="1404" ht="15.75" customHeight="1">
      <c r="B1404" s="78"/>
      <c r="C1404" s="79"/>
      <c r="D1404" s="79"/>
      <c r="E1404" s="80"/>
      <c r="F1404" s="81"/>
      <c r="G1404" s="79"/>
      <c r="H1404" s="79"/>
      <c r="I1404" s="79"/>
      <c r="J1404" s="79"/>
      <c r="K1404" s="79"/>
      <c r="L1404" s="79"/>
      <c r="M1404" s="79"/>
      <c r="N1404" s="50"/>
      <c r="O1404" s="82"/>
      <c r="P1404" s="70"/>
      <c r="Q1404" s="70"/>
      <c r="R1404" s="70"/>
      <c r="S1404" s="70"/>
    </row>
    <row r="1405" ht="15.75" customHeight="1">
      <c r="B1405" s="78"/>
      <c r="C1405" s="79"/>
      <c r="D1405" s="79"/>
      <c r="E1405" s="80"/>
      <c r="F1405" s="81"/>
      <c r="G1405" s="79"/>
      <c r="H1405" s="79"/>
      <c r="I1405" s="79"/>
      <c r="J1405" s="79"/>
      <c r="K1405" s="79"/>
      <c r="L1405" s="79"/>
      <c r="M1405" s="79"/>
      <c r="N1405" s="50"/>
      <c r="O1405" s="82"/>
      <c r="P1405" s="70"/>
      <c r="Q1405" s="70"/>
      <c r="R1405" s="70"/>
      <c r="S1405" s="70"/>
    </row>
    <row r="1406" ht="15.75" customHeight="1">
      <c r="B1406" s="78"/>
      <c r="C1406" s="79"/>
      <c r="D1406" s="79"/>
      <c r="E1406" s="80"/>
      <c r="F1406" s="81"/>
      <c r="G1406" s="79"/>
      <c r="H1406" s="79"/>
      <c r="I1406" s="79"/>
      <c r="J1406" s="79"/>
      <c r="K1406" s="79"/>
      <c r="L1406" s="79"/>
      <c r="M1406" s="79"/>
      <c r="N1406" s="50"/>
      <c r="O1406" s="82"/>
      <c r="P1406" s="70"/>
      <c r="Q1406" s="70"/>
      <c r="R1406" s="70"/>
      <c r="S1406" s="70"/>
    </row>
    <row r="1407" ht="15.75" customHeight="1">
      <c r="B1407" s="78"/>
      <c r="C1407" s="79"/>
      <c r="D1407" s="79"/>
      <c r="E1407" s="80"/>
      <c r="F1407" s="81"/>
      <c r="G1407" s="79"/>
      <c r="H1407" s="79"/>
      <c r="I1407" s="79"/>
      <c r="J1407" s="79"/>
      <c r="K1407" s="79"/>
      <c r="L1407" s="79"/>
      <c r="M1407" s="79"/>
      <c r="N1407" s="50"/>
      <c r="O1407" s="82"/>
      <c r="P1407" s="70"/>
      <c r="Q1407" s="70"/>
      <c r="R1407" s="70"/>
      <c r="S1407" s="70"/>
    </row>
    <row r="1408" ht="15.75" customHeight="1">
      <c r="B1408" s="78"/>
      <c r="C1408" s="79"/>
      <c r="D1408" s="79"/>
      <c r="E1408" s="80"/>
      <c r="F1408" s="81"/>
      <c r="G1408" s="79"/>
      <c r="H1408" s="79"/>
      <c r="I1408" s="79"/>
      <c r="J1408" s="79"/>
      <c r="K1408" s="79"/>
      <c r="L1408" s="79"/>
      <c r="M1408" s="79"/>
      <c r="N1408" s="50"/>
      <c r="O1408" s="82"/>
      <c r="P1408" s="70"/>
      <c r="Q1408" s="70"/>
      <c r="R1408" s="70"/>
      <c r="S1408" s="70"/>
    </row>
    <row r="1409" ht="15.75" customHeight="1">
      <c r="B1409" s="78"/>
      <c r="C1409" s="79"/>
      <c r="D1409" s="79"/>
      <c r="E1409" s="80"/>
      <c r="F1409" s="81"/>
      <c r="G1409" s="79"/>
      <c r="H1409" s="79"/>
      <c r="I1409" s="79"/>
      <c r="J1409" s="79"/>
      <c r="K1409" s="79"/>
      <c r="L1409" s="79"/>
      <c r="M1409" s="79"/>
      <c r="N1409" s="50"/>
      <c r="O1409" s="82"/>
      <c r="P1409" s="70"/>
      <c r="Q1409" s="70"/>
      <c r="R1409" s="70"/>
      <c r="S1409" s="70"/>
    </row>
    <row r="1410" ht="15.75" customHeight="1">
      <c r="B1410" s="78"/>
      <c r="C1410" s="79"/>
      <c r="D1410" s="79"/>
      <c r="E1410" s="80"/>
      <c r="F1410" s="81"/>
      <c r="G1410" s="79"/>
      <c r="H1410" s="79"/>
      <c r="I1410" s="79"/>
      <c r="J1410" s="79"/>
      <c r="K1410" s="79"/>
      <c r="L1410" s="79"/>
      <c r="M1410" s="79"/>
      <c r="N1410" s="50"/>
      <c r="O1410" s="82"/>
      <c r="P1410" s="70"/>
      <c r="Q1410" s="70"/>
      <c r="R1410" s="70"/>
      <c r="S1410" s="70"/>
    </row>
    <row r="1411" ht="15.75" customHeight="1">
      <c r="B1411" s="78"/>
      <c r="C1411" s="79"/>
      <c r="D1411" s="79"/>
      <c r="E1411" s="80"/>
      <c r="F1411" s="81"/>
      <c r="G1411" s="79"/>
      <c r="H1411" s="79"/>
      <c r="I1411" s="79"/>
      <c r="J1411" s="79"/>
      <c r="K1411" s="79"/>
      <c r="L1411" s="79"/>
      <c r="M1411" s="79"/>
      <c r="N1411" s="50"/>
      <c r="O1411" s="82"/>
      <c r="P1411" s="70"/>
      <c r="Q1411" s="70"/>
      <c r="R1411" s="70"/>
      <c r="S1411" s="70"/>
    </row>
    <row r="1412" ht="15.75" customHeight="1">
      <c r="B1412" s="78"/>
      <c r="C1412" s="79"/>
      <c r="D1412" s="79"/>
      <c r="E1412" s="80"/>
      <c r="F1412" s="81"/>
      <c r="G1412" s="79"/>
      <c r="H1412" s="79"/>
      <c r="I1412" s="79"/>
      <c r="J1412" s="79"/>
      <c r="K1412" s="79"/>
      <c r="L1412" s="79"/>
      <c r="M1412" s="79"/>
      <c r="N1412" s="50"/>
      <c r="O1412" s="82"/>
      <c r="P1412" s="70"/>
      <c r="Q1412" s="70"/>
      <c r="R1412" s="70"/>
      <c r="S1412" s="70"/>
    </row>
    <row r="1413" ht="15.75" customHeight="1">
      <c r="B1413" s="78"/>
      <c r="C1413" s="79"/>
      <c r="D1413" s="79"/>
      <c r="E1413" s="80"/>
      <c r="F1413" s="81"/>
      <c r="G1413" s="79"/>
      <c r="H1413" s="79"/>
      <c r="I1413" s="79"/>
      <c r="J1413" s="79"/>
      <c r="K1413" s="79"/>
      <c r="L1413" s="79"/>
      <c r="M1413" s="79"/>
      <c r="N1413" s="50"/>
      <c r="O1413" s="82"/>
      <c r="P1413" s="70"/>
      <c r="Q1413" s="70"/>
      <c r="R1413" s="70"/>
      <c r="S1413" s="70"/>
    </row>
    <row r="1414" ht="15.75" customHeight="1">
      <c r="B1414" s="78"/>
      <c r="C1414" s="79"/>
      <c r="D1414" s="79"/>
      <c r="E1414" s="80"/>
      <c r="F1414" s="81"/>
      <c r="G1414" s="79"/>
      <c r="H1414" s="79"/>
      <c r="I1414" s="79"/>
      <c r="J1414" s="79"/>
      <c r="K1414" s="79"/>
      <c r="L1414" s="79"/>
      <c r="M1414" s="79"/>
      <c r="N1414" s="50"/>
      <c r="O1414" s="82"/>
      <c r="P1414" s="70"/>
      <c r="Q1414" s="70"/>
      <c r="R1414" s="70"/>
      <c r="S1414" s="70"/>
    </row>
    <row r="1415" ht="15.75" customHeight="1">
      <c r="B1415" s="78"/>
      <c r="C1415" s="79"/>
      <c r="D1415" s="79"/>
      <c r="E1415" s="80"/>
      <c r="F1415" s="81"/>
      <c r="G1415" s="79"/>
      <c r="H1415" s="79"/>
      <c r="I1415" s="79"/>
      <c r="J1415" s="79"/>
      <c r="K1415" s="79"/>
      <c r="L1415" s="79"/>
      <c r="M1415" s="79"/>
      <c r="N1415" s="50"/>
      <c r="O1415" s="82"/>
      <c r="P1415" s="70"/>
      <c r="Q1415" s="70"/>
      <c r="R1415" s="70"/>
      <c r="S1415" s="70"/>
    </row>
    <row r="1416" ht="15.75" customHeight="1">
      <c r="B1416" s="78"/>
      <c r="C1416" s="79"/>
      <c r="D1416" s="79"/>
      <c r="E1416" s="80"/>
      <c r="F1416" s="81"/>
      <c r="G1416" s="79"/>
      <c r="H1416" s="79"/>
      <c r="I1416" s="79"/>
      <c r="J1416" s="79"/>
      <c r="K1416" s="79"/>
      <c r="L1416" s="79"/>
      <c r="M1416" s="79"/>
      <c r="N1416" s="50"/>
      <c r="O1416" s="82"/>
      <c r="P1416" s="70"/>
      <c r="Q1416" s="70"/>
      <c r="R1416" s="70"/>
      <c r="S1416" s="70"/>
    </row>
    <row r="1417" ht="15.75" customHeight="1">
      <c r="B1417" s="78"/>
      <c r="C1417" s="79"/>
      <c r="D1417" s="79"/>
      <c r="E1417" s="80"/>
      <c r="F1417" s="81"/>
      <c r="G1417" s="79"/>
      <c r="H1417" s="79"/>
      <c r="I1417" s="79"/>
      <c r="J1417" s="79"/>
      <c r="K1417" s="79"/>
      <c r="L1417" s="79"/>
      <c r="M1417" s="79"/>
      <c r="N1417" s="50"/>
      <c r="O1417" s="82"/>
      <c r="P1417" s="70"/>
      <c r="Q1417" s="70"/>
      <c r="R1417" s="70"/>
      <c r="S1417" s="70"/>
    </row>
    <row r="1418" ht="15.75" customHeight="1">
      <c r="B1418" s="78"/>
      <c r="C1418" s="79"/>
      <c r="D1418" s="79"/>
      <c r="E1418" s="80"/>
      <c r="F1418" s="81"/>
      <c r="G1418" s="79"/>
      <c r="H1418" s="79"/>
      <c r="I1418" s="79"/>
      <c r="J1418" s="79"/>
      <c r="K1418" s="79"/>
      <c r="L1418" s="79"/>
      <c r="M1418" s="79"/>
      <c r="N1418" s="50"/>
      <c r="O1418" s="82"/>
      <c r="P1418" s="70"/>
      <c r="Q1418" s="70"/>
      <c r="R1418" s="70"/>
      <c r="S1418" s="70"/>
    </row>
    <row r="1419" ht="15.75" customHeight="1">
      <c r="B1419" s="78"/>
      <c r="C1419" s="79"/>
      <c r="D1419" s="79"/>
      <c r="E1419" s="80"/>
      <c r="F1419" s="81"/>
      <c r="G1419" s="79"/>
      <c r="H1419" s="79"/>
      <c r="I1419" s="79"/>
      <c r="J1419" s="79"/>
      <c r="K1419" s="79"/>
      <c r="L1419" s="79"/>
      <c r="M1419" s="79"/>
      <c r="N1419" s="50"/>
      <c r="O1419" s="82"/>
      <c r="P1419" s="70"/>
      <c r="Q1419" s="70"/>
      <c r="R1419" s="70"/>
      <c r="S1419" s="70"/>
    </row>
    <row r="1420" ht="15.75" customHeight="1">
      <c r="B1420" s="78"/>
      <c r="C1420" s="79"/>
      <c r="D1420" s="79"/>
      <c r="E1420" s="80"/>
      <c r="F1420" s="81"/>
      <c r="G1420" s="79"/>
      <c r="H1420" s="79"/>
      <c r="I1420" s="79"/>
      <c r="J1420" s="79"/>
      <c r="K1420" s="79"/>
      <c r="L1420" s="79"/>
      <c r="M1420" s="79"/>
      <c r="N1420" s="50"/>
      <c r="O1420" s="82"/>
      <c r="P1420" s="70"/>
      <c r="Q1420" s="70"/>
      <c r="R1420" s="70"/>
      <c r="S1420" s="70"/>
    </row>
    <row r="1421" ht="15.75" customHeight="1">
      <c r="B1421" s="78"/>
      <c r="C1421" s="79"/>
      <c r="D1421" s="79"/>
      <c r="E1421" s="80"/>
      <c r="F1421" s="81"/>
      <c r="G1421" s="79"/>
      <c r="H1421" s="79"/>
      <c r="I1421" s="79"/>
      <c r="J1421" s="79"/>
      <c r="K1421" s="79"/>
      <c r="L1421" s="79"/>
      <c r="M1421" s="79"/>
      <c r="N1421" s="50"/>
      <c r="O1421" s="82"/>
      <c r="P1421" s="70"/>
      <c r="Q1421" s="70"/>
      <c r="R1421" s="70"/>
      <c r="S1421" s="70"/>
    </row>
    <row r="1422" ht="15.75" customHeight="1">
      <c r="B1422" s="78"/>
      <c r="C1422" s="79"/>
      <c r="D1422" s="79"/>
      <c r="E1422" s="80"/>
      <c r="F1422" s="81"/>
      <c r="G1422" s="79"/>
      <c r="H1422" s="79"/>
      <c r="I1422" s="79"/>
      <c r="J1422" s="79"/>
      <c r="K1422" s="79"/>
      <c r="L1422" s="79"/>
      <c r="M1422" s="79"/>
      <c r="N1422" s="50"/>
      <c r="O1422" s="82"/>
      <c r="P1422" s="70"/>
      <c r="Q1422" s="70"/>
      <c r="R1422" s="70"/>
      <c r="S1422" s="70"/>
    </row>
    <row r="1423" ht="15.75" customHeight="1">
      <c r="B1423" s="78"/>
      <c r="C1423" s="79"/>
      <c r="D1423" s="79"/>
      <c r="E1423" s="80"/>
      <c r="F1423" s="81"/>
      <c r="G1423" s="79"/>
      <c r="H1423" s="79"/>
      <c r="I1423" s="79"/>
      <c r="J1423" s="79"/>
      <c r="K1423" s="79"/>
      <c r="L1423" s="79"/>
      <c r="M1423" s="79"/>
      <c r="N1423" s="50"/>
      <c r="O1423" s="82"/>
      <c r="P1423" s="70"/>
      <c r="Q1423" s="70"/>
      <c r="R1423" s="70"/>
      <c r="S1423" s="70"/>
    </row>
    <row r="1424" ht="15.75" customHeight="1">
      <c r="B1424" s="78"/>
      <c r="C1424" s="79"/>
      <c r="D1424" s="79"/>
      <c r="E1424" s="80"/>
      <c r="F1424" s="81"/>
      <c r="G1424" s="79"/>
      <c r="H1424" s="79"/>
      <c r="I1424" s="79"/>
      <c r="J1424" s="79"/>
      <c r="K1424" s="79"/>
      <c r="L1424" s="79"/>
      <c r="M1424" s="79"/>
      <c r="N1424" s="50"/>
      <c r="O1424" s="82"/>
      <c r="P1424" s="70"/>
      <c r="Q1424" s="70"/>
      <c r="R1424" s="70"/>
      <c r="S1424" s="70"/>
    </row>
    <row r="1425" ht="15.75" customHeight="1">
      <c r="B1425" s="78"/>
      <c r="C1425" s="79"/>
      <c r="D1425" s="79"/>
      <c r="E1425" s="80"/>
      <c r="F1425" s="81"/>
      <c r="G1425" s="79"/>
      <c r="H1425" s="79"/>
      <c r="I1425" s="79"/>
      <c r="J1425" s="79"/>
      <c r="K1425" s="79"/>
      <c r="L1425" s="79"/>
      <c r="M1425" s="79"/>
      <c r="N1425" s="50"/>
      <c r="O1425" s="82"/>
      <c r="P1425" s="70"/>
      <c r="Q1425" s="70"/>
      <c r="R1425" s="70"/>
      <c r="S1425" s="70"/>
    </row>
    <row r="1426" ht="15.75" customHeight="1">
      <c r="B1426" s="78"/>
      <c r="C1426" s="79"/>
      <c r="D1426" s="79"/>
      <c r="E1426" s="80"/>
      <c r="F1426" s="81"/>
      <c r="G1426" s="79"/>
      <c r="H1426" s="79"/>
      <c r="I1426" s="79"/>
      <c r="J1426" s="79"/>
      <c r="K1426" s="79"/>
      <c r="L1426" s="79"/>
      <c r="M1426" s="79"/>
      <c r="N1426" s="50"/>
      <c r="O1426" s="82"/>
      <c r="P1426" s="70"/>
      <c r="Q1426" s="70"/>
      <c r="R1426" s="70"/>
      <c r="S1426" s="70"/>
    </row>
    <row r="1427" ht="15.75" customHeight="1">
      <c r="B1427" s="78"/>
      <c r="C1427" s="79"/>
      <c r="D1427" s="79"/>
      <c r="E1427" s="80"/>
      <c r="F1427" s="81"/>
      <c r="G1427" s="79"/>
      <c r="H1427" s="79"/>
      <c r="I1427" s="79"/>
      <c r="J1427" s="79"/>
      <c r="K1427" s="79"/>
      <c r="L1427" s="79"/>
      <c r="M1427" s="79"/>
      <c r="N1427" s="50"/>
      <c r="O1427" s="82"/>
      <c r="P1427" s="70"/>
      <c r="Q1427" s="70"/>
      <c r="R1427" s="70"/>
      <c r="S1427" s="70"/>
    </row>
    <row r="1428" ht="15.75" customHeight="1">
      <c r="B1428" s="78"/>
      <c r="C1428" s="79"/>
      <c r="D1428" s="79"/>
      <c r="E1428" s="80"/>
      <c r="F1428" s="81"/>
      <c r="G1428" s="79"/>
      <c r="H1428" s="79"/>
      <c r="I1428" s="79"/>
      <c r="J1428" s="79"/>
      <c r="K1428" s="79"/>
      <c r="L1428" s="79"/>
      <c r="M1428" s="79"/>
      <c r="N1428" s="50"/>
      <c r="O1428" s="82"/>
      <c r="P1428" s="70"/>
      <c r="Q1428" s="70"/>
      <c r="R1428" s="70"/>
      <c r="S1428" s="70"/>
    </row>
    <row r="1429" ht="15.75" customHeight="1">
      <c r="B1429" s="78"/>
      <c r="C1429" s="79"/>
      <c r="D1429" s="79"/>
      <c r="E1429" s="80"/>
      <c r="F1429" s="81"/>
      <c r="G1429" s="79"/>
      <c r="H1429" s="79"/>
      <c r="I1429" s="79"/>
      <c r="J1429" s="79"/>
      <c r="K1429" s="79"/>
      <c r="L1429" s="79"/>
      <c r="M1429" s="79"/>
      <c r="N1429" s="50"/>
      <c r="O1429" s="82"/>
      <c r="P1429" s="70"/>
      <c r="Q1429" s="70"/>
      <c r="R1429" s="70"/>
      <c r="S1429" s="70"/>
    </row>
    <row r="1430" ht="15.75" customHeight="1">
      <c r="B1430" s="78"/>
      <c r="C1430" s="79"/>
      <c r="D1430" s="79"/>
      <c r="E1430" s="80"/>
      <c r="F1430" s="81"/>
      <c r="G1430" s="79"/>
      <c r="H1430" s="79"/>
      <c r="I1430" s="79"/>
      <c r="J1430" s="79"/>
      <c r="K1430" s="79"/>
      <c r="L1430" s="79"/>
      <c r="M1430" s="79"/>
      <c r="N1430" s="50"/>
      <c r="O1430" s="82"/>
      <c r="P1430" s="70"/>
      <c r="Q1430" s="70"/>
      <c r="R1430" s="70"/>
      <c r="S1430" s="70"/>
    </row>
    <row r="1431" ht="15.75" customHeight="1">
      <c r="B1431" s="78"/>
      <c r="C1431" s="79"/>
      <c r="D1431" s="79"/>
      <c r="E1431" s="80"/>
      <c r="F1431" s="81"/>
      <c r="G1431" s="79"/>
      <c r="H1431" s="79"/>
      <c r="I1431" s="79"/>
      <c r="J1431" s="79"/>
      <c r="K1431" s="79"/>
      <c r="L1431" s="79"/>
      <c r="M1431" s="79"/>
      <c r="N1431" s="50"/>
      <c r="O1431" s="82"/>
      <c r="P1431" s="70"/>
      <c r="Q1431" s="70"/>
      <c r="R1431" s="70"/>
      <c r="S1431" s="70"/>
    </row>
    <row r="1432" ht="15.75" customHeight="1">
      <c r="B1432" s="78"/>
      <c r="C1432" s="79"/>
      <c r="D1432" s="79"/>
      <c r="E1432" s="80"/>
      <c r="F1432" s="81"/>
      <c r="G1432" s="79"/>
      <c r="H1432" s="79"/>
      <c r="I1432" s="79"/>
      <c r="J1432" s="79"/>
      <c r="K1432" s="79"/>
      <c r="L1432" s="79"/>
      <c r="M1432" s="79"/>
      <c r="N1432" s="50"/>
      <c r="O1432" s="82"/>
      <c r="P1432" s="70"/>
      <c r="Q1432" s="70"/>
      <c r="R1432" s="70"/>
      <c r="S1432" s="70"/>
    </row>
    <row r="1433" ht="15.75" customHeight="1">
      <c r="B1433" s="78"/>
      <c r="C1433" s="79"/>
      <c r="D1433" s="79"/>
      <c r="E1433" s="80"/>
      <c r="F1433" s="81"/>
      <c r="G1433" s="79"/>
      <c r="H1433" s="79"/>
      <c r="I1433" s="79"/>
      <c r="J1433" s="79"/>
      <c r="K1433" s="79"/>
      <c r="L1433" s="79"/>
      <c r="M1433" s="79"/>
      <c r="N1433" s="50"/>
      <c r="O1433" s="82"/>
      <c r="P1433" s="70"/>
      <c r="Q1433" s="70"/>
      <c r="R1433" s="70"/>
      <c r="S1433" s="70"/>
    </row>
    <row r="1434" ht="15.75" customHeight="1">
      <c r="B1434" s="78"/>
      <c r="C1434" s="79"/>
      <c r="D1434" s="79"/>
      <c r="E1434" s="80"/>
      <c r="F1434" s="81"/>
      <c r="G1434" s="79"/>
      <c r="H1434" s="79"/>
      <c r="I1434" s="79"/>
      <c r="J1434" s="79"/>
      <c r="K1434" s="79"/>
      <c r="L1434" s="79"/>
      <c r="M1434" s="79"/>
      <c r="N1434" s="50"/>
      <c r="O1434" s="82"/>
      <c r="P1434" s="70"/>
      <c r="Q1434" s="70"/>
      <c r="R1434" s="70"/>
      <c r="S1434" s="70"/>
    </row>
    <row r="1435" ht="15.75" customHeight="1">
      <c r="B1435" s="78"/>
      <c r="C1435" s="79"/>
      <c r="D1435" s="79"/>
      <c r="E1435" s="80"/>
      <c r="F1435" s="81"/>
      <c r="G1435" s="79"/>
      <c r="H1435" s="79"/>
      <c r="I1435" s="79"/>
      <c r="J1435" s="79"/>
      <c r="K1435" s="79"/>
      <c r="L1435" s="79"/>
      <c r="M1435" s="79"/>
      <c r="N1435" s="50"/>
      <c r="O1435" s="82"/>
      <c r="P1435" s="70"/>
      <c r="Q1435" s="70"/>
      <c r="R1435" s="70"/>
      <c r="S1435" s="70"/>
    </row>
    <row r="1436" ht="15.75" customHeight="1">
      <c r="B1436" s="78"/>
      <c r="C1436" s="79"/>
      <c r="D1436" s="79"/>
      <c r="E1436" s="80"/>
      <c r="F1436" s="81"/>
      <c r="G1436" s="79"/>
      <c r="H1436" s="79"/>
      <c r="I1436" s="79"/>
      <c r="J1436" s="79"/>
      <c r="K1436" s="79"/>
      <c r="L1436" s="79"/>
      <c r="M1436" s="79"/>
      <c r="N1436" s="50"/>
      <c r="O1436" s="82"/>
      <c r="P1436" s="70"/>
      <c r="Q1436" s="70"/>
      <c r="R1436" s="70"/>
      <c r="S1436" s="70"/>
    </row>
    <row r="1437" ht="15.75" customHeight="1">
      <c r="B1437" s="78"/>
      <c r="C1437" s="79"/>
      <c r="D1437" s="79"/>
      <c r="E1437" s="80"/>
      <c r="F1437" s="81"/>
      <c r="G1437" s="79"/>
      <c r="H1437" s="79"/>
      <c r="I1437" s="79"/>
      <c r="J1437" s="79"/>
      <c r="K1437" s="79"/>
      <c r="L1437" s="79"/>
      <c r="M1437" s="79"/>
      <c r="N1437" s="50"/>
      <c r="O1437" s="82"/>
      <c r="P1437" s="70"/>
      <c r="Q1437" s="70"/>
      <c r="R1437" s="70"/>
      <c r="S1437" s="70"/>
    </row>
    <row r="1438" ht="15.75" customHeight="1">
      <c r="B1438" s="78"/>
      <c r="C1438" s="79"/>
      <c r="D1438" s="79"/>
      <c r="E1438" s="80"/>
      <c r="F1438" s="81"/>
      <c r="G1438" s="79"/>
      <c r="H1438" s="79"/>
      <c r="I1438" s="79"/>
      <c r="J1438" s="79"/>
      <c r="K1438" s="79"/>
      <c r="L1438" s="79"/>
      <c r="M1438" s="79"/>
      <c r="N1438" s="50"/>
      <c r="O1438" s="82"/>
      <c r="P1438" s="70"/>
      <c r="Q1438" s="70"/>
      <c r="R1438" s="70"/>
      <c r="S1438" s="70"/>
    </row>
    <row r="1439" ht="15.75" customHeight="1">
      <c r="B1439" s="78"/>
      <c r="C1439" s="79"/>
      <c r="D1439" s="79"/>
      <c r="E1439" s="80"/>
      <c r="F1439" s="81"/>
      <c r="G1439" s="79"/>
      <c r="H1439" s="79"/>
      <c r="I1439" s="79"/>
      <c r="J1439" s="79"/>
      <c r="K1439" s="79"/>
      <c r="L1439" s="79"/>
      <c r="M1439" s="79"/>
      <c r="N1439" s="50"/>
      <c r="O1439" s="82"/>
      <c r="P1439" s="70"/>
      <c r="Q1439" s="70"/>
      <c r="R1439" s="70"/>
      <c r="S1439" s="70"/>
    </row>
    <row r="1440" ht="15.75" customHeight="1">
      <c r="B1440" s="78"/>
      <c r="C1440" s="79"/>
      <c r="D1440" s="79"/>
      <c r="E1440" s="80"/>
      <c r="F1440" s="81"/>
      <c r="G1440" s="79"/>
      <c r="H1440" s="79"/>
      <c r="I1440" s="79"/>
      <c r="J1440" s="79"/>
      <c r="K1440" s="79"/>
      <c r="L1440" s="79"/>
      <c r="M1440" s="79"/>
      <c r="N1440" s="50"/>
      <c r="O1440" s="82"/>
      <c r="P1440" s="70"/>
      <c r="Q1440" s="70"/>
      <c r="R1440" s="70"/>
      <c r="S1440" s="70"/>
    </row>
    <row r="1441" ht="15.75" customHeight="1">
      <c r="B1441" s="78"/>
      <c r="C1441" s="79"/>
      <c r="D1441" s="79"/>
      <c r="E1441" s="80"/>
      <c r="F1441" s="81"/>
      <c r="G1441" s="79"/>
      <c r="H1441" s="79"/>
      <c r="I1441" s="79"/>
      <c r="J1441" s="79"/>
      <c r="K1441" s="79"/>
      <c r="L1441" s="79"/>
      <c r="M1441" s="79"/>
      <c r="N1441" s="50"/>
      <c r="O1441" s="82"/>
      <c r="P1441" s="70"/>
      <c r="Q1441" s="70"/>
      <c r="R1441" s="70"/>
      <c r="S1441" s="70"/>
    </row>
    <row r="1442" ht="15.75" customHeight="1">
      <c r="B1442" s="78"/>
      <c r="C1442" s="79"/>
      <c r="D1442" s="79"/>
      <c r="E1442" s="80"/>
      <c r="F1442" s="81"/>
      <c r="G1442" s="79"/>
      <c r="H1442" s="79"/>
      <c r="I1442" s="79"/>
      <c r="J1442" s="79"/>
      <c r="K1442" s="79"/>
      <c r="L1442" s="79"/>
      <c r="M1442" s="79"/>
      <c r="N1442" s="50"/>
      <c r="O1442" s="82"/>
      <c r="P1442" s="70"/>
      <c r="Q1442" s="70"/>
      <c r="R1442" s="70"/>
      <c r="S1442" s="70"/>
    </row>
    <row r="1443" ht="15.75" customHeight="1">
      <c r="B1443" s="78"/>
      <c r="C1443" s="79"/>
      <c r="D1443" s="79"/>
      <c r="E1443" s="80"/>
      <c r="F1443" s="81"/>
      <c r="G1443" s="79"/>
      <c r="H1443" s="79"/>
      <c r="I1443" s="79"/>
      <c r="J1443" s="79"/>
      <c r="K1443" s="79"/>
      <c r="L1443" s="79"/>
      <c r="M1443" s="79"/>
      <c r="N1443" s="50"/>
      <c r="O1443" s="82"/>
      <c r="P1443" s="70"/>
      <c r="Q1443" s="70"/>
      <c r="R1443" s="70"/>
      <c r="S1443" s="70"/>
    </row>
    <row r="1444" ht="15.75" customHeight="1">
      <c r="B1444" s="78"/>
      <c r="C1444" s="79"/>
      <c r="D1444" s="79"/>
      <c r="E1444" s="80"/>
      <c r="F1444" s="81"/>
      <c r="G1444" s="79"/>
      <c r="H1444" s="79"/>
      <c r="I1444" s="79"/>
      <c r="J1444" s="79"/>
      <c r="K1444" s="79"/>
      <c r="L1444" s="79"/>
      <c r="M1444" s="79"/>
      <c r="N1444" s="50"/>
      <c r="O1444" s="82"/>
      <c r="P1444" s="70"/>
      <c r="Q1444" s="70"/>
      <c r="R1444" s="70"/>
      <c r="S1444" s="70"/>
    </row>
    <row r="1445" ht="15.75" customHeight="1">
      <c r="B1445" s="78"/>
      <c r="C1445" s="79"/>
      <c r="D1445" s="79"/>
      <c r="E1445" s="80"/>
      <c r="F1445" s="81"/>
      <c r="G1445" s="79"/>
      <c r="H1445" s="79"/>
      <c r="I1445" s="79"/>
      <c r="J1445" s="79"/>
      <c r="K1445" s="79"/>
      <c r="L1445" s="79"/>
      <c r="M1445" s="79"/>
      <c r="N1445" s="50"/>
      <c r="O1445" s="82"/>
      <c r="P1445" s="70"/>
      <c r="Q1445" s="70"/>
      <c r="R1445" s="70"/>
      <c r="S1445" s="70"/>
    </row>
    <row r="1446" ht="15.75" customHeight="1">
      <c r="B1446" s="78"/>
      <c r="C1446" s="79"/>
      <c r="D1446" s="79"/>
      <c r="E1446" s="80"/>
      <c r="F1446" s="81"/>
      <c r="G1446" s="79"/>
      <c r="H1446" s="79"/>
      <c r="I1446" s="79"/>
      <c r="J1446" s="79"/>
      <c r="K1446" s="79"/>
      <c r="L1446" s="79"/>
      <c r="M1446" s="79"/>
      <c r="N1446" s="50"/>
      <c r="O1446" s="82"/>
      <c r="P1446" s="70"/>
      <c r="Q1446" s="70"/>
      <c r="R1446" s="70"/>
      <c r="S1446" s="70"/>
    </row>
    <row r="1447" ht="15.75" customHeight="1">
      <c r="B1447" s="78"/>
      <c r="C1447" s="79"/>
      <c r="D1447" s="79"/>
      <c r="E1447" s="80"/>
      <c r="F1447" s="81"/>
      <c r="G1447" s="79"/>
      <c r="H1447" s="79"/>
      <c r="I1447" s="79"/>
      <c r="J1447" s="79"/>
      <c r="K1447" s="79"/>
      <c r="L1447" s="79"/>
      <c r="M1447" s="79"/>
      <c r="N1447" s="50"/>
      <c r="O1447" s="82"/>
      <c r="P1447" s="70"/>
      <c r="Q1447" s="70"/>
      <c r="R1447" s="70"/>
      <c r="S1447" s="70"/>
    </row>
    <row r="1448" ht="15.75" customHeight="1">
      <c r="B1448" s="78"/>
      <c r="C1448" s="79"/>
      <c r="D1448" s="79"/>
      <c r="E1448" s="80"/>
      <c r="F1448" s="81"/>
      <c r="G1448" s="79"/>
      <c r="H1448" s="79"/>
      <c r="I1448" s="79"/>
      <c r="J1448" s="79"/>
      <c r="K1448" s="79"/>
      <c r="L1448" s="79"/>
      <c r="M1448" s="79"/>
      <c r="N1448" s="50"/>
      <c r="O1448" s="82"/>
      <c r="P1448" s="70"/>
      <c r="Q1448" s="70"/>
      <c r="R1448" s="70"/>
      <c r="S1448" s="70"/>
    </row>
    <row r="1449" ht="15.75" customHeight="1">
      <c r="B1449" s="78"/>
      <c r="C1449" s="79"/>
      <c r="D1449" s="79"/>
      <c r="E1449" s="80"/>
      <c r="F1449" s="81"/>
      <c r="G1449" s="79"/>
      <c r="H1449" s="79"/>
      <c r="I1449" s="79"/>
      <c r="J1449" s="79"/>
      <c r="K1449" s="79"/>
      <c r="L1449" s="79"/>
      <c r="M1449" s="79"/>
      <c r="N1449" s="50"/>
      <c r="O1449" s="82"/>
      <c r="P1449" s="70"/>
      <c r="Q1449" s="70"/>
      <c r="R1449" s="70"/>
      <c r="S1449" s="70"/>
    </row>
    <row r="1450" ht="15.75" customHeight="1">
      <c r="B1450" s="78"/>
      <c r="C1450" s="79"/>
      <c r="D1450" s="79"/>
      <c r="E1450" s="80"/>
      <c r="F1450" s="81"/>
      <c r="G1450" s="79"/>
      <c r="H1450" s="79"/>
      <c r="I1450" s="79"/>
      <c r="J1450" s="79"/>
      <c r="K1450" s="79"/>
      <c r="L1450" s="79"/>
      <c r="M1450" s="79"/>
      <c r="N1450" s="50"/>
      <c r="O1450" s="82"/>
      <c r="P1450" s="70"/>
      <c r="Q1450" s="70"/>
      <c r="R1450" s="70"/>
      <c r="S1450" s="70"/>
    </row>
    <row r="1451" ht="15.75" customHeight="1">
      <c r="B1451" s="78"/>
      <c r="C1451" s="79"/>
      <c r="D1451" s="79"/>
      <c r="E1451" s="80"/>
      <c r="F1451" s="81"/>
      <c r="G1451" s="79"/>
      <c r="H1451" s="79"/>
      <c r="I1451" s="79"/>
      <c r="J1451" s="79"/>
      <c r="K1451" s="79"/>
      <c r="L1451" s="79"/>
      <c r="M1451" s="79"/>
      <c r="N1451" s="50"/>
      <c r="O1451" s="82"/>
      <c r="P1451" s="70"/>
      <c r="Q1451" s="70"/>
      <c r="R1451" s="70"/>
      <c r="S1451" s="70"/>
    </row>
    <row r="1452" ht="15.75" customHeight="1">
      <c r="B1452" s="78"/>
      <c r="C1452" s="79"/>
      <c r="D1452" s="79"/>
      <c r="E1452" s="80"/>
      <c r="F1452" s="81"/>
      <c r="G1452" s="79"/>
      <c r="H1452" s="79"/>
      <c r="I1452" s="79"/>
      <c r="J1452" s="79"/>
      <c r="K1452" s="79"/>
      <c r="L1452" s="79"/>
      <c r="M1452" s="79"/>
      <c r="N1452" s="50"/>
      <c r="O1452" s="82"/>
      <c r="P1452" s="70"/>
      <c r="Q1452" s="70"/>
      <c r="R1452" s="70"/>
      <c r="S1452" s="70"/>
    </row>
    <row r="1453" ht="15.75" customHeight="1">
      <c r="B1453" s="78"/>
      <c r="C1453" s="79"/>
      <c r="D1453" s="79"/>
      <c r="E1453" s="80"/>
      <c r="F1453" s="81"/>
      <c r="G1453" s="79"/>
      <c r="H1453" s="79"/>
      <c r="I1453" s="79"/>
      <c r="J1453" s="79"/>
      <c r="K1453" s="79"/>
      <c r="L1453" s="79"/>
      <c r="M1453" s="79"/>
      <c r="N1453" s="50"/>
      <c r="O1453" s="82"/>
      <c r="P1453" s="70"/>
      <c r="Q1453" s="70"/>
      <c r="R1453" s="70"/>
      <c r="S1453" s="70"/>
    </row>
    <row r="1454" ht="15.75" customHeight="1">
      <c r="B1454" s="78"/>
      <c r="C1454" s="79"/>
      <c r="D1454" s="79"/>
      <c r="E1454" s="80"/>
      <c r="F1454" s="81"/>
      <c r="G1454" s="79"/>
      <c r="H1454" s="79"/>
      <c r="I1454" s="79"/>
      <c r="J1454" s="79"/>
      <c r="K1454" s="79"/>
      <c r="L1454" s="79"/>
      <c r="M1454" s="79"/>
      <c r="N1454" s="50"/>
      <c r="O1454" s="82"/>
      <c r="P1454" s="70"/>
      <c r="Q1454" s="70"/>
      <c r="R1454" s="70"/>
      <c r="S1454" s="70"/>
    </row>
    <row r="1455" ht="15.75" customHeight="1">
      <c r="B1455" s="78"/>
      <c r="C1455" s="79"/>
      <c r="D1455" s="79"/>
      <c r="E1455" s="80"/>
      <c r="F1455" s="81"/>
      <c r="G1455" s="79"/>
      <c r="H1455" s="79"/>
      <c r="I1455" s="79"/>
      <c r="J1455" s="79"/>
      <c r="K1455" s="79"/>
      <c r="L1455" s="79"/>
      <c r="M1455" s="79"/>
      <c r="N1455" s="50"/>
      <c r="O1455" s="82"/>
      <c r="P1455" s="70"/>
      <c r="Q1455" s="70"/>
      <c r="R1455" s="70"/>
      <c r="S1455" s="70"/>
    </row>
    <row r="1456" ht="15.75" customHeight="1">
      <c r="B1456" s="78"/>
      <c r="C1456" s="79"/>
      <c r="D1456" s="79"/>
      <c r="E1456" s="80"/>
      <c r="F1456" s="81"/>
      <c r="G1456" s="79"/>
      <c r="H1456" s="79"/>
      <c r="I1456" s="79"/>
      <c r="J1456" s="79"/>
      <c r="K1456" s="79"/>
      <c r="L1456" s="79"/>
      <c r="M1456" s="79"/>
      <c r="N1456" s="50"/>
      <c r="O1456" s="82"/>
      <c r="P1456" s="70"/>
      <c r="Q1456" s="70"/>
      <c r="R1456" s="70"/>
      <c r="S1456" s="70"/>
    </row>
    <row r="1457" ht="15.75" customHeight="1">
      <c r="B1457" s="78"/>
      <c r="C1457" s="79"/>
      <c r="D1457" s="79"/>
      <c r="E1457" s="80"/>
      <c r="F1457" s="81"/>
      <c r="G1457" s="79"/>
      <c r="H1457" s="79"/>
      <c r="I1457" s="79"/>
      <c r="J1457" s="79"/>
      <c r="K1457" s="79"/>
      <c r="L1457" s="79"/>
      <c r="M1457" s="79"/>
      <c r="N1457" s="50"/>
      <c r="O1457" s="82"/>
      <c r="P1457" s="70"/>
      <c r="Q1457" s="70"/>
      <c r="R1457" s="70"/>
      <c r="S1457" s="70"/>
    </row>
    <row r="1458" ht="15.75" customHeight="1">
      <c r="B1458" s="78"/>
      <c r="C1458" s="79"/>
      <c r="D1458" s="79"/>
      <c r="E1458" s="80"/>
      <c r="F1458" s="81"/>
      <c r="G1458" s="79"/>
      <c r="H1458" s="79"/>
      <c r="I1458" s="79"/>
      <c r="J1458" s="79"/>
      <c r="K1458" s="79"/>
      <c r="L1458" s="79"/>
      <c r="M1458" s="79"/>
      <c r="N1458" s="50"/>
      <c r="O1458" s="82"/>
      <c r="P1458" s="70"/>
      <c r="Q1458" s="70"/>
      <c r="R1458" s="70"/>
      <c r="S1458" s="70"/>
    </row>
    <row r="1459" ht="15.75" customHeight="1">
      <c r="B1459" s="78"/>
      <c r="C1459" s="79"/>
      <c r="D1459" s="79"/>
      <c r="E1459" s="80"/>
      <c r="F1459" s="81"/>
      <c r="G1459" s="79"/>
      <c r="H1459" s="79"/>
      <c r="I1459" s="79"/>
      <c r="J1459" s="79"/>
      <c r="K1459" s="79"/>
      <c r="L1459" s="79"/>
      <c r="M1459" s="79"/>
      <c r="N1459" s="50"/>
      <c r="O1459" s="82"/>
      <c r="P1459" s="70"/>
      <c r="Q1459" s="70"/>
      <c r="R1459" s="70"/>
      <c r="S1459" s="70"/>
    </row>
    <row r="1460" ht="15.75" customHeight="1">
      <c r="B1460" s="78"/>
      <c r="C1460" s="79"/>
      <c r="D1460" s="79"/>
      <c r="E1460" s="80"/>
      <c r="F1460" s="81"/>
      <c r="G1460" s="79"/>
      <c r="H1460" s="79"/>
      <c r="I1460" s="79"/>
      <c r="J1460" s="79"/>
      <c r="K1460" s="79"/>
      <c r="L1460" s="79"/>
      <c r="M1460" s="79"/>
      <c r="N1460" s="50"/>
      <c r="O1460" s="82"/>
      <c r="P1460" s="70"/>
      <c r="Q1460" s="70"/>
      <c r="R1460" s="70"/>
      <c r="S1460" s="70"/>
    </row>
    <row r="1461" ht="15.75" customHeight="1">
      <c r="B1461" s="78"/>
      <c r="C1461" s="79"/>
      <c r="D1461" s="79"/>
      <c r="E1461" s="80"/>
      <c r="F1461" s="81"/>
      <c r="G1461" s="79"/>
      <c r="H1461" s="79"/>
      <c r="I1461" s="79"/>
      <c r="J1461" s="79"/>
      <c r="K1461" s="79"/>
      <c r="L1461" s="79"/>
      <c r="M1461" s="79"/>
      <c r="N1461" s="50"/>
      <c r="O1461" s="82"/>
      <c r="P1461" s="70"/>
      <c r="Q1461" s="70"/>
      <c r="R1461" s="70"/>
      <c r="S1461" s="70"/>
    </row>
    <row r="1462" ht="15.75" customHeight="1">
      <c r="B1462" s="78"/>
      <c r="C1462" s="79"/>
      <c r="D1462" s="79"/>
      <c r="E1462" s="80"/>
      <c r="F1462" s="81"/>
      <c r="G1462" s="79"/>
      <c r="H1462" s="79"/>
      <c r="I1462" s="79"/>
      <c r="J1462" s="79"/>
      <c r="K1462" s="79"/>
      <c r="L1462" s="79"/>
      <c r="M1462" s="79"/>
      <c r="N1462" s="50"/>
      <c r="O1462" s="82"/>
      <c r="P1462" s="70"/>
      <c r="Q1462" s="70"/>
      <c r="R1462" s="70"/>
      <c r="S1462" s="70"/>
    </row>
    <row r="1463" ht="15.75" customHeight="1">
      <c r="B1463" s="78"/>
      <c r="C1463" s="79"/>
      <c r="D1463" s="79"/>
      <c r="E1463" s="80"/>
      <c r="F1463" s="81"/>
      <c r="G1463" s="79"/>
      <c r="H1463" s="79"/>
      <c r="I1463" s="79"/>
      <c r="J1463" s="79"/>
      <c r="K1463" s="79"/>
      <c r="L1463" s="79"/>
      <c r="M1463" s="79"/>
      <c r="N1463" s="50"/>
      <c r="O1463" s="82"/>
      <c r="P1463" s="70"/>
      <c r="Q1463" s="70"/>
      <c r="R1463" s="70"/>
      <c r="S1463" s="70"/>
    </row>
    <row r="1464" ht="15.75" customHeight="1">
      <c r="B1464" s="78"/>
      <c r="C1464" s="79"/>
      <c r="D1464" s="79"/>
      <c r="E1464" s="80"/>
      <c r="F1464" s="81"/>
      <c r="G1464" s="79"/>
      <c r="H1464" s="79"/>
      <c r="I1464" s="79"/>
      <c r="J1464" s="79"/>
      <c r="K1464" s="79"/>
      <c r="L1464" s="79"/>
      <c r="M1464" s="79"/>
      <c r="N1464" s="50"/>
      <c r="O1464" s="82"/>
      <c r="P1464" s="70"/>
      <c r="Q1464" s="70"/>
      <c r="R1464" s="70"/>
      <c r="S1464" s="70"/>
    </row>
    <row r="1465" ht="15.75" customHeight="1">
      <c r="B1465" s="78"/>
      <c r="C1465" s="79"/>
      <c r="D1465" s="79"/>
      <c r="E1465" s="80"/>
      <c r="F1465" s="81"/>
      <c r="G1465" s="79"/>
      <c r="H1465" s="79"/>
      <c r="I1465" s="79"/>
      <c r="J1465" s="79"/>
      <c r="K1465" s="79"/>
      <c r="L1465" s="79"/>
      <c r="M1465" s="79"/>
      <c r="N1465" s="50"/>
      <c r="O1465" s="82"/>
      <c r="P1465" s="70"/>
      <c r="Q1465" s="70"/>
      <c r="R1465" s="70"/>
      <c r="S1465" s="70"/>
    </row>
    <row r="1466" ht="15.75" customHeight="1">
      <c r="B1466" s="78"/>
      <c r="C1466" s="79"/>
      <c r="D1466" s="79"/>
      <c r="E1466" s="80"/>
      <c r="F1466" s="81"/>
      <c r="G1466" s="79"/>
      <c r="H1466" s="79"/>
      <c r="I1466" s="79"/>
      <c r="J1466" s="79"/>
      <c r="K1466" s="79"/>
      <c r="L1466" s="79"/>
      <c r="M1466" s="79"/>
      <c r="N1466" s="50"/>
      <c r="O1466" s="82"/>
      <c r="P1466" s="70"/>
      <c r="Q1466" s="70"/>
      <c r="R1466" s="70"/>
      <c r="S1466" s="70"/>
    </row>
    <row r="1467" ht="15.75" customHeight="1">
      <c r="B1467" s="78"/>
      <c r="C1467" s="79"/>
      <c r="D1467" s="79"/>
      <c r="E1467" s="80"/>
      <c r="F1467" s="81"/>
      <c r="G1467" s="79"/>
      <c r="H1467" s="79"/>
      <c r="I1467" s="79"/>
      <c r="J1467" s="79"/>
      <c r="K1467" s="79"/>
      <c r="L1467" s="79"/>
      <c r="M1467" s="79"/>
      <c r="N1467" s="50"/>
      <c r="O1467" s="82"/>
      <c r="P1467" s="70"/>
      <c r="Q1467" s="70"/>
      <c r="R1467" s="70"/>
      <c r="S1467" s="70"/>
    </row>
    <row r="1468" ht="15.75" customHeight="1">
      <c r="B1468" s="78"/>
      <c r="C1468" s="79"/>
      <c r="D1468" s="79"/>
      <c r="E1468" s="80"/>
      <c r="F1468" s="81"/>
      <c r="G1468" s="79"/>
      <c r="H1468" s="79"/>
      <c r="I1468" s="79"/>
      <c r="J1468" s="79"/>
      <c r="K1468" s="79"/>
      <c r="L1468" s="79"/>
      <c r="M1468" s="79"/>
      <c r="N1468" s="50"/>
      <c r="O1468" s="82"/>
      <c r="P1468" s="70"/>
      <c r="Q1468" s="70"/>
      <c r="R1468" s="70"/>
      <c r="S1468" s="70"/>
    </row>
    <row r="1469" ht="15.75" customHeight="1">
      <c r="B1469" s="78"/>
      <c r="C1469" s="79"/>
      <c r="D1469" s="79"/>
      <c r="E1469" s="80"/>
      <c r="F1469" s="81"/>
      <c r="G1469" s="79"/>
      <c r="H1469" s="79"/>
      <c r="I1469" s="79"/>
      <c r="J1469" s="79"/>
      <c r="K1469" s="79"/>
      <c r="L1469" s="79"/>
      <c r="M1469" s="79"/>
      <c r="N1469" s="50"/>
      <c r="O1469" s="82"/>
      <c r="P1469" s="70"/>
      <c r="Q1469" s="70"/>
      <c r="R1469" s="70"/>
      <c r="S1469" s="70"/>
    </row>
    <row r="1470" ht="15.75" customHeight="1">
      <c r="B1470" s="78"/>
      <c r="C1470" s="79"/>
      <c r="D1470" s="79"/>
      <c r="E1470" s="80"/>
      <c r="F1470" s="81"/>
      <c r="G1470" s="79"/>
      <c r="H1470" s="79"/>
      <c r="I1470" s="79"/>
      <c r="J1470" s="79"/>
      <c r="K1470" s="79"/>
      <c r="L1470" s="79"/>
      <c r="M1470" s="79"/>
      <c r="N1470" s="50"/>
      <c r="O1470" s="82"/>
      <c r="P1470" s="70"/>
      <c r="Q1470" s="70"/>
      <c r="R1470" s="70"/>
      <c r="S1470" s="70"/>
    </row>
    <row r="1471" ht="15.75" customHeight="1">
      <c r="B1471" s="78"/>
      <c r="C1471" s="79"/>
      <c r="D1471" s="79"/>
      <c r="E1471" s="80"/>
      <c r="F1471" s="81"/>
      <c r="G1471" s="79"/>
      <c r="H1471" s="79"/>
      <c r="I1471" s="79"/>
      <c r="J1471" s="79"/>
      <c r="K1471" s="79"/>
      <c r="L1471" s="79"/>
      <c r="M1471" s="79"/>
      <c r="N1471" s="50"/>
      <c r="O1471" s="82"/>
      <c r="P1471" s="70"/>
      <c r="Q1471" s="70"/>
      <c r="R1471" s="70"/>
      <c r="S1471" s="70"/>
    </row>
    <row r="1472" ht="15.75" customHeight="1">
      <c r="B1472" s="78"/>
      <c r="C1472" s="79"/>
      <c r="D1472" s="79"/>
      <c r="E1472" s="80"/>
      <c r="F1472" s="81"/>
      <c r="G1472" s="79"/>
      <c r="H1472" s="79"/>
      <c r="I1472" s="79"/>
      <c r="J1472" s="79"/>
      <c r="K1472" s="79"/>
      <c r="L1472" s="79"/>
      <c r="M1472" s="79"/>
      <c r="N1472" s="50"/>
      <c r="O1472" s="82"/>
      <c r="P1472" s="70"/>
      <c r="Q1472" s="70"/>
      <c r="R1472" s="70"/>
      <c r="S1472" s="70"/>
    </row>
    <row r="1473" ht="15.75" customHeight="1">
      <c r="B1473" s="78"/>
      <c r="C1473" s="79"/>
      <c r="D1473" s="79"/>
      <c r="E1473" s="80"/>
      <c r="F1473" s="81"/>
      <c r="G1473" s="79"/>
      <c r="H1473" s="79"/>
      <c r="I1473" s="79"/>
      <c r="J1473" s="79"/>
      <c r="K1473" s="79"/>
      <c r="L1473" s="79"/>
      <c r="M1473" s="79"/>
      <c r="N1473" s="50"/>
      <c r="O1473" s="82"/>
      <c r="P1473" s="70"/>
      <c r="Q1473" s="70"/>
      <c r="R1473" s="70"/>
      <c r="S1473" s="70"/>
    </row>
    <row r="1474" ht="15.75" customHeight="1">
      <c r="B1474" s="78"/>
      <c r="C1474" s="79"/>
      <c r="D1474" s="79"/>
      <c r="E1474" s="80"/>
      <c r="F1474" s="81"/>
      <c r="G1474" s="79"/>
      <c r="H1474" s="79"/>
      <c r="I1474" s="79"/>
      <c r="J1474" s="79"/>
      <c r="K1474" s="79"/>
      <c r="L1474" s="79"/>
      <c r="M1474" s="79"/>
      <c r="N1474" s="50"/>
      <c r="O1474" s="82"/>
      <c r="P1474" s="70"/>
      <c r="Q1474" s="70"/>
      <c r="R1474" s="70"/>
      <c r="S1474" s="70"/>
    </row>
    <row r="1475" ht="15.75" customHeight="1">
      <c r="B1475" s="78"/>
      <c r="C1475" s="79"/>
      <c r="D1475" s="79"/>
      <c r="E1475" s="80"/>
      <c r="F1475" s="81"/>
      <c r="G1475" s="79"/>
      <c r="H1475" s="79"/>
      <c r="I1475" s="79"/>
      <c r="J1475" s="79"/>
      <c r="K1475" s="79"/>
      <c r="L1475" s="79"/>
      <c r="M1475" s="79"/>
      <c r="N1475" s="50"/>
      <c r="O1475" s="82"/>
      <c r="P1475" s="70"/>
      <c r="Q1475" s="70"/>
      <c r="R1475" s="70"/>
      <c r="S1475" s="70"/>
    </row>
    <row r="1476" ht="15.75" customHeight="1">
      <c r="B1476" s="78"/>
      <c r="C1476" s="79"/>
      <c r="D1476" s="79"/>
      <c r="E1476" s="80"/>
      <c r="F1476" s="81"/>
      <c r="G1476" s="79"/>
      <c r="H1476" s="79"/>
      <c r="I1476" s="79"/>
      <c r="J1476" s="79"/>
      <c r="K1476" s="79"/>
      <c r="L1476" s="79"/>
      <c r="M1476" s="79"/>
      <c r="N1476" s="50"/>
      <c r="O1476" s="82"/>
      <c r="P1476" s="70"/>
      <c r="Q1476" s="70"/>
      <c r="R1476" s="70"/>
      <c r="S1476" s="70"/>
    </row>
    <row r="1477" ht="15.75" customHeight="1">
      <c r="B1477" s="78"/>
      <c r="C1477" s="79"/>
      <c r="D1477" s="79"/>
      <c r="E1477" s="80"/>
      <c r="F1477" s="81"/>
      <c r="G1477" s="79"/>
      <c r="H1477" s="79"/>
      <c r="I1477" s="79"/>
      <c r="J1477" s="79"/>
      <c r="K1477" s="79"/>
      <c r="L1477" s="79"/>
      <c r="M1477" s="79"/>
      <c r="N1477" s="50"/>
      <c r="O1477" s="82"/>
      <c r="P1477" s="70"/>
      <c r="Q1477" s="70"/>
      <c r="R1477" s="70"/>
      <c r="S1477" s="70"/>
    </row>
    <row r="1478" ht="15.75" customHeight="1">
      <c r="B1478" s="78"/>
      <c r="C1478" s="79"/>
      <c r="D1478" s="79"/>
      <c r="E1478" s="80"/>
      <c r="F1478" s="81"/>
      <c r="G1478" s="79"/>
      <c r="H1478" s="79"/>
      <c r="I1478" s="79"/>
      <c r="J1478" s="79"/>
      <c r="K1478" s="79"/>
      <c r="L1478" s="79"/>
      <c r="M1478" s="79"/>
      <c r="N1478" s="50"/>
      <c r="O1478" s="82"/>
      <c r="P1478" s="70"/>
      <c r="Q1478" s="70"/>
      <c r="R1478" s="70"/>
      <c r="S1478" s="70"/>
    </row>
    <row r="1479" ht="15.75" customHeight="1">
      <c r="B1479" s="78"/>
      <c r="C1479" s="79"/>
      <c r="D1479" s="79"/>
      <c r="E1479" s="80"/>
      <c r="F1479" s="81"/>
      <c r="G1479" s="79"/>
      <c r="H1479" s="79"/>
      <c r="I1479" s="79"/>
      <c r="J1479" s="79"/>
      <c r="K1479" s="79"/>
      <c r="L1479" s="79"/>
      <c r="M1479" s="79"/>
      <c r="N1479" s="50"/>
      <c r="O1479" s="82"/>
      <c r="P1479" s="70"/>
      <c r="Q1479" s="70"/>
      <c r="R1479" s="70"/>
      <c r="S1479" s="70"/>
    </row>
    <row r="1480" ht="15.75" customHeight="1">
      <c r="B1480" s="78"/>
      <c r="C1480" s="79"/>
      <c r="D1480" s="79"/>
      <c r="E1480" s="80"/>
      <c r="F1480" s="81"/>
      <c r="G1480" s="79"/>
      <c r="H1480" s="79"/>
      <c r="I1480" s="79"/>
      <c r="J1480" s="79"/>
      <c r="K1480" s="79"/>
      <c r="L1480" s="79"/>
      <c r="M1480" s="79"/>
      <c r="N1480" s="50"/>
      <c r="O1480" s="82"/>
      <c r="P1480" s="70"/>
      <c r="Q1480" s="70"/>
      <c r="R1480" s="70"/>
      <c r="S1480" s="70"/>
    </row>
    <row r="1481" ht="15.75" customHeight="1">
      <c r="B1481" s="78"/>
      <c r="C1481" s="79"/>
      <c r="D1481" s="79"/>
      <c r="E1481" s="80"/>
      <c r="F1481" s="81"/>
      <c r="G1481" s="79"/>
      <c r="H1481" s="79"/>
      <c r="I1481" s="79"/>
      <c r="J1481" s="79"/>
      <c r="K1481" s="79"/>
      <c r="L1481" s="79"/>
      <c r="M1481" s="79"/>
      <c r="N1481" s="50"/>
      <c r="O1481" s="82"/>
      <c r="P1481" s="70"/>
      <c r="Q1481" s="70"/>
      <c r="R1481" s="70"/>
      <c r="S1481" s="70"/>
    </row>
    <row r="1482" ht="15.75" customHeight="1">
      <c r="B1482" s="78"/>
      <c r="C1482" s="79"/>
      <c r="D1482" s="79"/>
      <c r="E1482" s="80"/>
      <c r="F1482" s="81"/>
      <c r="G1482" s="79"/>
      <c r="H1482" s="79"/>
      <c r="I1482" s="79"/>
      <c r="J1482" s="79"/>
      <c r="K1482" s="79"/>
      <c r="L1482" s="79"/>
      <c r="M1482" s="79"/>
      <c r="N1482" s="50"/>
      <c r="O1482" s="82"/>
      <c r="P1482" s="70"/>
      <c r="Q1482" s="70"/>
      <c r="R1482" s="70"/>
      <c r="S1482" s="70"/>
    </row>
    <row r="1483" ht="15.75" customHeight="1">
      <c r="B1483" s="78"/>
      <c r="C1483" s="79"/>
      <c r="D1483" s="79"/>
      <c r="E1483" s="80"/>
      <c r="F1483" s="81"/>
      <c r="G1483" s="79"/>
      <c r="H1483" s="79"/>
      <c r="I1483" s="79"/>
      <c r="J1483" s="79"/>
      <c r="K1483" s="79"/>
      <c r="L1483" s="79"/>
      <c r="M1483" s="79"/>
      <c r="N1483" s="50"/>
      <c r="O1483" s="82"/>
      <c r="P1483" s="70"/>
      <c r="Q1483" s="70"/>
      <c r="R1483" s="70"/>
      <c r="S1483" s="70"/>
    </row>
    <row r="1484" ht="15.75" customHeight="1">
      <c r="B1484" s="78"/>
      <c r="C1484" s="79"/>
      <c r="D1484" s="79"/>
      <c r="E1484" s="80"/>
      <c r="F1484" s="81"/>
      <c r="G1484" s="79"/>
      <c r="H1484" s="79"/>
      <c r="I1484" s="79"/>
      <c r="J1484" s="79"/>
      <c r="K1484" s="79"/>
      <c r="L1484" s="79"/>
      <c r="M1484" s="79"/>
      <c r="N1484" s="50"/>
      <c r="O1484" s="82"/>
      <c r="P1484" s="70"/>
      <c r="Q1484" s="70"/>
      <c r="R1484" s="70"/>
      <c r="S1484" s="70"/>
    </row>
    <row r="1485" ht="15.75" customHeight="1">
      <c r="B1485" s="78"/>
      <c r="C1485" s="79"/>
      <c r="D1485" s="79"/>
      <c r="E1485" s="80"/>
      <c r="F1485" s="81"/>
      <c r="G1485" s="79"/>
      <c r="H1485" s="79"/>
      <c r="I1485" s="79"/>
      <c r="J1485" s="79"/>
      <c r="K1485" s="79"/>
      <c r="L1485" s="79"/>
      <c r="M1485" s="79"/>
      <c r="N1485" s="50"/>
      <c r="O1485" s="82"/>
      <c r="P1485" s="70"/>
      <c r="Q1485" s="70"/>
      <c r="R1485" s="70"/>
      <c r="S1485" s="70"/>
    </row>
    <row r="1486" ht="15.75" customHeight="1">
      <c r="B1486" s="78"/>
      <c r="C1486" s="79"/>
      <c r="D1486" s="79"/>
      <c r="E1486" s="80"/>
      <c r="F1486" s="81"/>
      <c r="G1486" s="79"/>
      <c r="H1486" s="79"/>
      <c r="I1486" s="79"/>
      <c r="J1486" s="79"/>
      <c r="K1486" s="79"/>
      <c r="L1486" s="79"/>
      <c r="M1486" s="79"/>
      <c r="N1486" s="50"/>
      <c r="O1486" s="82"/>
      <c r="P1486" s="70"/>
      <c r="Q1486" s="70"/>
      <c r="R1486" s="70"/>
      <c r="S1486" s="70"/>
    </row>
    <row r="1487" ht="15.75" customHeight="1">
      <c r="B1487" s="78"/>
      <c r="C1487" s="79"/>
      <c r="D1487" s="79"/>
      <c r="E1487" s="80"/>
      <c r="F1487" s="81"/>
      <c r="G1487" s="79"/>
      <c r="H1487" s="79"/>
      <c r="I1487" s="79"/>
      <c r="J1487" s="79"/>
      <c r="K1487" s="79"/>
      <c r="L1487" s="79"/>
      <c r="M1487" s="79"/>
      <c r="N1487" s="50"/>
      <c r="O1487" s="82"/>
      <c r="P1487" s="70"/>
      <c r="Q1487" s="70"/>
      <c r="R1487" s="70"/>
      <c r="S1487" s="70"/>
    </row>
    <row r="1488" ht="15.75" customHeight="1">
      <c r="B1488" s="78"/>
      <c r="C1488" s="79"/>
      <c r="D1488" s="79"/>
      <c r="E1488" s="80"/>
      <c r="F1488" s="81"/>
      <c r="G1488" s="79"/>
      <c r="H1488" s="79"/>
      <c r="I1488" s="79"/>
      <c r="J1488" s="79"/>
      <c r="K1488" s="79"/>
      <c r="L1488" s="79"/>
      <c r="M1488" s="79"/>
      <c r="N1488" s="50"/>
      <c r="O1488" s="82"/>
      <c r="P1488" s="70"/>
      <c r="Q1488" s="70"/>
      <c r="R1488" s="70"/>
      <c r="S1488" s="70"/>
    </row>
    <row r="1489" ht="15.75" customHeight="1">
      <c r="B1489" s="78"/>
      <c r="C1489" s="79"/>
      <c r="D1489" s="79"/>
      <c r="E1489" s="80"/>
      <c r="F1489" s="81"/>
      <c r="G1489" s="79"/>
      <c r="H1489" s="79"/>
      <c r="I1489" s="79"/>
      <c r="J1489" s="79"/>
      <c r="K1489" s="79"/>
      <c r="L1489" s="79"/>
      <c r="M1489" s="79"/>
      <c r="N1489" s="50"/>
      <c r="O1489" s="82"/>
      <c r="P1489" s="70"/>
      <c r="Q1489" s="70"/>
      <c r="R1489" s="70"/>
      <c r="S1489" s="70"/>
    </row>
    <row r="1490" ht="15.75" customHeight="1">
      <c r="B1490" s="78"/>
      <c r="C1490" s="79"/>
      <c r="D1490" s="79"/>
      <c r="E1490" s="80"/>
      <c r="F1490" s="81"/>
      <c r="G1490" s="79"/>
      <c r="H1490" s="79"/>
      <c r="I1490" s="79"/>
      <c r="J1490" s="79"/>
      <c r="K1490" s="79"/>
      <c r="L1490" s="79"/>
      <c r="M1490" s="79"/>
      <c r="N1490" s="50"/>
      <c r="O1490" s="82"/>
      <c r="P1490" s="70"/>
      <c r="Q1490" s="70"/>
      <c r="R1490" s="70"/>
      <c r="S1490" s="70"/>
    </row>
    <row r="1491" ht="15.75" customHeight="1">
      <c r="B1491" s="78"/>
      <c r="C1491" s="79"/>
      <c r="D1491" s="79"/>
      <c r="E1491" s="80"/>
      <c r="F1491" s="81"/>
      <c r="G1491" s="79"/>
      <c r="H1491" s="79"/>
      <c r="I1491" s="79"/>
      <c r="J1491" s="79"/>
      <c r="K1491" s="79"/>
      <c r="L1491" s="79"/>
      <c r="M1491" s="79"/>
      <c r="N1491" s="50"/>
      <c r="O1491" s="82"/>
      <c r="P1491" s="70"/>
      <c r="Q1491" s="70"/>
      <c r="R1491" s="70"/>
      <c r="S1491" s="70"/>
    </row>
    <row r="1492" ht="15.75" customHeight="1">
      <c r="B1492" s="78"/>
      <c r="C1492" s="79"/>
      <c r="D1492" s="79"/>
      <c r="E1492" s="80"/>
      <c r="F1492" s="81"/>
      <c r="G1492" s="79"/>
      <c r="H1492" s="79"/>
      <c r="I1492" s="79"/>
      <c r="J1492" s="79"/>
      <c r="K1492" s="79"/>
      <c r="L1492" s="79"/>
      <c r="M1492" s="79"/>
      <c r="N1492" s="50"/>
      <c r="O1492" s="82"/>
      <c r="P1492" s="70"/>
      <c r="Q1492" s="70"/>
      <c r="R1492" s="70"/>
      <c r="S1492" s="70"/>
    </row>
    <row r="1493" ht="15.75" customHeight="1">
      <c r="B1493" s="78"/>
      <c r="C1493" s="79"/>
      <c r="D1493" s="79"/>
      <c r="E1493" s="80"/>
      <c r="F1493" s="81"/>
      <c r="G1493" s="79"/>
      <c r="H1493" s="79"/>
      <c r="I1493" s="79"/>
      <c r="J1493" s="79"/>
      <c r="K1493" s="79"/>
      <c r="L1493" s="79"/>
      <c r="M1493" s="79"/>
      <c r="N1493" s="50"/>
      <c r="O1493" s="82"/>
      <c r="P1493" s="70"/>
      <c r="Q1493" s="70"/>
      <c r="R1493" s="70"/>
      <c r="S1493" s="70"/>
    </row>
    <row r="1494" ht="15.75" customHeight="1">
      <c r="B1494" s="78"/>
      <c r="C1494" s="79"/>
      <c r="D1494" s="79"/>
      <c r="E1494" s="80"/>
      <c r="F1494" s="81"/>
      <c r="G1494" s="79"/>
      <c r="H1494" s="79"/>
      <c r="I1494" s="79"/>
      <c r="J1494" s="79"/>
      <c r="K1494" s="79"/>
      <c r="L1494" s="79"/>
      <c r="M1494" s="79"/>
      <c r="N1494" s="50"/>
      <c r="O1494" s="82"/>
      <c r="P1494" s="70"/>
      <c r="Q1494" s="70"/>
      <c r="R1494" s="70"/>
      <c r="S1494" s="70"/>
    </row>
    <row r="1495" ht="15.75" customHeight="1">
      <c r="B1495" s="78"/>
      <c r="C1495" s="79"/>
      <c r="D1495" s="79"/>
      <c r="E1495" s="80"/>
      <c r="F1495" s="81"/>
      <c r="G1495" s="79"/>
      <c r="H1495" s="79"/>
      <c r="I1495" s="79"/>
      <c r="J1495" s="79"/>
      <c r="K1495" s="79"/>
      <c r="L1495" s="79"/>
      <c r="M1495" s="79"/>
      <c r="N1495" s="50"/>
      <c r="O1495" s="82"/>
      <c r="P1495" s="70"/>
      <c r="Q1495" s="70"/>
      <c r="R1495" s="70"/>
      <c r="S1495" s="70"/>
    </row>
    <row r="1496" ht="15.75" customHeight="1">
      <c r="B1496" s="78"/>
      <c r="C1496" s="79"/>
      <c r="D1496" s="79"/>
      <c r="E1496" s="80"/>
      <c r="F1496" s="81"/>
      <c r="G1496" s="79"/>
      <c r="H1496" s="79"/>
      <c r="I1496" s="79"/>
      <c r="J1496" s="79"/>
      <c r="K1496" s="79"/>
      <c r="L1496" s="79"/>
      <c r="M1496" s="79"/>
      <c r="N1496" s="50"/>
      <c r="O1496" s="82"/>
      <c r="P1496" s="70"/>
      <c r="Q1496" s="70"/>
      <c r="R1496" s="70"/>
      <c r="S1496" s="70"/>
    </row>
    <row r="1497" ht="15.75" customHeight="1">
      <c r="B1497" s="78"/>
      <c r="C1497" s="79"/>
      <c r="D1497" s="79"/>
      <c r="E1497" s="80"/>
      <c r="F1497" s="81"/>
      <c r="G1497" s="79"/>
      <c r="H1497" s="79"/>
      <c r="I1497" s="79"/>
      <c r="J1497" s="79"/>
      <c r="K1497" s="79"/>
      <c r="L1497" s="79"/>
      <c r="M1497" s="79"/>
      <c r="N1497" s="50"/>
      <c r="O1497" s="82"/>
      <c r="P1497" s="70"/>
      <c r="Q1497" s="70"/>
      <c r="R1497" s="70"/>
      <c r="S1497" s="70"/>
    </row>
    <row r="1498" ht="15.75" customHeight="1">
      <c r="B1498" s="78"/>
      <c r="C1498" s="79"/>
      <c r="D1498" s="79"/>
      <c r="E1498" s="80"/>
      <c r="F1498" s="81"/>
      <c r="G1498" s="79"/>
      <c r="H1498" s="79"/>
      <c r="I1498" s="79"/>
      <c r="J1498" s="79"/>
      <c r="K1498" s="79"/>
      <c r="L1498" s="79"/>
      <c r="M1498" s="79"/>
      <c r="N1498" s="50"/>
      <c r="O1498" s="82"/>
      <c r="P1498" s="70"/>
      <c r="Q1498" s="70"/>
      <c r="R1498" s="70"/>
      <c r="S1498" s="70"/>
    </row>
    <row r="1499" ht="15.75" customHeight="1">
      <c r="B1499" s="78"/>
      <c r="C1499" s="79"/>
      <c r="D1499" s="79"/>
      <c r="E1499" s="80"/>
      <c r="F1499" s="81"/>
      <c r="G1499" s="79"/>
      <c r="H1499" s="79"/>
      <c r="I1499" s="79"/>
      <c r="J1499" s="79"/>
      <c r="K1499" s="79"/>
      <c r="L1499" s="79"/>
      <c r="M1499" s="79"/>
      <c r="N1499" s="50"/>
      <c r="O1499" s="82"/>
      <c r="P1499" s="70"/>
      <c r="Q1499" s="70"/>
      <c r="R1499" s="70"/>
      <c r="S1499" s="70"/>
    </row>
    <row r="1500" ht="15.75" customHeight="1">
      <c r="B1500" s="78"/>
      <c r="C1500" s="79"/>
      <c r="D1500" s="79"/>
      <c r="E1500" s="80"/>
      <c r="F1500" s="81"/>
      <c r="G1500" s="79"/>
      <c r="H1500" s="79"/>
      <c r="I1500" s="79"/>
      <c r="J1500" s="79"/>
      <c r="K1500" s="79"/>
      <c r="L1500" s="79"/>
      <c r="M1500" s="79"/>
      <c r="N1500" s="50"/>
      <c r="O1500" s="82"/>
      <c r="P1500" s="70"/>
      <c r="Q1500" s="70"/>
      <c r="R1500" s="70"/>
      <c r="S1500" s="70"/>
    </row>
    <row r="1501" ht="15.75" customHeight="1">
      <c r="B1501" s="78"/>
      <c r="C1501" s="79"/>
      <c r="D1501" s="79"/>
      <c r="E1501" s="80"/>
      <c r="F1501" s="81"/>
      <c r="G1501" s="79"/>
      <c r="H1501" s="79"/>
      <c r="I1501" s="79"/>
      <c r="J1501" s="79"/>
      <c r="K1501" s="79"/>
      <c r="L1501" s="79"/>
      <c r="M1501" s="79"/>
      <c r="N1501" s="50"/>
      <c r="O1501" s="82"/>
      <c r="P1501" s="70"/>
      <c r="Q1501" s="70"/>
      <c r="R1501" s="70"/>
      <c r="S1501" s="70"/>
    </row>
    <row r="1502" ht="15.75" customHeight="1">
      <c r="B1502" s="78"/>
      <c r="C1502" s="79"/>
      <c r="D1502" s="79"/>
      <c r="E1502" s="80"/>
      <c r="F1502" s="81"/>
      <c r="G1502" s="79"/>
      <c r="H1502" s="79"/>
      <c r="I1502" s="79"/>
      <c r="J1502" s="79"/>
      <c r="K1502" s="79"/>
      <c r="L1502" s="79"/>
      <c r="M1502" s="79"/>
      <c r="N1502" s="50"/>
      <c r="O1502" s="82"/>
      <c r="P1502" s="70"/>
      <c r="Q1502" s="70"/>
      <c r="R1502" s="70"/>
      <c r="S1502" s="70"/>
    </row>
    <row r="1503" ht="15.75" customHeight="1">
      <c r="B1503" s="78"/>
      <c r="C1503" s="79"/>
      <c r="D1503" s="79"/>
      <c r="E1503" s="80"/>
      <c r="F1503" s="81"/>
      <c r="G1503" s="79"/>
      <c r="H1503" s="79"/>
      <c r="I1503" s="79"/>
      <c r="J1503" s="79"/>
      <c r="K1503" s="79"/>
      <c r="L1503" s="79"/>
      <c r="M1503" s="79"/>
      <c r="N1503" s="50"/>
      <c r="O1503" s="82"/>
      <c r="P1503" s="70"/>
      <c r="Q1503" s="70"/>
      <c r="R1503" s="70"/>
      <c r="S1503" s="70"/>
    </row>
    <row r="1504" ht="15.75" customHeight="1">
      <c r="B1504" s="78"/>
      <c r="C1504" s="79"/>
      <c r="D1504" s="79"/>
      <c r="E1504" s="80"/>
      <c r="F1504" s="81"/>
      <c r="G1504" s="79"/>
      <c r="H1504" s="79"/>
      <c r="I1504" s="79"/>
      <c r="J1504" s="79"/>
      <c r="K1504" s="79"/>
      <c r="L1504" s="79"/>
      <c r="M1504" s="79"/>
      <c r="N1504" s="50"/>
      <c r="O1504" s="82"/>
      <c r="P1504" s="70"/>
      <c r="Q1504" s="70"/>
      <c r="R1504" s="70"/>
      <c r="S1504" s="70"/>
    </row>
    <row r="1505" ht="15.75" customHeight="1">
      <c r="B1505" s="78"/>
      <c r="C1505" s="79"/>
      <c r="D1505" s="79"/>
      <c r="E1505" s="80"/>
      <c r="F1505" s="81"/>
      <c r="G1505" s="79"/>
      <c r="H1505" s="79"/>
      <c r="I1505" s="79"/>
      <c r="J1505" s="79"/>
      <c r="K1505" s="79"/>
      <c r="L1505" s="79"/>
      <c r="M1505" s="79"/>
      <c r="N1505" s="50"/>
      <c r="O1505" s="82"/>
      <c r="P1505" s="70"/>
      <c r="Q1505" s="70"/>
      <c r="R1505" s="70"/>
      <c r="S1505" s="70"/>
    </row>
    <row r="1506" ht="15.75" customHeight="1">
      <c r="B1506" s="78"/>
      <c r="C1506" s="79"/>
      <c r="D1506" s="79"/>
      <c r="E1506" s="80"/>
      <c r="F1506" s="81"/>
      <c r="G1506" s="79"/>
      <c r="H1506" s="79"/>
      <c r="I1506" s="79"/>
      <c r="J1506" s="79"/>
      <c r="K1506" s="79"/>
      <c r="L1506" s="79"/>
      <c r="M1506" s="79"/>
      <c r="N1506" s="50"/>
      <c r="O1506" s="82"/>
      <c r="P1506" s="70"/>
      <c r="Q1506" s="70"/>
      <c r="R1506" s="70"/>
      <c r="S1506" s="70"/>
    </row>
    <row r="1507" ht="15.75" customHeight="1">
      <c r="B1507" s="78"/>
      <c r="C1507" s="79"/>
      <c r="D1507" s="79"/>
      <c r="E1507" s="80"/>
      <c r="F1507" s="81"/>
      <c r="G1507" s="79"/>
      <c r="H1507" s="79"/>
      <c r="I1507" s="79"/>
      <c r="J1507" s="79"/>
      <c r="K1507" s="79"/>
      <c r="L1507" s="79"/>
      <c r="M1507" s="79"/>
      <c r="N1507" s="50"/>
      <c r="O1507" s="82"/>
      <c r="P1507" s="70"/>
      <c r="Q1507" s="70"/>
      <c r="R1507" s="70"/>
      <c r="S1507" s="70"/>
    </row>
    <row r="1508" ht="15.75" customHeight="1">
      <c r="B1508" s="78"/>
      <c r="C1508" s="79"/>
      <c r="D1508" s="79"/>
      <c r="E1508" s="80"/>
      <c r="F1508" s="81"/>
      <c r="G1508" s="79"/>
      <c r="H1508" s="79"/>
      <c r="I1508" s="79"/>
      <c r="J1508" s="79"/>
      <c r="K1508" s="79"/>
      <c r="L1508" s="79"/>
      <c r="M1508" s="79"/>
      <c r="N1508" s="50"/>
      <c r="O1508" s="82"/>
      <c r="P1508" s="70"/>
      <c r="Q1508" s="70"/>
      <c r="R1508" s="70"/>
      <c r="S1508" s="70"/>
    </row>
    <row r="1509" ht="15.75" customHeight="1">
      <c r="B1509" s="78"/>
      <c r="C1509" s="79"/>
      <c r="D1509" s="79"/>
      <c r="E1509" s="80"/>
      <c r="F1509" s="81"/>
      <c r="G1509" s="79"/>
      <c r="H1509" s="79"/>
      <c r="I1509" s="79"/>
      <c r="J1509" s="79"/>
      <c r="K1509" s="79"/>
      <c r="L1509" s="79"/>
      <c r="M1509" s="79"/>
      <c r="N1509" s="50"/>
      <c r="O1509" s="82"/>
      <c r="P1509" s="70"/>
      <c r="Q1509" s="70"/>
      <c r="R1509" s="70"/>
      <c r="S1509" s="70"/>
    </row>
    <row r="1510" ht="15.75" customHeight="1">
      <c r="B1510" s="78"/>
      <c r="C1510" s="79"/>
      <c r="D1510" s="79"/>
      <c r="E1510" s="80"/>
      <c r="F1510" s="81"/>
      <c r="G1510" s="79"/>
      <c r="H1510" s="79"/>
      <c r="I1510" s="79"/>
      <c r="J1510" s="79"/>
      <c r="K1510" s="79"/>
      <c r="L1510" s="79"/>
      <c r="M1510" s="79"/>
      <c r="N1510" s="50"/>
      <c r="O1510" s="82"/>
      <c r="P1510" s="70"/>
      <c r="Q1510" s="70"/>
      <c r="R1510" s="70"/>
      <c r="S1510" s="70"/>
    </row>
    <row r="1511" ht="15.75" customHeight="1">
      <c r="B1511" s="78"/>
      <c r="C1511" s="79"/>
      <c r="D1511" s="79"/>
      <c r="E1511" s="80"/>
      <c r="F1511" s="81"/>
      <c r="G1511" s="79"/>
      <c r="H1511" s="79"/>
      <c r="I1511" s="79"/>
      <c r="J1511" s="79"/>
      <c r="K1511" s="79"/>
      <c r="L1511" s="79"/>
      <c r="M1511" s="79"/>
      <c r="N1511" s="50"/>
      <c r="O1511" s="82"/>
      <c r="P1511" s="70"/>
      <c r="Q1511" s="70"/>
      <c r="R1511" s="70"/>
      <c r="S1511" s="70"/>
    </row>
    <row r="1512" ht="15.75" customHeight="1">
      <c r="B1512" s="78"/>
      <c r="C1512" s="79"/>
      <c r="D1512" s="79"/>
      <c r="E1512" s="80"/>
      <c r="F1512" s="81"/>
      <c r="G1512" s="79"/>
      <c r="H1512" s="79"/>
      <c r="I1512" s="79"/>
      <c r="J1512" s="79"/>
      <c r="K1512" s="79"/>
      <c r="L1512" s="79"/>
      <c r="M1512" s="79"/>
      <c r="N1512" s="50"/>
      <c r="O1512" s="82"/>
      <c r="P1512" s="70"/>
      <c r="Q1512" s="70"/>
      <c r="R1512" s="70"/>
      <c r="S1512" s="70"/>
    </row>
    <row r="1513" ht="15.75" customHeight="1">
      <c r="B1513" s="78"/>
      <c r="C1513" s="79"/>
      <c r="D1513" s="79"/>
      <c r="E1513" s="80"/>
      <c r="F1513" s="81"/>
      <c r="G1513" s="79"/>
      <c r="H1513" s="79"/>
      <c r="I1513" s="79"/>
      <c r="J1513" s="79"/>
      <c r="K1513" s="79"/>
      <c r="L1513" s="79"/>
      <c r="M1513" s="79"/>
      <c r="N1513" s="50"/>
      <c r="O1513" s="82"/>
      <c r="P1513" s="70"/>
      <c r="Q1513" s="70"/>
      <c r="R1513" s="70"/>
      <c r="S1513" s="70"/>
    </row>
    <row r="1514" ht="15.75" customHeight="1">
      <c r="B1514" s="78"/>
      <c r="C1514" s="79"/>
      <c r="D1514" s="79"/>
      <c r="E1514" s="80"/>
      <c r="F1514" s="81"/>
      <c r="G1514" s="79"/>
      <c r="H1514" s="79"/>
      <c r="I1514" s="79"/>
      <c r="J1514" s="79"/>
      <c r="K1514" s="79"/>
      <c r="L1514" s="79"/>
      <c r="M1514" s="79"/>
      <c r="N1514" s="50"/>
      <c r="O1514" s="82"/>
      <c r="P1514" s="70"/>
      <c r="Q1514" s="70"/>
      <c r="R1514" s="70"/>
      <c r="S1514" s="70"/>
    </row>
    <row r="1515" ht="15.75" customHeight="1">
      <c r="B1515" s="78"/>
      <c r="C1515" s="79"/>
      <c r="D1515" s="79"/>
      <c r="E1515" s="80"/>
      <c r="F1515" s="81"/>
      <c r="G1515" s="79"/>
      <c r="H1515" s="79"/>
      <c r="I1515" s="79"/>
      <c r="J1515" s="79"/>
      <c r="K1515" s="79"/>
      <c r="L1515" s="79"/>
      <c r="M1515" s="79"/>
      <c r="N1515" s="50"/>
      <c r="O1515" s="82"/>
      <c r="P1515" s="70"/>
      <c r="Q1515" s="70"/>
      <c r="R1515" s="70"/>
      <c r="S1515" s="70"/>
    </row>
    <row r="1516" ht="15.75" customHeight="1">
      <c r="B1516" s="78"/>
      <c r="C1516" s="79"/>
      <c r="D1516" s="79"/>
      <c r="E1516" s="80"/>
      <c r="F1516" s="81"/>
      <c r="G1516" s="79"/>
      <c r="H1516" s="79"/>
      <c r="I1516" s="79"/>
      <c r="J1516" s="79"/>
      <c r="K1516" s="79"/>
      <c r="L1516" s="79"/>
      <c r="M1516" s="79"/>
      <c r="N1516" s="50"/>
      <c r="O1516" s="82"/>
      <c r="P1516" s="70"/>
      <c r="Q1516" s="70"/>
      <c r="R1516" s="70"/>
      <c r="S1516" s="70"/>
    </row>
    <row r="1517" ht="15.75" customHeight="1">
      <c r="B1517" s="78"/>
      <c r="C1517" s="79"/>
      <c r="D1517" s="79"/>
      <c r="E1517" s="80"/>
      <c r="F1517" s="81"/>
      <c r="G1517" s="79"/>
      <c r="H1517" s="79"/>
      <c r="I1517" s="79"/>
      <c r="J1517" s="79"/>
      <c r="K1517" s="79"/>
      <c r="L1517" s="79"/>
      <c r="M1517" s="79"/>
      <c r="N1517" s="50"/>
      <c r="O1517" s="82"/>
      <c r="P1517" s="70"/>
      <c r="Q1517" s="70"/>
      <c r="R1517" s="70"/>
      <c r="S1517" s="70"/>
    </row>
    <row r="1518" ht="15.75" customHeight="1">
      <c r="B1518" s="78"/>
      <c r="C1518" s="79"/>
      <c r="D1518" s="79"/>
      <c r="E1518" s="80"/>
      <c r="F1518" s="81"/>
      <c r="G1518" s="79"/>
      <c r="H1518" s="79"/>
      <c r="I1518" s="79"/>
      <c r="J1518" s="79"/>
      <c r="K1518" s="79"/>
      <c r="L1518" s="79"/>
      <c r="M1518" s="79"/>
      <c r="N1518" s="50"/>
      <c r="O1518" s="82"/>
      <c r="P1518" s="70"/>
      <c r="Q1518" s="70"/>
      <c r="R1518" s="70"/>
      <c r="S1518" s="70"/>
    </row>
    <row r="1519" ht="15.75" customHeight="1">
      <c r="B1519" s="78"/>
      <c r="C1519" s="79"/>
      <c r="D1519" s="79"/>
      <c r="E1519" s="80"/>
      <c r="F1519" s="81"/>
      <c r="G1519" s="79"/>
      <c r="H1519" s="79"/>
      <c r="I1519" s="79"/>
      <c r="J1519" s="79"/>
      <c r="K1519" s="79"/>
      <c r="L1519" s="79"/>
      <c r="M1519" s="79"/>
      <c r="N1519" s="50"/>
      <c r="O1519" s="82"/>
      <c r="P1519" s="70"/>
      <c r="Q1519" s="70"/>
      <c r="R1519" s="70"/>
      <c r="S1519" s="70"/>
    </row>
    <row r="1520" ht="15.75" customHeight="1">
      <c r="B1520" s="78"/>
      <c r="C1520" s="79"/>
      <c r="D1520" s="79"/>
      <c r="E1520" s="80"/>
      <c r="F1520" s="81"/>
      <c r="G1520" s="79"/>
      <c r="H1520" s="79"/>
      <c r="I1520" s="79"/>
      <c r="J1520" s="79"/>
      <c r="K1520" s="79"/>
      <c r="L1520" s="79"/>
      <c r="M1520" s="79"/>
      <c r="N1520" s="50"/>
      <c r="O1520" s="82"/>
      <c r="P1520" s="70"/>
      <c r="Q1520" s="70"/>
      <c r="R1520" s="70"/>
      <c r="S1520" s="70"/>
    </row>
    <row r="1521" ht="15.75" customHeight="1">
      <c r="B1521" s="78"/>
      <c r="C1521" s="79"/>
      <c r="D1521" s="79"/>
      <c r="E1521" s="80"/>
      <c r="F1521" s="81"/>
      <c r="G1521" s="79"/>
      <c r="H1521" s="79"/>
      <c r="I1521" s="79"/>
      <c r="J1521" s="79"/>
      <c r="K1521" s="79"/>
      <c r="L1521" s="79"/>
      <c r="M1521" s="79"/>
      <c r="N1521" s="50"/>
      <c r="O1521" s="82"/>
      <c r="P1521" s="70"/>
      <c r="Q1521" s="70"/>
      <c r="R1521" s="70"/>
      <c r="S1521" s="70"/>
    </row>
    <row r="1522" ht="15.75" customHeight="1">
      <c r="B1522" s="78"/>
      <c r="C1522" s="79"/>
      <c r="D1522" s="79"/>
      <c r="E1522" s="80"/>
      <c r="F1522" s="81"/>
      <c r="G1522" s="79"/>
      <c r="H1522" s="79"/>
      <c r="I1522" s="79"/>
      <c r="J1522" s="79"/>
      <c r="K1522" s="79"/>
      <c r="L1522" s="79"/>
      <c r="M1522" s="79"/>
      <c r="N1522" s="50"/>
      <c r="O1522" s="82"/>
      <c r="P1522" s="70"/>
      <c r="Q1522" s="70"/>
      <c r="R1522" s="70"/>
      <c r="S1522" s="70"/>
    </row>
    <row r="1523" ht="15.75" customHeight="1">
      <c r="B1523" s="78"/>
      <c r="C1523" s="79"/>
      <c r="D1523" s="79"/>
      <c r="E1523" s="80"/>
      <c r="F1523" s="81"/>
      <c r="G1523" s="79"/>
      <c r="H1523" s="79"/>
      <c r="I1523" s="79"/>
      <c r="J1523" s="79"/>
      <c r="K1523" s="79"/>
      <c r="L1523" s="79"/>
      <c r="M1523" s="79"/>
      <c r="N1523" s="50"/>
      <c r="O1523" s="82"/>
      <c r="P1523" s="70"/>
      <c r="Q1523" s="70"/>
      <c r="R1523" s="70"/>
      <c r="S1523" s="70"/>
    </row>
    <row r="1524" ht="15.75" customHeight="1">
      <c r="B1524" s="78"/>
      <c r="C1524" s="79"/>
      <c r="D1524" s="79"/>
      <c r="E1524" s="80"/>
      <c r="F1524" s="81"/>
      <c r="G1524" s="79"/>
      <c r="H1524" s="79"/>
      <c r="I1524" s="79"/>
      <c r="J1524" s="79"/>
      <c r="K1524" s="79"/>
      <c r="L1524" s="79"/>
      <c r="M1524" s="79"/>
      <c r="N1524" s="50"/>
      <c r="O1524" s="82"/>
      <c r="P1524" s="70"/>
      <c r="Q1524" s="70"/>
      <c r="R1524" s="70"/>
      <c r="S1524" s="70"/>
    </row>
    <row r="1525" ht="15.75" customHeight="1">
      <c r="B1525" s="78"/>
      <c r="C1525" s="79"/>
      <c r="D1525" s="79"/>
      <c r="E1525" s="80"/>
      <c r="F1525" s="81"/>
      <c r="G1525" s="79"/>
      <c r="H1525" s="79"/>
      <c r="I1525" s="79"/>
      <c r="J1525" s="79"/>
      <c r="K1525" s="79"/>
      <c r="L1525" s="79"/>
      <c r="M1525" s="79"/>
      <c r="N1525" s="50"/>
      <c r="O1525" s="82"/>
      <c r="P1525" s="70"/>
      <c r="Q1525" s="70"/>
      <c r="R1525" s="70"/>
      <c r="S1525" s="70"/>
    </row>
    <row r="1526" ht="15.75" customHeight="1">
      <c r="B1526" s="78"/>
      <c r="C1526" s="79"/>
      <c r="D1526" s="79"/>
      <c r="E1526" s="80"/>
      <c r="F1526" s="81"/>
      <c r="G1526" s="79"/>
      <c r="H1526" s="79"/>
      <c r="I1526" s="79"/>
      <c r="J1526" s="79"/>
      <c r="K1526" s="79"/>
      <c r="L1526" s="79"/>
      <c r="M1526" s="79"/>
      <c r="N1526" s="50"/>
      <c r="O1526" s="82"/>
      <c r="P1526" s="70"/>
      <c r="Q1526" s="70"/>
      <c r="R1526" s="70"/>
      <c r="S1526" s="70"/>
    </row>
    <row r="1527" ht="15.75" customHeight="1">
      <c r="B1527" s="78"/>
      <c r="C1527" s="79"/>
      <c r="D1527" s="79"/>
      <c r="E1527" s="80"/>
      <c r="F1527" s="81"/>
      <c r="G1527" s="79"/>
      <c r="H1527" s="79"/>
      <c r="I1527" s="79"/>
      <c r="J1527" s="79"/>
      <c r="K1527" s="79"/>
      <c r="L1527" s="79"/>
      <c r="M1527" s="79"/>
      <c r="N1527" s="50"/>
      <c r="O1527" s="82"/>
      <c r="P1527" s="70"/>
      <c r="Q1527" s="70"/>
      <c r="R1527" s="70"/>
      <c r="S1527" s="70"/>
    </row>
    <row r="1528" ht="15.75" customHeight="1">
      <c r="B1528" s="78"/>
      <c r="C1528" s="79"/>
      <c r="D1528" s="79"/>
      <c r="E1528" s="80"/>
      <c r="F1528" s="81"/>
      <c r="G1528" s="79"/>
      <c r="H1528" s="79"/>
      <c r="I1528" s="79"/>
      <c r="J1528" s="79"/>
      <c r="K1528" s="79"/>
      <c r="L1528" s="79"/>
      <c r="M1528" s="79"/>
      <c r="N1528" s="50"/>
      <c r="O1528" s="82"/>
      <c r="P1528" s="70"/>
      <c r="Q1528" s="70"/>
      <c r="R1528" s="70"/>
      <c r="S1528" s="70"/>
    </row>
    <row r="1529" ht="15.75" customHeight="1">
      <c r="B1529" s="78"/>
      <c r="C1529" s="79"/>
      <c r="D1529" s="79"/>
      <c r="E1529" s="80"/>
      <c r="F1529" s="81"/>
      <c r="G1529" s="79"/>
      <c r="H1529" s="79"/>
      <c r="I1529" s="79"/>
      <c r="J1529" s="79"/>
      <c r="K1529" s="79"/>
      <c r="L1529" s="79"/>
      <c r="M1529" s="79"/>
      <c r="N1529" s="50"/>
      <c r="O1529" s="82"/>
      <c r="P1529" s="70"/>
      <c r="Q1529" s="70"/>
      <c r="R1529" s="70"/>
      <c r="S1529" s="70"/>
    </row>
    <row r="1530" ht="15.75" customHeight="1">
      <c r="B1530" s="78"/>
      <c r="C1530" s="79"/>
      <c r="D1530" s="79"/>
      <c r="E1530" s="80"/>
      <c r="F1530" s="81"/>
      <c r="G1530" s="79"/>
      <c r="H1530" s="79"/>
      <c r="I1530" s="79"/>
      <c r="J1530" s="79"/>
      <c r="K1530" s="79"/>
      <c r="L1530" s="79"/>
      <c r="M1530" s="79"/>
      <c r="N1530" s="50"/>
      <c r="O1530" s="82"/>
      <c r="P1530" s="70"/>
      <c r="Q1530" s="70"/>
      <c r="R1530" s="70"/>
      <c r="S1530" s="70"/>
    </row>
    <row r="1531" ht="15.75" customHeight="1">
      <c r="B1531" s="78"/>
      <c r="C1531" s="79"/>
      <c r="D1531" s="79"/>
      <c r="E1531" s="80"/>
      <c r="F1531" s="81"/>
      <c r="G1531" s="79"/>
      <c r="H1531" s="79"/>
      <c r="I1531" s="79"/>
      <c r="J1531" s="79"/>
      <c r="K1531" s="79"/>
      <c r="L1531" s="79"/>
      <c r="M1531" s="79"/>
      <c r="N1531" s="50"/>
      <c r="O1531" s="82"/>
      <c r="P1531" s="70"/>
      <c r="Q1531" s="70"/>
      <c r="R1531" s="70"/>
      <c r="S1531" s="70"/>
    </row>
    <row r="1532" ht="15.75" customHeight="1">
      <c r="B1532" s="78"/>
      <c r="C1532" s="79"/>
      <c r="D1532" s="79"/>
      <c r="E1532" s="80"/>
      <c r="F1532" s="81"/>
      <c r="G1532" s="79"/>
      <c r="H1532" s="79"/>
      <c r="I1532" s="79"/>
      <c r="J1532" s="79"/>
      <c r="K1532" s="79"/>
      <c r="L1532" s="79"/>
      <c r="M1532" s="79"/>
      <c r="N1532" s="50"/>
      <c r="O1532" s="82"/>
      <c r="P1532" s="70"/>
      <c r="Q1532" s="70"/>
      <c r="R1532" s="70"/>
      <c r="S1532" s="70"/>
    </row>
    <row r="1533" ht="15.75" customHeight="1">
      <c r="B1533" s="78"/>
      <c r="C1533" s="79"/>
      <c r="D1533" s="79"/>
      <c r="E1533" s="80"/>
      <c r="F1533" s="81"/>
      <c r="G1533" s="79"/>
      <c r="H1533" s="79"/>
      <c r="I1533" s="79"/>
      <c r="J1533" s="79"/>
      <c r="K1533" s="79"/>
      <c r="L1533" s="79"/>
      <c r="M1533" s="79"/>
      <c r="N1533" s="50"/>
      <c r="O1533" s="82"/>
      <c r="P1533" s="70"/>
      <c r="Q1533" s="70"/>
      <c r="R1533" s="70"/>
      <c r="S1533" s="70"/>
    </row>
    <row r="1534" ht="15.75" customHeight="1">
      <c r="B1534" s="78"/>
      <c r="C1534" s="79"/>
      <c r="D1534" s="79"/>
      <c r="E1534" s="80"/>
      <c r="F1534" s="81"/>
      <c r="G1534" s="79"/>
      <c r="H1534" s="79"/>
      <c r="I1534" s="79"/>
      <c r="J1534" s="79"/>
      <c r="K1534" s="79"/>
      <c r="L1534" s="79"/>
      <c r="M1534" s="79"/>
      <c r="N1534" s="50"/>
      <c r="O1534" s="82"/>
      <c r="P1534" s="70"/>
      <c r="Q1534" s="70"/>
      <c r="R1534" s="70"/>
      <c r="S1534" s="70"/>
    </row>
    <row r="1535" ht="15.75" customHeight="1">
      <c r="B1535" s="78"/>
      <c r="C1535" s="79"/>
      <c r="D1535" s="79"/>
      <c r="E1535" s="80"/>
      <c r="F1535" s="81"/>
      <c r="G1535" s="79"/>
      <c r="H1535" s="79"/>
      <c r="I1535" s="79"/>
      <c r="J1535" s="79"/>
      <c r="K1535" s="79"/>
      <c r="L1535" s="79"/>
      <c r="M1535" s="79"/>
      <c r="N1535" s="50"/>
      <c r="O1535" s="82"/>
      <c r="P1535" s="70"/>
      <c r="Q1535" s="70"/>
      <c r="R1535" s="70"/>
      <c r="S1535" s="70"/>
    </row>
    <row r="1536" ht="15.75" customHeight="1">
      <c r="B1536" s="78"/>
      <c r="C1536" s="79"/>
      <c r="D1536" s="79"/>
      <c r="E1536" s="80"/>
      <c r="F1536" s="81"/>
      <c r="G1536" s="79"/>
      <c r="H1536" s="79"/>
      <c r="I1536" s="79"/>
      <c r="J1536" s="79"/>
      <c r="K1536" s="79"/>
      <c r="L1536" s="79"/>
      <c r="M1536" s="79"/>
      <c r="N1536" s="50"/>
      <c r="O1536" s="82"/>
      <c r="P1536" s="70"/>
      <c r="Q1536" s="70"/>
      <c r="R1536" s="70"/>
      <c r="S1536" s="70"/>
    </row>
    <row r="1537" ht="15.75" customHeight="1">
      <c r="B1537" s="78"/>
      <c r="C1537" s="79"/>
      <c r="D1537" s="79"/>
      <c r="E1537" s="80"/>
      <c r="F1537" s="81"/>
      <c r="G1537" s="79"/>
      <c r="H1537" s="79"/>
      <c r="I1537" s="79"/>
      <c r="J1537" s="79"/>
      <c r="K1537" s="79"/>
      <c r="L1537" s="79"/>
      <c r="M1537" s="79"/>
      <c r="N1537" s="50"/>
      <c r="O1537" s="82"/>
      <c r="P1537" s="70"/>
      <c r="Q1537" s="70"/>
      <c r="R1537" s="70"/>
      <c r="S1537" s="70"/>
    </row>
    <row r="1538" ht="15.75" customHeight="1">
      <c r="B1538" s="78"/>
      <c r="C1538" s="79"/>
      <c r="D1538" s="79"/>
      <c r="E1538" s="80"/>
      <c r="F1538" s="81"/>
      <c r="G1538" s="79"/>
      <c r="H1538" s="79"/>
      <c r="I1538" s="79"/>
      <c r="J1538" s="79"/>
      <c r="K1538" s="79"/>
      <c r="L1538" s="79"/>
      <c r="M1538" s="79"/>
      <c r="N1538" s="50"/>
      <c r="O1538" s="82"/>
      <c r="P1538" s="70"/>
      <c r="Q1538" s="70"/>
      <c r="R1538" s="70"/>
      <c r="S1538" s="70"/>
    </row>
    <row r="1539" ht="15.75" customHeight="1">
      <c r="B1539" s="78"/>
      <c r="C1539" s="79"/>
      <c r="D1539" s="79"/>
      <c r="E1539" s="80"/>
      <c r="F1539" s="81"/>
      <c r="G1539" s="79"/>
      <c r="H1539" s="79"/>
      <c r="I1539" s="79"/>
      <c r="J1539" s="79"/>
      <c r="K1539" s="79"/>
      <c r="L1539" s="79"/>
      <c r="M1539" s="79"/>
      <c r="N1539" s="50"/>
      <c r="O1539" s="82"/>
      <c r="P1539" s="70"/>
      <c r="Q1539" s="70"/>
      <c r="R1539" s="70"/>
      <c r="S1539" s="70"/>
    </row>
    <row r="1540" ht="15.75" customHeight="1">
      <c r="B1540" s="78"/>
      <c r="C1540" s="79"/>
      <c r="D1540" s="79"/>
      <c r="E1540" s="80"/>
      <c r="F1540" s="81"/>
      <c r="G1540" s="79"/>
      <c r="H1540" s="79"/>
      <c r="I1540" s="79"/>
      <c r="J1540" s="79"/>
      <c r="K1540" s="79"/>
      <c r="L1540" s="79"/>
      <c r="M1540" s="79"/>
      <c r="N1540" s="50"/>
      <c r="O1540" s="82"/>
      <c r="P1540" s="70"/>
      <c r="Q1540" s="70"/>
      <c r="R1540" s="70"/>
      <c r="S1540" s="70"/>
    </row>
    <row r="1541" ht="15.75" customHeight="1">
      <c r="B1541" s="78"/>
      <c r="C1541" s="79"/>
      <c r="D1541" s="79"/>
      <c r="E1541" s="80"/>
      <c r="F1541" s="81"/>
      <c r="G1541" s="79"/>
      <c r="H1541" s="79"/>
      <c r="I1541" s="79"/>
      <c r="J1541" s="79"/>
      <c r="K1541" s="79"/>
      <c r="L1541" s="79"/>
      <c r="M1541" s="79"/>
      <c r="N1541" s="50"/>
      <c r="O1541" s="82"/>
      <c r="P1541" s="70"/>
      <c r="Q1541" s="70"/>
      <c r="R1541" s="70"/>
      <c r="S1541" s="70"/>
    </row>
    <row r="1542" ht="15.75" customHeight="1">
      <c r="B1542" s="78"/>
      <c r="C1542" s="79"/>
      <c r="D1542" s="79"/>
      <c r="E1542" s="80"/>
      <c r="F1542" s="81"/>
      <c r="G1542" s="79"/>
      <c r="H1542" s="79"/>
      <c r="I1542" s="79"/>
      <c r="J1542" s="79"/>
      <c r="K1542" s="79"/>
      <c r="L1542" s="79"/>
      <c r="M1542" s="79"/>
      <c r="N1542" s="50"/>
      <c r="O1542" s="82"/>
      <c r="P1542" s="70"/>
      <c r="Q1542" s="70"/>
      <c r="R1542" s="70"/>
      <c r="S1542" s="70"/>
    </row>
    <row r="1543" ht="15.75" customHeight="1">
      <c r="B1543" s="78"/>
      <c r="C1543" s="79"/>
      <c r="D1543" s="79"/>
      <c r="E1543" s="80"/>
      <c r="F1543" s="81"/>
      <c r="G1543" s="79"/>
      <c r="H1543" s="79"/>
      <c r="I1543" s="79"/>
      <c r="J1543" s="79"/>
      <c r="K1543" s="79"/>
      <c r="L1543" s="79"/>
      <c r="M1543" s="79"/>
      <c r="N1543" s="50"/>
      <c r="O1543" s="82"/>
      <c r="P1543" s="70"/>
      <c r="Q1543" s="70"/>
      <c r="R1543" s="70"/>
      <c r="S1543" s="70"/>
    </row>
    <row r="1544" ht="15.75" customHeight="1">
      <c r="B1544" s="78"/>
      <c r="C1544" s="79"/>
      <c r="D1544" s="79"/>
      <c r="E1544" s="80"/>
      <c r="F1544" s="81"/>
      <c r="G1544" s="79"/>
      <c r="H1544" s="79"/>
      <c r="I1544" s="79"/>
      <c r="J1544" s="79"/>
      <c r="K1544" s="79"/>
      <c r="L1544" s="79"/>
      <c r="M1544" s="79"/>
      <c r="N1544" s="50"/>
      <c r="O1544" s="82"/>
      <c r="P1544" s="70"/>
      <c r="Q1544" s="70"/>
      <c r="R1544" s="70"/>
      <c r="S1544" s="70"/>
    </row>
    <row r="1545" ht="15.75" customHeight="1">
      <c r="B1545" s="78"/>
      <c r="C1545" s="79"/>
      <c r="D1545" s="79"/>
      <c r="E1545" s="80"/>
      <c r="F1545" s="81"/>
      <c r="G1545" s="79"/>
      <c r="H1545" s="79"/>
      <c r="I1545" s="79"/>
      <c r="J1545" s="79"/>
      <c r="K1545" s="79"/>
      <c r="L1545" s="79"/>
      <c r="M1545" s="79"/>
      <c r="N1545" s="50"/>
      <c r="O1545" s="82"/>
      <c r="P1545" s="70"/>
      <c r="Q1545" s="70"/>
      <c r="R1545" s="70"/>
      <c r="S1545" s="70"/>
    </row>
    <row r="1546" ht="15.75" customHeight="1">
      <c r="B1546" s="78"/>
      <c r="C1546" s="79"/>
      <c r="D1546" s="79"/>
      <c r="E1546" s="80"/>
      <c r="F1546" s="81"/>
      <c r="G1546" s="79"/>
      <c r="H1546" s="79"/>
      <c r="I1546" s="79"/>
      <c r="J1546" s="79"/>
      <c r="K1546" s="79"/>
      <c r="L1546" s="79"/>
      <c r="M1546" s="79"/>
      <c r="N1546" s="50"/>
      <c r="O1546" s="82"/>
      <c r="P1546" s="70"/>
      <c r="Q1546" s="70"/>
      <c r="R1546" s="70"/>
      <c r="S1546" s="70"/>
    </row>
    <row r="1547" ht="15.75" customHeight="1">
      <c r="B1547" s="78"/>
      <c r="C1547" s="79"/>
      <c r="D1547" s="79"/>
      <c r="E1547" s="80"/>
      <c r="F1547" s="81"/>
      <c r="G1547" s="79"/>
      <c r="H1547" s="79"/>
      <c r="I1547" s="79"/>
      <c r="J1547" s="79"/>
      <c r="K1547" s="79"/>
      <c r="L1547" s="79"/>
      <c r="M1547" s="79"/>
      <c r="N1547" s="50"/>
      <c r="O1547" s="82"/>
      <c r="P1547" s="70"/>
      <c r="Q1547" s="70"/>
      <c r="R1547" s="70"/>
      <c r="S1547" s="70"/>
    </row>
    <row r="1548" ht="15.75" customHeight="1">
      <c r="B1548" s="78"/>
      <c r="C1548" s="79"/>
      <c r="D1548" s="79"/>
      <c r="E1548" s="80"/>
      <c r="F1548" s="81"/>
      <c r="G1548" s="79"/>
      <c r="H1548" s="79"/>
      <c r="I1548" s="79"/>
      <c r="J1548" s="79"/>
      <c r="K1548" s="79"/>
      <c r="L1548" s="79"/>
      <c r="M1548" s="79"/>
      <c r="N1548" s="50"/>
      <c r="O1548" s="82"/>
      <c r="P1548" s="70"/>
      <c r="Q1548" s="70"/>
      <c r="R1548" s="70"/>
      <c r="S1548" s="70"/>
    </row>
    <row r="1549" ht="15.75" customHeight="1">
      <c r="B1549" s="78"/>
      <c r="C1549" s="79"/>
      <c r="D1549" s="79"/>
      <c r="E1549" s="80"/>
      <c r="F1549" s="81"/>
      <c r="G1549" s="79"/>
      <c r="H1549" s="79"/>
      <c r="I1549" s="79"/>
      <c r="J1549" s="79"/>
      <c r="K1549" s="79"/>
      <c r="L1549" s="79"/>
      <c r="M1549" s="79"/>
      <c r="N1549" s="50"/>
      <c r="O1549" s="82"/>
      <c r="P1549" s="70"/>
      <c r="Q1549" s="70"/>
      <c r="R1549" s="70"/>
      <c r="S1549" s="70"/>
    </row>
    <row r="1550" ht="15.75" customHeight="1">
      <c r="B1550" s="78"/>
      <c r="C1550" s="79"/>
      <c r="D1550" s="79"/>
      <c r="E1550" s="80"/>
      <c r="F1550" s="81"/>
      <c r="G1550" s="79"/>
      <c r="H1550" s="79"/>
      <c r="I1550" s="79"/>
      <c r="J1550" s="79"/>
      <c r="K1550" s="79"/>
      <c r="L1550" s="79"/>
      <c r="M1550" s="79"/>
      <c r="N1550" s="50"/>
      <c r="O1550" s="82"/>
      <c r="P1550" s="70"/>
      <c r="Q1550" s="70"/>
      <c r="R1550" s="70"/>
      <c r="S1550" s="70"/>
    </row>
    <row r="1551" ht="15.75" customHeight="1">
      <c r="B1551" s="78"/>
      <c r="C1551" s="79"/>
      <c r="D1551" s="79"/>
      <c r="E1551" s="80"/>
      <c r="F1551" s="81"/>
      <c r="G1551" s="79"/>
      <c r="H1551" s="79"/>
      <c r="I1551" s="79"/>
      <c r="J1551" s="79"/>
      <c r="K1551" s="79"/>
      <c r="L1551" s="79"/>
      <c r="M1551" s="79"/>
      <c r="N1551" s="50"/>
      <c r="O1551" s="82"/>
      <c r="P1551" s="70"/>
      <c r="Q1551" s="70"/>
      <c r="R1551" s="70"/>
      <c r="S1551" s="70"/>
    </row>
    <row r="1552" ht="15.75" customHeight="1">
      <c r="B1552" s="78"/>
      <c r="C1552" s="79"/>
      <c r="D1552" s="79"/>
      <c r="E1552" s="80"/>
      <c r="F1552" s="81"/>
      <c r="G1552" s="79"/>
      <c r="H1552" s="79"/>
      <c r="I1552" s="79"/>
      <c r="J1552" s="79"/>
      <c r="K1552" s="79"/>
      <c r="L1552" s="79"/>
      <c r="M1552" s="79"/>
      <c r="N1552" s="50"/>
      <c r="O1552" s="82"/>
      <c r="P1552" s="70"/>
      <c r="Q1552" s="70"/>
      <c r="R1552" s="70"/>
      <c r="S1552" s="70"/>
    </row>
    <row r="1553" ht="15.75" customHeight="1">
      <c r="B1553" s="78"/>
      <c r="C1553" s="79"/>
      <c r="D1553" s="79"/>
      <c r="E1553" s="80"/>
      <c r="F1553" s="81"/>
      <c r="G1553" s="79"/>
      <c r="H1553" s="79"/>
      <c r="I1553" s="79"/>
      <c r="J1553" s="79"/>
      <c r="K1553" s="79"/>
      <c r="L1553" s="79"/>
      <c r="M1553" s="79"/>
      <c r="N1553" s="50"/>
      <c r="O1553" s="82"/>
      <c r="P1553" s="70"/>
      <c r="Q1553" s="70"/>
      <c r="R1553" s="70"/>
      <c r="S1553" s="70"/>
    </row>
    <row r="1554" ht="15.75" customHeight="1">
      <c r="B1554" s="78"/>
      <c r="C1554" s="79"/>
      <c r="D1554" s="79"/>
      <c r="E1554" s="80"/>
      <c r="F1554" s="81"/>
      <c r="G1554" s="79"/>
      <c r="H1554" s="79"/>
      <c r="I1554" s="79"/>
      <c r="J1554" s="79"/>
      <c r="K1554" s="79"/>
      <c r="L1554" s="79"/>
      <c r="M1554" s="79"/>
      <c r="N1554" s="50"/>
      <c r="O1554" s="82"/>
      <c r="P1554" s="70"/>
      <c r="Q1554" s="70"/>
      <c r="R1554" s="70"/>
      <c r="S1554" s="70"/>
    </row>
    <row r="1555" ht="15.75" customHeight="1">
      <c r="B1555" s="78"/>
      <c r="C1555" s="79"/>
      <c r="D1555" s="79"/>
      <c r="E1555" s="80"/>
      <c r="F1555" s="81"/>
      <c r="G1555" s="79"/>
      <c r="H1555" s="79"/>
      <c r="I1555" s="79"/>
      <c r="J1555" s="79"/>
      <c r="K1555" s="79"/>
      <c r="L1555" s="79"/>
      <c r="M1555" s="79"/>
      <c r="N1555" s="50"/>
      <c r="O1555" s="82"/>
      <c r="P1555" s="70"/>
      <c r="Q1555" s="70"/>
      <c r="R1555" s="70"/>
      <c r="S1555" s="70"/>
    </row>
    <row r="1556" ht="15.75" customHeight="1">
      <c r="B1556" s="78"/>
      <c r="C1556" s="79"/>
      <c r="D1556" s="79"/>
      <c r="E1556" s="80"/>
      <c r="F1556" s="81"/>
      <c r="G1556" s="79"/>
      <c r="H1556" s="79"/>
      <c r="I1556" s="79"/>
      <c r="J1556" s="79"/>
      <c r="K1556" s="79"/>
      <c r="L1556" s="79"/>
      <c r="M1556" s="79"/>
      <c r="N1556" s="50"/>
      <c r="O1556" s="82"/>
      <c r="P1556" s="70"/>
      <c r="Q1556" s="70"/>
      <c r="R1556" s="70"/>
      <c r="S1556" s="70"/>
    </row>
    <row r="1557" ht="15.75" customHeight="1">
      <c r="B1557" s="78"/>
      <c r="C1557" s="79"/>
      <c r="D1557" s="79"/>
      <c r="E1557" s="80"/>
      <c r="F1557" s="81"/>
      <c r="G1557" s="79"/>
      <c r="H1557" s="79"/>
      <c r="I1557" s="79"/>
      <c r="J1557" s="79"/>
      <c r="K1557" s="79"/>
      <c r="L1557" s="79"/>
      <c r="M1557" s="79"/>
      <c r="N1557" s="50"/>
      <c r="O1557" s="82"/>
      <c r="P1557" s="70"/>
      <c r="Q1557" s="70"/>
      <c r="R1557" s="70"/>
      <c r="S1557" s="70"/>
    </row>
    <row r="1558" ht="15.75" customHeight="1">
      <c r="B1558" s="78"/>
      <c r="C1558" s="79"/>
      <c r="D1558" s="79"/>
      <c r="E1558" s="80"/>
      <c r="F1558" s="81"/>
      <c r="G1558" s="79"/>
      <c r="H1558" s="79"/>
      <c r="I1558" s="79"/>
      <c r="J1558" s="79"/>
      <c r="K1558" s="79"/>
      <c r="L1558" s="79"/>
      <c r="M1558" s="79"/>
      <c r="N1558" s="50"/>
      <c r="O1558" s="82"/>
      <c r="P1558" s="70"/>
      <c r="Q1558" s="70"/>
      <c r="R1558" s="70"/>
      <c r="S1558" s="70"/>
    </row>
    <row r="1559" ht="15.75" customHeight="1">
      <c r="B1559" s="78"/>
      <c r="C1559" s="79"/>
      <c r="D1559" s="79"/>
      <c r="E1559" s="80"/>
      <c r="F1559" s="81"/>
      <c r="G1559" s="79"/>
      <c r="H1559" s="79"/>
      <c r="I1559" s="79"/>
      <c r="J1559" s="79"/>
      <c r="K1559" s="79"/>
      <c r="L1559" s="79"/>
      <c r="M1559" s="79"/>
      <c r="N1559" s="50"/>
      <c r="O1559" s="82"/>
      <c r="P1559" s="70"/>
      <c r="Q1559" s="70"/>
      <c r="R1559" s="70"/>
      <c r="S1559" s="70"/>
    </row>
    <row r="1560" ht="15.75" customHeight="1">
      <c r="B1560" s="78"/>
      <c r="C1560" s="79"/>
      <c r="D1560" s="79"/>
      <c r="E1560" s="80"/>
      <c r="F1560" s="81"/>
      <c r="G1560" s="79"/>
      <c r="H1560" s="79"/>
      <c r="I1560" s="79"/>
      <c r="J1560" s="79"/>
      <c r="K1560" s="79"/>
      <c r="L1560" s="79"/>
      <c r="M1560" s="79"/>
      <c r="N1560" s="50"/>
      <c r="O1560" s="82"/>
      <c r="P1560" s="70"/>
      <c r="Q1560" s="70"/>
      <c r="R1560" s="70"/>
      <c r="S1560" s="70"/>
    </row>
    <row r="1561" ht="15.75" customHeight="1">
      <c r="B1561" s="78"/>
      <c r="C1561" s="79"/>
      <c r="D1561" s="79"/>
      <c r="E1561" s="80"/>
      <c r="F1561" s="81"/>
      <c r="G1561" s="79"/>
      <c r="H1561" s="79"/>
      <c r="I1561" s="79"/>
      <c r="J1561" s="79"/>
      <c r="K1561" s="79"/>
      <c r="L1561" s="79"/>
      <c r="M1561" s="79"/>
      <c r="N1561" s="50"/>
      <c r="O1561" s="82"/>
      <c r="P1561" s="70"/>
      <c r="Q1561" s="70"/>
      <c r="R1561" s="70"/>
      <c r="S1561" s="70"/>
    </row>
    <row r="1562" ht="15.75" customHeight="1">
      <c r="B1562" s="78"/>
      <c r="C1562" s="79"/>
      <c r="D1562" s="79"/>
      <c r="E1562" s="80"/>
      <c r="F1562" s="81"/>
      <c r="G1562" s="79"/>
      <c r="H1562" s="79"/>
      <c r="I1562" s="79"/>
      <c r="J1562" s="79"/>
      <c r="K1562" s="79"/>
      <c r="L1562" s="79"/>
      <c r="M1562" s="79"/>
      <c r="N1562" s="50"/>
      <c r="O1562" s="82"/>
      <c r="P1562" s="70"/>
      <c r="Q1562" s="70"/>
      <c r="R1562" s="70"/>
      <c r="S1562" s="70"/>
    </row>
    <row r="1563" ht="15.75" customHeight="1">
      <c r="B1563" s="78"/>
      <c r="C1563" s="79"/>
      <c r="D1563" s="79"/>
      <c r="E1563" s="80"/>
      <c r="F1563" s="81"/>
      <c r="G1563" s="79"/>
      <c r="H1563" s="79"/>
      <c r="I1563" s="79"/>
      <c r="J1563" s="79"/>
      <c r="K1563" s="79"/>
      <c r="L1563" s="79"/>
      <c r="M1563" s="79"/>
      <c r="N1563" s="50"/>
      <c r="O1563" s="82"/>
      <c r="P1563" s="70"/>
      <c r="Q1563" s="70"/>
      <c r="R1563" s="70"/>
      <c r="S1563" s="70"/>
    </row>
    <row r="1564" ht="15.75" customHeight="1">
      <c r="B1564" s="78"/>
      <c r="C1564" s="79"/>
      <c r="D1564" s="79"/>
      <c r="E1564" s="80"/>
      <c r="F1564" s="81"/>
      <c r="G1564" s="79"/>
      <c r="H1564" s="79"/>
      <c r="I1564" s="79"/>
      <c r="J1564" s="79"/>
      <c r="K1564" s="79"/>
      <c r="L1564" s="79"/>
      <c r="M1564" s="79"/>
      <c r="N1564" s="50"/>
      <c r="O1564" s="82"/>
      <c r="P1564" s="70"/>
      <c r="Q1564" s="70"/>
      <c r="R1564" s="70"/>
      <c r="S1564" s="70"/>
    </row>
    <row r="1565" ht="15.75" customHeight="1">
      <c r="B1565" s="78"/>
      <c r="C1565" s="79"/>
      <c r="D1565" s="79"/>
      <c r="E1565" s="80"/>
      <c r="F1565" s="81"/>
      <c r="G1565" s="79"/>
      <c r="H1565" s="79"/>
      <c r="I1565" s="79"/>
      <c r="J1565" s="79"/>
      <c r="K1565" s="79"/>
      <c r="L1565" s="79"/>
      <c r="M1565" s="79"/>
      <c r="N1565" s="50"/>
      <c r="O1565" s="82"/>
      <c r="P1565" s="70"/>
      <c r="Q1565" s="70"/>
      <c r="R1565" s="70"/>
      <c r="S1565" s="70"/>
    </row>
    <row r="1566" ht="15.75" customHeight="1">
      <c r="B1566" s="78"/>
      <c r="C1566" s="79"/>
      <c r="D1566" s="79"/>
      <c r="E1566" s="80"/>
      <c r="F1566" s="81"/>
      <c r="G1566" s="79"/>
      <c r="H1566" s="79"/>
      <c r="I1566" s="79"/>
      <c r="J1566" s="79"/>
      <c r="K1566" s="79"/>
      <c r="L1566" s="79"/>
      <c r="M1566" s="79"/>
      <c r="N1566" s="50"/>
      <c r="O1566" s="82"/>
      <c r="P1566" s="70"/>
      <c r="Q1566" s="70"/>
      <c r="R1566" s="70"/>
      <c r="S1566" s="70"/>
    </row>
    <row r="1567" ht="15.75" customHeight="1">
      <c r="B1567" s="78"/>
      <c r="C1567" s="79"/>
      <c r="D1567" s="79"/>
      <c r="E1567" s="80"/>
      <c r="F1567" s="81"/>
      <c r="G1567" s="79"/>
      <c r="H1567" s="79"/>
      <c r="I1567" s="79"/>
      <c r="J1567" s="79"/>
      <c r="K1567" s="79"/>
      <c r="L1567" s="79"/>
      <c r="M1567" s="79"/>
      <c r="N1567" s="50"/>
      <c r="O1567" s="82"/>
      <c r="P1567" s="70"/>
      <c r="Q1567" s="70"/>
      <c r="R1567" s="70"/>
      <c r="S1567" s="70"/>
    </row>
    <row r="1568" ht="15.75" customHeight="1">
      <c r="B1568" s="78"/>
      <c r="C1568" s="79"/>
      <c r="D1568" s="79"/>
      <c r="E1568" s="80"/>
      <c r="F1568" s="81"/>
      <c r="G1568" s="79"/>
      <c r="H1568" s="79"/>
      <c r="I1568" s="79"/>
      <c r="J1568" s="79"/>
      <c r="K1568" s="79"/>
      <c r="L1568" s="79"/>
      <c r="M1568" s="79"/>
      <c r="N1568" s="50"/>
      <c r="O1568" s="82"/>
      <c r="P1568" s="70"/>
      <c r="Q1568" s="70"/>
      <c r="R1568" s="70"/>
      <c r="S1568" s="70"/>
    </row>
    <row r="1569" ht="15.75" customHeight="1">
      <c r="B1569" s="78"/>
      <c r="C1569" s="79"/>
      <c r="D1569" s="79"/>
      <c r="E1569" s="80"/>
      <c r="F1569" s="81"/>
      <c r="G1569" s="79"/>
      <c r="H1569" s="79"/>
      <c r="I1569" s="79"/>
      <c r="J1569" s="79"/>
      <c r="K1569" s="79"/>
      <c r="L1569" s="79"/>
      <c r="M1569" s="79"/>
      <c r="N1569" s="50"/>
      <c r="O1569" s="82"/>
      <c r="P1569" s="70"/>
      <c r="Q1569" s="70"/>
      <c r="R1569" s="70"/>
      <c r="S1569" s="70"/>
    </row>
    <row r="1570" ht="15.75" customHeight="1">
      <c r="B1570" s="78"/>
      <c r="C1570" s="79"/>
      <c r="D1570" s="79"/>
      <c r="E1570" s="80"/>
      <c r="F1570" s="81"/>
      <c r="G1570" s="79"/>
      <c r="H1570" s="79"/>
      <c r="I1570" s="79"/>
      <c r="J1570" s="79"/>
      <c r="K1570" s="79"/>
      <c r="L1570" s="79"/>
      <c r="M1570" s="79"/>
      <c r="N1570" s="50"/>
      <c r="O1570" s="82"/>
      <c r="P1570" s="70"/>
      <c r="Q1570" s="70"/>
      <c r="R1570" s="70"/>
      <c r="S1570" s="70"/>
    </row>
    <row r="1571" ht="15.75" customHeight="1">
      <c r="B1571" s="78"/>
      <c r="C1571" s="79"/>
      <c r="D1571" s="79"/>
      <c r="E1571" s="80"/>
      <c r="F1571" s="81"/>
      <c r="G1571" s="79"/>
      <c r="H1571" s="79"/>
      <c r="I1571" s="79"/>
      <c r="J1571" s="79"/>
      <c r="K1571" s="79"/>
      <c r="L1571" s="79"/>
      <c r="M1571" s="79"/>
      <c r="N1571" s="50"/>
      <c r="O1571" s="82"/>
      <c r="P1571" s="70"/>
      <c r="Q1571" s="70"/>
      <c r="R1571" s="70"/>
      <c r="S1571" s="70"/>
    </row>
    <row r="1572" ht="15.75" customHeight="1">
      <c r="B1572" s="78"/>
      <c r="C1572" s="79"/>
      <c r="D1572" s="79"/>
      <c r="E1572" s="80"/>
      <c r="F1572" s="81"/>
      <c r="G1572" s="79"/>
      <c r="H1572" s="79"/>
      <c r="I1572" s="79"/>
      <c r="J1572" s="79"/>
      <c r="K1572" s="79"/>
      <c r="L1572" s="79"/>
      <c r="M1572" s="79"/>
      <c r="N1572" s="50"/>
      <c r="O1572" s="82"/>
      <c r="P1572" s="70"/>
      <c r="Q1572" s="70"/>
      <c r="R1572" s="70"/>
      <c r="S1572" s="70"/>
    </row>
    <row r="1573" ht="15.75" customHeight="1">
      <c r="B1573" s="78"/>
      <c r="C1573" s="79"/>
      <c r="D1573" s="79"/>
      <c r="E1573" s="80"/>
      <c r="F1573" s="81"/>
      <c r="G1573" s="79"/>
      <c r="H1573" s="79"/>
      <c r="I1573" s="79"/>
      <c r="J1573" s="79"/>
      <c r="K1573" s="79"/>
      <c r="L1573" s="79"/>
      <c r="M1573" s="79"/>
      <c r="N1573" s="50"/>
      <c r="O1573" s="82"/>
      <c r="P1573" s="70"/>
      <c r="Q1573" s="70"/>
      <c r="R1573" s="70"/>
      <c r="S1573" s="70"/>
    </row>
    <row r="1574" ht="15.75" customHeight="1">
      <c r="B1574" s="78"/>
      <c r="C1574" s="79"/>
      <c r="D1574" s="79"/>
      <c r="E1574" s="80"/>
      <c r="F1574" s="81"/>
      <c r="G1574" s="79"/>
      <c r="H1574" s="79"/>
      <c r="I1574" s="79"/>
      <c r="J1574" s="79"/>
      <c r="K1574" s="79"/>
      <c r="L1574" s="79"/>
      <c r="M1574" s="79"/>
      <c r="N1574" s="50"/>
      <c r="O1574" s="82"/>
      <c r="P1574" s="70"/>
      <c r="Q1574" s="70"/>
      <c r="R1574" s="70"/>
      <c r="S1574" s="70"/>
    </row>
    <row r="1575" ht="15.75" customHeight="1">
      <c r="B1575" s="78"/>
      <c r="C1575" s="79"/>
      <c r="D1575" s="79"/>
      <c r="E1575" s="80"/>
      <c r="F1575" s="81"/>
      <c r="G1575" s="79"/>
      <c r="H1575" s="79"/>
      <c r="I1575" s="79"/>
      <c r="J1575" s="79"/>
      <c r="K1575" s="79"/>
      <c r="L1575" s="79"/>
      <c r="M1575" s="79"/>
      <c r="N1575" s="50"/>
      <c r="O1575" s="82"/>
      <c r="P1575" s="70"/>
      <c r="Q1575" s="70"/>
      <c r="R1575" s="70"/>
      <c r="S1575" s="70"/>
    </row>
    <row r="1576" ht="15.75" customHeight="1">
      <c r="B1576" s="78"/>
      <c r="C1576" s="79"/>
      <c r="D1576" s="79"/>
      <c r="E1576" s="80"/>
      <c r="F1576" s="81"/>
      <c r="G1576" s="79"/>
      <c r="H1576" s="79"/>
      <c r="I1576" s="79"/>
      <c r="J1576" s="79"/>
      <c r="K1576" s="79"/>
      <c r="L1576" s="79"/>
      <c r="M1576" s="79"/>
      <c r="N1576" s="50"/>
      <c r="O1576" s="82"/>
      <c r="P1576" s="70"/>
      <c r="Q1576" s="70"/>
      <c r="R1576" s="70"/>
      <c r="S1576" s="70"/>
    </row>
    <row r="1577" ht="15.75" customHeight="1">
      <c r="B1577" s="78"/>
      <c r="C1577" s="79"/>
      <c r="D1577" s="79"/>
      <c r="E1577" s="80"/>
      <c r="F1577" s="81"/>
      <c r="G1577" s="79"/>
      <c r="H1577" s="79"/>
      <c r="I1577" s="79"/>
      <c r="J1577" s="79"/>
      <c r="K1577" s="79"/>
      <c r="L1577" s="79"/>
      <c r="M1577" s="79"/>
      <c r="N1577" s="50"/>
      <c r="O1577" s="82"/>
      <c r="P1577" s="70"/>
      <c r="Q1577" s="70"/>
      <c r="R1577" s="70"/>
      <c r="S1577" s="70"/>
    </row>
    <row r="1578" ht="15.75" customHeight="1">
      <c r="B1578" s="78"/>
      <c r="C1578" s="79"/>
      <c r="D1578" s="79"/>
      <c r="E1578" s="80"/>
      <c r="F1578" s="81"/>
      <c r="G1578" s="79"/>
      <c r="H1578" s="79"/>
      <c r="I1578" s="79"/>
      <c r="J1578" s="79"/>
      <c r="K1578" s="79"/>
      <c r="L1578" s="79"/>
      <c r="M1578" s="79"/>
      <c r="N1578" s="50"/>
      <c r="O1578" s="82"/>
      <c r="P1578" s="70"/>
      <c r="Q1578" s="70"/>
      <c r="R1578" s="70"/>
      <c r="S1578" s="70"/>
    </row>
    <row r="1579" ht="15.75" customHeight="1">
      <c r="B1579" s="78"/>
      <c r="C1579" s="79"/>
      <c r="D1579" s="79"/>
      <c r="E1579" s="80"/>
      <c r="F1579" s="81"/>
      <c r="G1579" s="79"/>
      <c r="H1579" s="79"/>
      <c r="I1579" s="79"/>
      <c r="J1579" s="79"/>
      <c r="K1579" s="79"/>
      <c r="L1579" s="79"/>
      <c r="M1579" s="79"/>
      <c r="N1579" s="50"/>
      <c r="O1579" s="82"/>
      <c r="P1579" s="70"/>
      <c r="Q1579" s="70"/>
      <c r="R1579" s="70"/>
      <c r="S1579" s="70"/>
    </row>
    <row r="1580" ht="15.75" customHeight="1">
      <c r="B1580" s="78"/>
      <c r="C1580" s="79"/>
      <c r="D1580" s="79"/>
      <c r="E1580" s="80"/>
      <c r="F1580" s="81"/>
      <c r="G1580" s="79"/>
      <c r="H1580" s="79"/>
      <c r="I1580" s="79"/>
      <c r="J1580" s="79"/>
      <c r="K1580" s="79"/>
      <c r="L1580" s="79"/>
      <c r="M1580" s="79"/>
      <c r="N1580" s="50"/>
      <c r="O1580" s="82"/>
      <c r="P1580" s="70"/>
      <c r="Q1580" s="70"/>
      <c r="R1580" s="70"/>
      <c r="S1580" s="70"/>
    </row>
    <row r="1581" ht="15.75" customHeight="1">
      <c r="B1581" s="78"/>
      <c r="C1581" s="79"/>
      <c r="D1581" s="79"/>
      <c r="E1581" s="80"/>
      <c r="F1581" s="81"/>
      <c r="G1581" s="79"/>
      <c r="H1581" s="79"/>
      <c r="I1581" s="79"/>
      <c r="J1581" s="79"/>
      <c r="K1581" s="79"/>
      <c r="L1581" s="79"/>
      <c r="M1581" s="79"/>
      <c r="N1581" s="50"/>
      <c r="O1581" s="82"/>
      <c r="P1581" s="70"/>
      <c r="Q1581" s="70"/>
      <c r="R1581" s="70"/>
      <c r="S1581" s="70"/>
    </row>
    <row r="1582" ht="15.75" customHeight="1">
      <c r="B1582" s="78"/>
      <c r="C1582" s="79"/>
      <c r="D1582" s="79"/>
      <c r="E1582" s="80"/>
      <c r="F1582" s="81"/>
      <c r="G1582" s="79"/>
      <c r="H1582" s="79"/>
      <c r="I1582" s="79"/>
      <c r="J1582" s="79"/>
      <c r="K1582" s="79"/>
      <c r="L1582" s="79"/>
      <c r="M1582" s="79"/>
      <c r="N1582" s="50"/>
      <c r="O1582" s="82"/>
      <c r="P1582" s="70"/>
      <c r="Q1582" s="70"/>
      <c r="R1582" s="70"/>
      <c r="S1582" s="70"/>
    </row>
    <row r="1583" ht="15.75" customHeight="1">
      <c r="B1583" s="78"/>
      <c r="C1583" s="79"/>
      <c r="D1583" s="79"/>
      <c r="E1583" s="80"/>
      <c r="F1583" s="81"/>
      <c r="G1583" s="79"/>
      <c r="H1583" s="79"/>
      <c r="I1583" s="79"/>
      <c r="J1583" s="79"/>
      <c r="K1583" s="79"/>
      <c r="L1583" s="79"/>
      <c r="M1583" s="79"/>
      <c r="N1583" s="50"/>
      <c r="O1583" s="82"/>
      <c r="P1583" s="70"/>
      <c r="Q1583" s="70"/>
      <c r="R1583" s="70"/>
      <c r="S1583" s="70"/>
    </row>
    <row r="1584" ht="15.75" customHeight="1">
      <c r="B1584" s="78"/>
      <c r="C1584" s="79"/>
      <c r="D1584" s="79"/>
      <c r="E1584" s="80"/>
      <c r="F1584" s="81"/>
      <c r="G1584" s="79"/>
      <c r="H1584" s="79"/>
      <c r="I1584" s="79"/>
      <c r="J1584" s="79"/>
      <c r="K1584" s="79"/>
      <c r="L1584" s="79"/>
      <c r="M1584" s="79"/>
      <c r="N1584" s="50"/>
      <c r="O1584" s="82"/>
      <c r="P1584" s="70"/>
      <c r="Q1584" s="70"/>
      <c r="R1584" s="70"/>
      <c r="S1584" s="70"/>
    </row>
    <row r="1585" ht="15.75" customHeight="1">
      <c r="B1585" s="78"/>
      <c r="C1585" s="79"/>
      <c r="D1585" s="79"/>
      <c r="E1585" s="80"/>
      <c r="F1585" s="81"/>
      <c r="G1585" s="79"/>
      <c r="H1585" s="79"/>
      <c r="I1585" s="79"/>
      <c r="J1585" s="79"/>
      <c r="K1585" s="79"/>
      <c r="L1585" s="79"/>
      <c r="M1585" s="79"/>
      <c r="N1585" s="50"/>
      <c r="O1585" s="82"/>
      <c r="P1585" s="70"/>
      <c r="Q1585" s="70"/>
      <c r="R1585" s="70"/>
      <c r="S1585" s="70"/>
    </row>
    <row r="1586" ht="15.75" customHeight="1">
      <c r="B1586" s="78"/>
      <c r="C1586" s="79"/>
      <c r="D1586" s="79"/>
      <c r="E1586" s="80"/>
      <c r="F1586" s="81"/>
      <c r="G1586" s="79"/>
      <c r="H1586" s="79"/>
      <c r="I1586" s="79"/>
      <c r="J1586" s="79"/>
      <c r="K1586" s="79"/>
      <c r="L1586" s="79"/>
      <c r="M1586" s="79"/>
      <c r="N1586" s="50"/>
      <c r="O1586" s="82"/>
      <c r="P1586" s="70"/>
      <c r="Q1586" s="70"/>
      <c r="R1586" s="70"/>
      <c r="S1586" s="70"/>
    </row>
    <row r="1587" ht="15.75" customHeight="1">
      <c r="B1587" s="78"/>
      <c r="C1587" s="79"/>
      <c r="D1587" s="79"/>
      <c r="E1587" s="80"/>
      <c r="F1587" s="81"/>
      <c r="G1587" s="79"/>
      <c r="H1587" s="79"/>
      <c r="I1587" s="79"/>
      <c r="J1587" s="79"/>
      <c r="K1587" s="79"/>
      <c r="L1587" s="79"/>
      <c r="M1587" s="79"/>
      <c r="N1587" s="50"/>
      <c r="O1587" s="82"/>
      <c r="P1587" s="70"/>
      <c r="Q1587" s="70"/>
      <c r="R1587" s="70"/>
      <c r="S1587" s="70"/>
    </row>
    <row r="1588" ht="15.75" customHeight="1">
      <c r="B1588" s="78"/>
      <c r="C1588" s="79"/>
      <c r="D1588" s="79"/>
      <c r="E1588" s="80"/>
      <c r="F1588" s="81"/>
      <c r="G1588" s="79"/>
      <c r="H1588" s="79"/>
      <c r="I1588" s="79"/>
      <c r="J1588" s="79"/>
      <c r="K1588" s="79"/>
      <c r="L1588" s="79"/>
      <c r="M1588" s="79"/>
      <c r="N1588" s="50"/>
      <c r="O1588" s="82"/>
      <c r="P1588" s="70"/>
      <c r="Q1588" s="70"/>
      <c r="R1588" s="70"/>
      <c r="S1588" s="70"/>
    </row>
    <row r="1589" ht="15.75" customHeight="1">
      <c r="B1589" s="78"/>
      <c r="C1589" s="79"/>
      <c r="D1589" s="79"/>
      <c r="E1589" s="80"/>
      <c r="F1589" s="81"/>
      <c r="G1589" s="79"/>
      <c r="H1589" s="79"/>
      <c r="I1589" s="79"/>
      <c r="J1589" s="79"/>
      <c r="K1589" s="79"/>
      <c r="L1589" s="79"/>
      <c r="M1589" s="79"/>
      <c r="N1589" s="50"/>
      <c r="O1589" s="82"/>
      <c r="P1589" s="70"/>
      <c r="Q1589" s="70"/>
      <c r="R1589" s="70"/>
      <c r="S1589" s="70"/>
    </row>
    <row r="1590" ht="15.75" customHeight="1">
      <c r="B1590" s="78"/>
      <c r="C1590" s="79"/>
      <c r="D1590" s="79"/>
      <c r="E1590" s="80"/>
      <c r="F1590" s="81"/>
      <c r="G1590" s="79"/>
      <c r="H1590" s="79"/>
      <c r="I1590" s="79"/>
      <c r="J1590" s="79"/>
      <c r="K1590" s="79"/>
      <c r="L1590" s="79"/>
      <c r="M1590" s="79"/>
      <c r="N1590" s="50"/>
      <c r="O1590" s="82"/>
      <c r="P1590" s="70"/>
      <c r="Q1590" s="70"/>
      <c r="R1590" s="70"/>
      <c r="S1590" s="70"/>
    </row>
    <row r="1591" ht="15.75" customHeight="1">
      <c r="B1591" s="78"/>
      <c r="C1591" s="79"/>
      <c r="D1591" s="79"/>
      <c r="E1591" s="80"/>
      <c r="F1591" s="81"/>
      <c r="G1591" s="79"/>
      <c r="H1591" s="79"/>
      <c r="I1591" s="79"/>
      <c r="J1591" s="79"/>
      <c r="K1591" s="79"/>
      <c r="L1591" s="79"/>
      <c r="M1591" s="79"/>
      <c r="N1591" s="50"/>
      <c r="O1591" s="82"/>
      <c r="P1591" s="70"/>
      <c r="Q1591" s="70"/>
      <c r="R1591" s="70"/>
      <c r="S1591" s="70"/>
    </row>
    <row r="1592" ht="15.75" customHeight="1">
      <c r="B1592" s="78"/>
      <c r="C1592" s="79"/>
      <c r="D1592" s="79"/>
      <c r="E1592" s="80"/>
      <c r="F1592" s="81"/>
      <c r="G1592" s="79"/>
      <c r="H1592" s="79"/>
      <c r="I1592" s="79"/>
      <c r="J1592" s="79"/>
      <c r="K1592" s="79"/>
      <c r="L1592" s="79"/>
      <c r="M1592" s="79"/>
      <c r="N1592" s="50"/>
      <c r="O1592" s="82"/>
      <c r="P1592" s="70"/>
      <c r="Q1592" s="70"/>
      <c r="R1592" s="70"/>
      <c r="S1592" s="70"/>
    </row>
    <row r="1593" ht="15.75" customHeight="1">
      <c r="B1593" s="78"/>
      <c r="C1593" s="79"/>
      <c r="D1593" s="79"/>
      <c r="E1593" s="80"/>
      <c r="F1593" s="81"/>
      <c r="G1593" s="79"/>
      <c r="H1593" s="79"/>
      <c r="I1593" s="79"/>
      <c r="J1593" s="79"/>
      <c r="K1593" s="79"/>
      <c r="L1593" s="79"/>
      <c r="M1593" s="79"/>
      <c r="N1593" s="50"/>
      <c r="O1593" s="82"/>
      <c r="P1593" s="70"/>
      <c r="Q1593" s="70"/>
      <c r="R1593" s="70"/>
      <c r="S1593" s="70"/>
    </row>
    <row r="1594" ht="15.75" customHeight="1">
      <c r="B1594" s="78"/>
      <c r="C1594" s="79"/>
      <c r="D1594" s="79"/>
      <c r="E1594" s="80"/>
      <c r="F1594" s="81"/>
      <c r="G1594" s="79"/>
      <c r="H1594" s="79"/>
      <c r="I1594" s="79"/>
      <c r="J1594" s="79"/>
      <c r="K1594" s="79"/>
      <c r="L1594" s="79"/>
      <c r="M1594" s="79"/>
      <c r="N1594" s="50"/>
      <c r="O1594" s="82"/>
      <c r="P1594" s="70"/>
      <c r="Q1594" s="70"/>
      <c r="R1594" s="70"/>
      <c r="S1594" s="70"/>
    </row>
    <row r="1595" ht="15.75" customHeight="1">
      <c r="B1595" s="78"/>
      <c r="C1595" s="79"/>
      <c r="D1595" s="79"/>
      <c r="E1595" s="80"/>
      <c r="F1595" s="81"/>
      <c r="G1595" s="79"/>
      <c r="H1595" s="79"/>
      <c r="I1595" s="79"/>
      <c r="J1595" s="79"/>
      <c r="K1595" s="79"/>
      <c r="L1595" s="79"/>
      <c r="M1595" s="79"/>
      <c r="N1595" s="50"/>
      <c r="O1595" s="82"/>
      <c r="P1595" s="70"/>
      <c r="Q1595" s="70"/>
      <c r="R1595" s="70"/>
      <c r="S1595" s="70"/>
    </row>
    <row r="1596" ht="15.75" customHeight="1">
      <c r="B1596" s="78"/>
      <c r="C1596" s="79"/>
      <c r="D1596" s="79"/>
      <c r="E1596" s="80"/>
      <c r="F1596" s="81"/>
      <c r="G1596" s="79"/>
      <c r="H1596" s="79"/>
      <c r="I1596" s="79"/>
      <c r="J1596" s="79"/>
      <c r="K1596" s="79"/>
      <c r="L1596" s="79"/>
      <c r="M1596" s="79"/>
      <c r="N1596" s="50"/>
      <c r="O1596" s="82"/>
      <c r="P1596" s="70"/>
      <c r="Q1596" s="70"/>
      <c r="R1596" s="70"/>
      <c r="S1596" s="70"/>
    </row>
    <row r="1597" ht="15.75" customHeight="1">
      <c r="B1597" s="78"/>
      <c r="C1597" s="79"/>
      <c r="D1597" s="79"/>
      <c r="E1597" s="80"/>
      <c r="F1597" s="81"/>
      <c r="G1597" s="79"/>
      <c r="H1597" s="79"/>
      <c r="I1597" s="79"/>
      <c r="J1597" s="79"/>
      <c r="K1597" s="79"/>
      <c r="L1597" s="79"/>
      <c r="M1597" s="79"/>
      <c r="N1597" s="50"/>
      <c r="O1597" s="82"/>
      <c r="P1597" s="70"/>
      <c r="Q1597" s="70"/>
      <c r="R1597" s="70"/>
      <c r="S1597" s="70"/>
    </row>
    <row r="1598" ht="15.75" customHeight="1">
      <c r="B1598" s="78"/>
      <c r="C1598" s="79"/>
      <c r="D1598" s="79"/>
      <c r="E1598" s="80"/>
      <c r="F1598" s="81"/>
      <c r="G1598" s="79"/>
      <c r="H1598" s="79"/>
      <c r="I1598" s="79"/>
      <c r="J1598" s="79"/>
      <c r="K1598" s="79"/>
      <c r="L1598" s="79"/>
      <c r="M1598" s="79"/>
      <c r="N1598" s="50"/>
      <c r="O1598" s="82"/>
      <c r="P1598" s="70"/>
      <c r="Q1598" s="70"/>
      <c r="R1598" s="70"/>
      <c r="S1598" s="70"/>
    </row>
    <row r="1599" ht="15.75" customHeight="1">
      <c r="B1599" s="78"/>
      <c r="C1599" s="79"/>
      <c r="D1599" s="79"/>
      <c r="E1599" s="80"/>
      <c r="F1599" s="81"/>
      <c r="G1599" s="79"/>
      <c r="H1599" s="79"/>
      <c r="I1599" s="79"/>
      <c r="J1599" s="79"/>
      <c r="K1599" s="79"/>
      <c r="L1599" s="79"/>
      <c r="M1599" s="79"/>
      <c r="N1599" s="50"/>
      <c r="O1599" s="82"/>
      <c r="P1599" s="70"/>
      <c r="Q1599" s="70"/>
      <c r="R1599" s="70"/>
      <c r="S1599" s="70"/>
    </row>
    <row r="1600" ht="15.75" customHeight="1">
      <c r="B1600" s="78"/>
      <c r="C1600" s="79"/>
      <c r="D1600" s="79"/>
      <c r="E1600" s="80"/>
      <c r="F1600" s="81"/>
      <c r="G1600" s="79"/>
      <c r="H1600" s="79"/>
      <c r="I1600" s="79"/>
      <c r="J1600" s="79"/>
      <c r="K1600" s="79"/>
      <c r="L1600" s="79"/>
      <c r="M1600" s="79"/>
      <c r="N1600" s="50"/>
      <c r="O1600" s="82"/>
      <c r="P1600" s="70"/>
      <c r="Q1600" s="70"/>
      <c r="R1600" s="70"/>
      <c r="S1600" s="70"/>
    </row>
    <row r="1601" ht="15.75" customHeight="1">
      <c r="B1601" s="78"/>
      <c r="C1601" s="79"/>
      <c r="D1601" s="79"/>
      <c r="E1601" s="80"/>
      <c r="F1601" s="81"/>
      <c r="G1601" s="79"/>
      <c r="H1601" s="79"/>
      <c r="I1601" s="79"/>
      <c r="J1601" s="79"/>
      <c r="K1601" s="79"/>
      <c r="L1601" s="79"/>
      <c r="M1601" s="79"/>
      <c r="N1601" s="50"/>
      <c r="O1601" s="82"/>
      <c r="P1601" s="70"/>
      <c r="Q1601" s="70"/>
      <c r="R1601" s="70"/>
      <c r="S1601" s="70"/>
    </row>
    <row r="1602" ht="15.75" customHeight="1">
      <c r="B1602" s="78"/>
      <c r="C1602" s="79"/>
      <c r="D1602" s="79"/>
      <c r="E1602" s="80"/>
      <c r="F1602" s="81"/>
      <c r="G1602" s="79"/>
      <c r="H1602" s="79"/>
      <c r="I1602" s="79"/>
      <c r="J1602" s="79"/>
      <c r="K1602" s="79"/>
      <c r="L1602" s="79"/>
      <c r="M1602" s="79"/>
      <c r="N1602" s="50"/>
      <c r="O1602" s="82"/>
      <c r="P1602" s="70"/>
      <c r="Q1602" s="70"/>
      <c r="R1602" s="70"/>
      <c r="S1602" s="70"/>
    </row>
    <row r="1603" ht="15.75" customHeight="1">
      <c r="B1603" s="78"/>
      <c r="C1603" s="79"/>
      <c r="D1603" s="79"/>
      <c r="E1603" s="80"/>
      <c r="F1603" s="81"/>
      <c r="G1603" s="79"/>
      <c r="H1603" s="79"/>
      <c r="I1603" s="79"/>
      <c r="J1603" s="79"/>
      <c r="K1603" s="79"/>
      <c r="L1603" s="79"/>
      <c r="M1603" s="79"/>
      <c r="N1603" s="50"/>
      <c r="O1603" s="82"/>
      <c r="P1603" s="70"/>
      <c r="Q1603" s="70"/>
      <c r="R1603" s="70"/>
      <c r="S1603" s="70"/>
    </row>
    <row r="1604" ht="15.75" customHeight="1">
      <c r="B1604" s="78"/>
      <c r="C1604" s="79"/>
      <c r="D1604" s="79"/>
      <c r="E1604" s="80"/>
      <c r="F1604" s="81"/>
      <c r="G1604" s="79"/>
      <c r="H1604" s="79"/>
      <c r="I1604" s="79"/>
      <c r="J1604" s="79"/>
      <c r="K1604" s="79"/>
      <c r="L1604" s="79"/>
      <c r="M1604" s="79"/>
      <c r="N1604" s="50"/>
      <c r="O1604" s="82"/>
      <c r="P1604" s="70"/>
      <c r="Q1604" s="70"/>
      <c r="R1604" s="70"/>
      <c r="S1604" s="70"/>
    </row>
    <row r="1605" ht="15.75" customHeight="1">
      <c r="B1605" s="78"/>
      <c r="C1605" s="79"/>
      <c r="D1605" s="79"/>
      <c r="E1605" s="80"/>
      <c r="F1605" s="81"/>
      <c r="G1605" s="79"/>
      <c r="H1605" s="79"/>
      <c r="I1605" s="79"/>
      <c r="J1605" s="79"/>
      <c r="K1605" s="79"/>
      <c r="L1605" s="79"/>
      <c r="M1605" s="79"/>
      <c r="N1605" s="50"/>
      <c r="O1605" s="82"/>
      <c r="P1605" s="70"/>
      <c r="Q1605" s="70"/>
      <c r="R1605" s="70"/>
      <c r="S1605" s="70"/>
    </row>
    <row r="1606" ht="15.75" customHeight="1">
      <c r="B1606" s="78"/>
      <c r="C1606" s="79"/>
      <c r="D1606" s="79"/>
      <c r="E1606" s="80"/>
      <c r="F1606" s="81"/>
      <c r="G1606" s="79"/>
      <c r="H1606" s="79"/>
      <c r="I1606" s="79"/>
      <c r="J1606" s="79"/>
      <c r="K1606" s="79"/>
      <c r="L1606" s="79"/>
      <c r="M1606" s="79"/>
      <c r="N1606" s="50"/>
      <c r="O1606" s="82"/>
      <c r="P1606" s="70"/>
      <c r="Q1606" s="70"/>
      <c r="R1606" s="70"/>
      <c r="S1606" s="70"/>
    </row>
    <row r="1607" ht="15.75" customHeight="1">
      <c r="B1607" s="78"/>
      <c r="C1607" s="79"/>
      <c r="D1607" s="79"/>
      <c r="E1607" s="80"/>
      <c r="F1607" s="81"/>
      <c r="G1607" s="79"/>
      <c r="H1607" s="79"/>
      <c r="I1607" s="79"/>
      <c r="J1607" s="79"/>
      <c r="K1607" s="79"/>
      <c r="L1607" s="79"/>
      <c r="M1607" s="79"/>
      <c r="N1607" s="50"/>
      <c r="O1607" s="82"/>
      <c r="P1607" s="70"/>
      <c r="Q1607" s="70"/>
      <c r="R1607" s="70"/>
      <c r="S1607" s="70"/>
    </row>
    <row r="1608" ht="15.75" customHeight="1">
      <c r="B1608" s="78"/>
      <c r="C1608" s="79"/>
      <c r="D1608" s="79"/>
      <c r="E1608" s="80"/>
      <c r="F1608" s="81"/>
      <c r="G1608" s="79"/>
      <c r="H1608" s="79"/>
      <c r="I1608" s="79"/>
      <c r="J1608" s="79"/>
      <c r="K1608" s="79"/>
      <c r="L1608" s="79"/>
      <c r="M1608" s="79"/>
      <c r="N1608" s="50"/>
      <c r="O1608" s="82"/>
      <c r="P1608" s="70"/>
      <c r="Q1608" s="70"/>
      <c r="R1608" s="70"/>
      <c r="S1608" s="70"/>
    </row>
    <row r="1609" ht="15.75" customHeight="1">
      <c r="B1609" s="78"/>
      <c r="C1609" s="79"/>
      <c r="D1609" s="79"/>
      <c r="E1609" s="80"/>
      <c r="F1609" s="81"/>
      <c r="G1609" s="79"/>
      <c r="H1609" s="79"/>
      <c r="I1609" s="79"/>
      <c r="J1609" s="79"/>
      <c r="K1609" s="79"/>
      <c r="L1609" s="79"/>
      <c r="M1609" s="79"/>
      <c r="N1609" s="50"/>
      <c r="O1609" s="82"/>
      <c r="P1609" s="70"/>
      <c r="Q1609" s="70"/>
      <c r="R1609" s="70"/>
      <c r="S1609" s="70"/>
    </row>
    <row r="1610" ht="15.75" customHeight="1">
      <c r="B1610" s="78"/>
      <c r="C1610" s="79"/>
      <c r="D1610" s="79"/>
      <c r="E1610" s="80"/>
      <c r="F1610" s="81"/>
      <c r="G1610" s="79"/>
      <c r="H1610" s="79"/>
      <c r="I1610" s="79"/>
      <c r="J1610" s="79"/>
      <c r="K1610" s="79"/>
      <c r="L1610" s="79"/>
      <c r="M1610" s="79"/>
      <c r="N1610" s="50"/>
      <c r="O1610" s="82"/>
      <c r="P1610" s="70"/>
      <c r="Q1610" s="70"/>
      <c r="R1610" s="70"/>
      <c r="S1610" s="70"/>
    </row>
    <row r="1611" ht="15.75" customHeight="1">
      <c r="B1611" s="78"/>
      <c r="C1611" s="79"/>
      <c r="D1611" s="79"/>
      <c r="E1611" s="80"/>
      <c r="F1611" s="81"/>
      <c r="G1611" s="79"/>
      <c r="H1611" s="79"/>
      <c r="I1611" s="79"/>
      <c r="J1611" s="79"/>
      <c r="K1611" s="79"/>
      <c r="L1611" s="79"/>
      <c r="M1611" s="79"/>
      <c r="N1611" s="50"/>
      <c r="O1611" s="82"/>
      <c r="P1611" s="70"/>
      <c r="Q1611" s="70"/>
      <c r="R1611" s="70"/>
      <c r="S1611" s="70"/>
    </row>
    <row r="1612" ht="15.75" customHeight="1">
      <c r="B1612" s="78"/>
      <c r="C1612" s="79"/>
      <c r="D1612" s="79"/>
      <c r="E1612" s="80"/>
      <c r="F1612" s="81"/>
      <c r="G1612" s="79"/>
      <c r="H1612" s="79"/>
      <c r="I1612" s="79"/>
      <c r="J1612" s="79"/>
      <c r="K1612" s="79"/>
      <c r="L1612" s="79"/>
      <c r="M1612" s="79"/>
      <c r="N1612" s="50"/>
      <c r="O1612" s="82"/>
      <c r="P1612" s="70"/>
      <c r="Q1612" s="70"/>
      <c r="R1612" s="70"/>
      <c r="S1612" s="70"/>
    </row>
    <row r="1613" ht="15.75" customHeight="1">
      <c r="B1613" s="78"/>
      <c r="C1613" s="79"/>
      <c r="D1613" s="79"/>
      <c r="E1613" s="80"/>
      <c r="F1613" s="81"/>
      <c r="G1613" s="79"/>
      <c r="H1613" s="79"/>
      <c r="I1613" s="79"/>
      <c r="J1613" s="79"/>
      <c r="K1613" s="79"/>
      <c r="L1613" s="79"/>
      <c r="M1613" s="79"/>
      <c r="N1613" s="50"/>
      <c r="O1613" s="82"/>
      <c r="P1613" s="70"/>
      <c r="Q1613" s="70"/>
      <c r="R1613" s="70"/>
      <c r="S1613" s="70"/>
    </row>
    <row r="1614" ht="15.75" customHeight="1">
      <c r="B1614" s="78"/>
      <c r="C1614" s="79"/>
      <c r="D1614" s="79"/>
      <c r="E1614" s="80"/>
      <c r="F1614" s="81"/>
      <c r="G1614" s="79"/>
      <c r="H1614" s="79"/>
      <c r="I1614" s="79"/>
      <c r="J1614" s="79"/>
      <c r="K1614" s="79"/>
      <c r="L1614" s="79"/>
      <c r="M1614" s="79"/>
      <c r="N1614" s="50"/>
      <c r="O1614" s="82"/>
      <c r="P1614" s="70"/>
      <c r="Q1614" s="70"/>
      <c r="R1614" s="70"/>
      <c r="S1614" s="70"/>
    </row>
    <row r="1615" ht="15.75" customHeight="1">
      <c r="B1615" s="78"/>
      <c r="C1615" s="79"/>
      <c r="D1615" s="79"/>
      <c r="E1615" s="80"/>
      <c r="F1615" s="81"/>
      <c r="G1615" s="79"/>
      <c r="H1615" s="79"/>
      <c r="I1615" s="79"/>
      <c r="J1615" s="79"/>
      <c r="K1615" s="79"/>
      <c r="L1615" s="79"/>
      <c r="M1615" s="79"/>
      <c r="N1615" s="50"/>
      <c r="O1615" s="82"/>
      <c r="P1615" s="70"/>
      <c r="Q1615" s="70"/>
      <c r="R1615" s="70"/>
      <c r="S1615" s="70"/>
    </row>
    <row r="1616" ht="15.75" customHeight="1">
      <c r="B1616" s="78"/>
      <c r="C1616" s="79"/>
      <c r="D1616" s="79"/>
      <c r="E1616" s="80"/>
      <c r="F1616" s="81"/>
      <c r="G1616" s="79"/>
      <c r="H1616" s="79"/>
      <c r="I1616" s="79"/>
      <c r="J1616" s="79"/>
      <c r="K1616" s="79"/>
      <c r="L1616" s="79"/>
      <c r="M1616" s="79"/>
      <c r="N1616" s="50"/>
      <c r="O1616" s="82"/>
      <c r="P1616" s="70"/>
      <c r="Q1616" s="70"/>
      <c r="R1616" s="70"/>
      <c r="S1616" s="70"/>
    </row>
    <row r="1617" ht="15.75" customHeight="1">
      <c r="B1617" s="78"/>
      <c r="C1617" s="79"/>
      <c r="D1617" s="79"/>
      <c r="E1617" s="80"/>
      <c r="F1617" s="81"/>
      <c r="G1617" s="79"/>
      <c r="H1617" s="79"/>
      <c r="I1617" s="79"/>
      <c r="J1617" s="79"/>
      <c r="K1617" s="79"/>
      <c r="L1617" s="79"/>
      <c r="M1617" s="79"/>
      <c r="N1617" s="50"/>
      <c r="O1617" s="82"/>
      <c r="P1617" s="70"/>
      <c r="Q1617" s="70"/>
      <c r="R1617" s="70"/>
      <c r="S1617" s="70"/>
    </row>
    <row r="1618" ht="15.75" customHeight="1">
      <c r="B1618" s="78"/>
      <c r="C1618" s="79"/>
      <c r="D1618" s="79"/>
      <c r="E1618" s="80"/>
      <c r="F1618" s="81"/>
      <c r="G1618" s="79"/>
      <c r="H1618" s="79"/>
      <c r="I1618" s="79"/>
      <c r="J1618" s="79"/>
      <c r="K1618" s="79"/>
      <c r="L1618" s="79"/>
      <c r="M1618" s="79"/>
      <c r="N1618" s="50"/>
      <c r="O1618" s="82"/>
      <c r="P1618" s="70"/>
      <c r="Q1618" s="70"/>
      <c r="R1618" s="70"/>
      <c r="S1618" s="70"/>
    </row>
    <row r="1619" ht="15.75" customHeight="1">
      <c r="B1619" s="78"/>
      <c r="C1619" s="79"/>
      <c r="D1619" s="79"/>
      <c r="E1619" s="80"/>
      <c r="F1619" s="81"/>
      <c r="G1619" s="79"/>
      <c r="H1619" s="79"/>
      <c r="I1619" s="79"/>
      <c r="J1619" s="79"/>
      <c r="K1619" s="79"/>
      <c r="L1619" s="79"/>
      <c r="M1619" s="79"/>
      <c r="N1619" s="50"/>
      <c r="O1619" s="82"/>
      <c r="P1619" s="70"/>
      <c r="Q1619" s="70"/>
      <c r="R1619" s="70"/>
      <c r="S1619" s="70"/>
    </row>
    <row r="1620" ht="15.75" customHeight="1">
      <c r="B1620" s="78"/>
      <c r="C1620" s="79"/>
      <c r="D1620" s="79"/>
      <c r="E1620" s="80"/>
      <c r="F1620" s="81"/>
      <c r="G1620" s="79"/>
      <c r="H1620" s="79"/>
      <c r="I1620" s="79"/>
      <c r="J1620" s="79"/>
      <c r="K1620" s="79"/>
      <c r="L1620" s="79"/>
      <c r="M1620" s="79"/>
      <c r="N1620" s="50"/>
      <c r="O1620" s="82"/>
      <c r="P1620" s="70"/>
      <c r="Q1620" s="70"/>
      <c r="R1620" s="70"/>
      <c r="S1620" s="70"/>
    </row>
    <row r="1621" ht="15.75" customHeight="1">
      <c r="B1621" s="78"/>
      <c r="C1621" s="79"/>
      <c r="D1621" s="79"/>
      <c r="E1621" s="80"/>
      <c r="F1621" s="81"/>
      <c r="G1621" s="79"/>
      <c r="H1621" s="79"/>
      <c r="I1621" s="79"/>
      <c r="J1621" s="79"/>
      <c r="K1621" s="79"/>
      <c r="L1621" s="79"/>
      <c r="M1621" s="79"/>
      <c r="N1621" s="50"/>
      <c r="O1621" s="82"/>
      <c r="P1621" s="70"/>
      <c r="Q1621" s="70"/>
      <c r="R1621" s="70"/>
      <c r="S1621" s="70"/>
    </row>
    <row r="1622" ht="15.75" customHeight="1">
      <c r="B1622" s="78"/>
      <c r="C1622" s="79"/>
      <c r="D1622" s="79"/>
      <c r="E1622" s="80"/>
      <c r="F1622" s="81"/>
      <c r="G1622" s="79"/>
      <c r="H1622" s="79"/>
      <c r="I1622" s="79"/>
      <c r="J1622" s="79"/>
      <c r="K1622" s="79"/>
      <c r="L1622" s="79"/>
      <c r="M1622" s="79"/>
      <c r="N1622" s="50"/>
      <c r="O1622" s="82"/>
      <c r="P1622" s="70"/>
      <c r="Q1622" s="70"/>
      <c r="R1622" s="70"/>
      <c r="S1622" s="70"/>
    </row>
    <row r="1623" ht="15.75" customHeight="1">
      <c r="B1623" s="78"/>
      <c r="C1623" s="79"/>
      <c r="D1623" s="79"/>
      <c r="E1623" s="80"/>
      <c r="F1623" s="81"/>
      <c r="G1623" s="79"/>
      <c r="H1623" s="79"/>
      <c r="I1623" s="79"/>
      <c r="J1623" s="79"/>
      <c r="K1623" s="79"/>
      <c r="L1623" s="79"/>
      <c r="M1623" s="79"/>
      <c r="N1623" s="50"/>
      <c r="O1623" s="82"/>
      <c r="P1623" s="70"/>
      <c r="Q1623" s="70"/>
      <c r="R1623" s="70"/>
      <c r="S1623" s="70"/>
    </row>
    <row r="1624" ht="15.75" customHeight="1">
      <c r="B1624" s="78"/>
      <c r="C1624" s="79"/>
      <c r="D1624" s="79"/>
      <c r="E1624" s="80"/>
      <c r="F1624" s="81"/>
      <c r="G1624" s="79"/>
      <c r="H1624" s="79"/>
      <c r="I1624" s="79"/>
      <c r="J1624" s="79"/>
      <c r="K1624" s="79"/>
      <c r="L1624" s="79"/>
      <c r="M1624" s="79"/>
      <c r="N1624" s="50"/>
      <c r="O1624" s="82"/>
      <c r="P1624" s="70"/>
      <c r="Q1624" s="70"/>
      <c r="R1624" s="70"/>
      <c r="S1624" s="70"/>
    </row>
    <row r="1625" ht="15.75" customHeight="1">
      <c r="B1625" s="78"/>
      <c r="C1625" s="79"/>
      <c r="D1625" s="79"/>
      <c r="E1625" s="80"/>
      <c r="F1625" s="81"/>
      <c r="G1625" s="79"/>
      <c r="H1625" s="79"/>
      <c r="I1625" s="79"/>
      <c r="J1625" s="79"/>
      <c r="K1625" s="79"/>
      <c r="L1625" s="79"/>
      <c r="M1625" s="79"/>
      <c r="N1625" s="50"/>
      <c r="O1625" s="82"/>
      <c r="P1625" s="70"/>
      <c r="Q1625" s="70"/>
      <c r="R1625" s="70"/>
      <c r="S1625" s="70"/>
    </row>
    <row r="1626" ht="15.75" customHeight="1">
      <c r="B1626" s="78"/>
      <c r="C1626" s="79"/>
      <c r="D1626" s="79"/>
      <c r="E1626" s="80"/>
      <c r="F1626" s="81"/>
      <c r="G1626" s="79"/>
      <c r="H1626" s="79"/>
      <c r="I1626" s="79"/>
      <c r="J1626" s="79"/>
      <c r="K1626" s="79"/>
      <c r="L1626" s="79"/>
      <c r="M1626" s="79"/>
      <c r="N1626" s="50"/>
      <c r="O1626" s="82"/>
      <c r="P1626" s="70"/>
      <c r="Q1626" s="70"/>
      <c r="R1626" s="70"/>
      <c r="S1626" s="70"/>
    </row>
    <row r="1627" ht="15.75" customHeight="1">
      <c r="B1627" s="78"/>
      <c r="C1627" s="79"/>
      <c r="D1627" s="79"/>
      <c r="E1627" s="80"/>
      <c r="F1627" s="81"/>
      <c r="G1627" s="79"/>
      <c r="H1627" s="79"/>
      <c r="I1627" s="79"/>
      <c r="J1627" s="79"/>
      <c r="K1627" s="79"/>
      <c r="L1627" s="79"/>
      <c r="M1627" s="79"/>
      <c r="N1627" s="50"/>
      <c r="O1627" s="82"/>
      <c r="P1627" s="70"/>
      <c r="Q1627" s="70"/>
      <c r="R1627" s="70"/>
      <c r="S1627" s="70"/>
    </row>
    <row r="1628" ht="15.75" customHeight="1">
      <c r="B1628" s="78"/>
      <c r="C1628" s="79"/>
      <c r="D1628" s="79"/>
      <c r="E1628" s="80"/>
      <c r="F1628" s="81"/>
      <c r="G1628" s="79"/>
      <c r="H1628" s="79"/>
      <c r="I1628" s="79"/>
      <c r="J1628" s="79"/>
      <c r="K1628" s="79"/>
      <c r="L1628" s="79"/>
      <c r="M1628" s="79"/>
      <c r="N1628" s="50"/>
      <c r="O1628" s="82"/>
      <c r="P1628" s="70"/>
      <c r="Q1628" s="70"/>
      <c r="R1628" s="70"/>
      <c r="S1628" s="70"/>
    </row>
    <row r="1629" ht="15.75" customHeight="1">
      <c r="B1629" s="78"/>
      <c r="C1629" s="79"/>
      <c r="D1629" s="79"/>
      <c r="E1629" s="80"/>
      <c r="F1629" s="81"/>
      <c r="G1629" s="79"/>
      <c r="H1629" s="79"/>
      <c r="I1629" s="79"/>
      <c r="J1629" s="79"/>
      <c r="K1629" s="79"/>
      <c r="L1629" s="79"/>
      <c r="M1629" s="79"/>
      <c r="N1629" s="50"/>
      <c r="O1629" s="82"/>
      <c r="P1629" s="70"/>
      <c r="Q1629" s="70"/>
      <c r="R1629" s="70"/>
      <c r="S1629" s="70"/>
    </row>
    <row r="1630" ht="15.75" customHeight="1">
      <c r="B1630" s="78"/>
      <c r="C1630" s="79"/>
      <c r="D1630" s="79"/>
      <c r="E1630" s="80"/>
      <c r="F1630" s="81"/>
      <c r="G1630" s="79"/>
      <c r="H1630" s="79"/>
      <c r="I1630" s="79"/>
      <c r="J1630" s="79"/>
      <c r="K1630" s="79"/>
      <c r="L1630" s="79"/>
      <c r="M1630" s="79"/>
      <c r="N1630" s="50"/>
      <c r="O1630" s="82"/>
      <c r="P1630" s="70"/>
      <c r="Q1630" s="70"/>
      <c r="R1630" s="70"/>
      <c r="S1630" s="70"/>
    </row>
    <row r="1631" ht="15.75" customHeight="1">
      <c r="B1631" s="78"/>
      <c r="C1631" s="79"/>
      <c r="D1631" s="79"/>
      <c r="E1631" s="80"/>
      <c r="F1631" s="81"/>
      <c r="G1631" s="79"/>
      <c r="H1631" s="79"/>
      <c r="I1631" s="79"/>
      <c r="J1631" s="79"/>
      <c r="K1631" s="79"/>
      <c r="L1631" s="79"/>
      <c r="M1631" s="79"/>
      <c r="N1631" s="50"/>
      <c r="O1631" s="82"/>
      <c r="P1631" s="70"/>
      <c r="Q1631" s="70"/>
      <c r="R1631" s="70"/>
      <c r="S1631" s="70"/>
    </row>
    <row r="1632" ht="15.75" customHeight="1">
      <c r="B1632" s="78"/>
      <c r="C1632" s="79"/>
      <c r="D1632" s="79"/>
      <c r="E1632" s="80"/>
      <c r="F1632" s="81"/>
      <c r="G1632" s="79"/>
      <c r="H1632" s="79"/>
      <c r="I1632" s="79"/>
      <c r="J1632" s="79"/>
      <c r="K1632" s="79"/>
      <c r="L1632" s="79"/>
      <c r="M1632" s="79"/>
      <c r="N1632" s="50"/>
      <c r="O1632" s="82"/>
      <c r="P1632" s="70"/>
      <c r="Q1632" s="70"/>
      <c r="R1632" s="70"/>
      <c r="S1632" s="70"/>
    </row>
    <row r="1633" ht="15.75" customHeight="1">
      <c r="B1633" s="78"/>
      <c r="C1633" s="79"/>
      <c r="D1633" s="79"/>
      <c r="E1633" s="80"/>
      <c r="F1633" s="81"/>
      <c r="G1633" s="79"/>
      <c r="H1633" s="79"/>
      <c r="I1633" s="79"/>
      <c r="J1633" s="79"/>
      <c r="K1633" s="79"/>
      <c r="L1633" s="79"/>
      <c r="M1633" s="79"/>
      <c r="N1633" s="50"/>
      <c r="O1633" s="82"/>
      <c r="P1633" s="70"/>
      <c r="Q1633" s="70"/>
      <c r="R1633" s="70"/>
      <c r="S1633" s="70"/>
    </row>
    <row r="1634" ht="15.75" customHeight="1">
      <c r="B1634" s="78"/>
      <c r="C1634" s="79"/>
      <c r="D1634" s="79"/>
      <c r="E1634" s="80"/>
      <c r="F1634" s="81"/>
      <c r="G1634" s="79"/>
      <c r="H1634" s="79"/>
      <c r="I1634" s="79"/>
      <c r="J1634" s="79"/>
      <c r="K1634" s="79"/>
      <c r="L1634" s="79"/>
      <c r="M1634" s="79"/>
      <c r="N1634" s="50"/>
      <c r="O1634" s="82"/>
      <c r="P1634" s="70"/>
      <c r="Q1634" s="70"/>
      <c r="R1634" s="70"/>
      <c r="S1634" s="70"/>
    </row>
    <row r="1635" ht="15.75" customHeight="1">
      <c r="B1635" s="78"/>
      <c r="C1635" s="79"/>
      <c r="D1635" s="79"/>
      <c r="E1635" s="80"/>
      <c r="F1635" s="81"/>
      <c r="G1635" s="79"/>
      <c r="H1635" s="79"/>
      <c r="I1635" s="79"/>
      <c r="J1635" s="79"/>
      <c r="K1635" s="79"/>
      <c r="L1635" s="79"/>
      <c r="M1635" s="79"/>
      <c r="N1635" s="50"/>
      <c r="O1635" s="82"/>
      <c r="P1635" s="70"/>
      <c r="Q1635" s="70"/>
      <c r="R1635" s="70"/>
      <c r="S1635" s="70"/>
    </row>
    <row r="1636" ht="15.75" customHeight="1">
      <c r="B1636" s="78"/>
      <c r="C1636" s="79"/>
      <c r="D1636" s="79"/>
      <c r="E1636" s="80"/>
      <c r="F1636" s="81"/>
      <c r="G1636" s="79"/>
      <c r="H1636" s="79"/>
      <c r="I1636" s="79"/>
      <c r="J1636" s="79"/>
      <c r="K1636" s="79"/>
      <c r="L1636" s="79"/>
      <c r="M1636" s="79"/>
      <c r="N1636" s="50"/>
      <c r="O1636" s="82"/>
      <c r="P1636" s="70"/>
      <c r="Q1636" s="70"/>
      <c r="R1636" s="70"/>
      <c r="S1636" s="70"/>
    </row>
    <row r="1637" ht="15.75" customHeight="1">
      <c r="B1637" s="78"/>
      <c r="C1637" s="79"/>
      <c r="D1637" s="79"/>
      <c r="E1637" s="80"/>
      <c r="F1637" s="81"/>
      <c r="G1637" s="79"/>
      <c r="H1637" s="79"/>
      <c r="I1637" s="79"/>
      <c r="J1637" s="79"/>
      <c r="K1637" s="79"/>
      <c r="L1637" s="79"/>
      <c r="M1637" s="79"/>
      <c r="N1637" s="50"/>
      <c r="O1637" s="82"/>
      <c r="P1637" s="70"/>
      <c r="Q1637" s="70"/>
      <c r="R1637" s="70"/>
      <c r="S1637" s="70"/>
    </row>
    <row r="1638" ht="15.75" customHeight="1">
      <c r="B1638" s="78"/>
      <c r="C1638" s="79"/>
      <c r="D1638" s="79"/>
      <c r="E1638" s="80"/>
      <c r="F1638" s="81"/>
      <c r="G1638" s="79"/>
      <c r="H1638" s="79"/>
      <c r="I1638" s="79"/>
      <c r="J1638" s="79"/>
      <c r="K1638" s="79"/>
      <c r="L1638" s="79"/>
      <c r="M1638" s="79"/>
      <c r="N1638" s="50"/>
      <c r="O1638" s="82"/>
      <c r="P1638" s="70"/>
      <c r="Q1638" s="70"/>
      <c r="R1638" s="70"/>
      <c r="S1638" s="70"/>
    </row>
    <row r="1639" ht="15.75" customHeight="1">
      <c r="B1639" s="78"/>
      <c r="C1639" s="79"/>
      <c r="D1639" s="79"/>
      <c r="E1639" s="80"/>
      <c r="F1639" s="81"/>
      <c r="G1639" s="79"/>
      <c r="H1639" s="79"/>
      <c r="I1639" s="79"/>
      <c r="J1639" s="79"/>
      <c r="K1639" s="79"/>
      <c r="L1639" s="79"/>
      <c r="M1639" s="79"/>
      <c r="N1639" s="50"/>
      <c r="O1639" s="82"/>
      <c r="P1639" s="70"/>
      <c r="Q1639" s="70"/>
      <c r="R1639" s="70"/>
      <c r="S1639" s="70"/>
    </row>
    <row r="1640" ht="15.75" customHeight="1">
      <c r="B1640" s="78"/>
      <c r="C1640" s="79"/>
      <c r="D1640" s="79"/>
      <c r="E1640" s="80"/>
      <c r="F1640" s="81"/>
      <c r="G1640" s="79"/>
      <c r="H1640" s="79"/>
      <c r="I1640" s="79"/>
      <c r="J1640" s="79"/>
      <c r="K1640" s="79"/>
      <c r="L1640" s="79"/>
      <c r="M1640" s="79"/>
      <c r="N1640" s="50"/>
      <c r="O1640" s="82"/>
      <c r="P1640" s="70"/>
      <c r="Q1640" s="70"/>
      <c r="R1640" s="70"/>
      <c r="S1640" s="70"/>
    </row>
    <row r="1641" ht="15.75" customHeight="1">
      <c r="B1641" s="78"/>
      <c r="C1641" s="79"/>
      <c r="D1641" s="79"/>
      <c r="E1641" s="80"/>
      <c r="F1641" s="81"/>
      <c r="G1641" s="79"/>
      <c r="H1641" s="79"/>
      <c r="I1641" s="79"/>
      <c r="J1641" s="79"/>
      <c r="K1641" s="79"/>
      <c r="L1641" s="79"/>
      <c r="M1641" s="79"/>
      <c r="N1641" s="50"/>
      <c r="O1641" s="82"/>
      <c r="P1641" s="70"/>
      <c r="Q1641" s="70"/>
      <c r="R1641" s="70"/>
      <c r="S1641" s="70"/>
    </row>
    <row r="1642" ht="15.75" customHeight="1">
      <c r="B1642" s="78"/>
      <c r="C1642" s="79"/>
      <c r="D1642" s="79"/>
      <c r="E1642" s="80"/>
      <c r="F1642" s="81"/>
      <c r="G1642" s="79"/>
      <c r="H1642" s="79"/>
      <c r="I1642" s="79"/>
      <c r="J1642" s="79"/>
      <c r="K1642" s="79"/>
      <c r="L1642" s="79"/>
      <c r="M1642" s="79"/>
      <c r="N1642" s="50"/>
      <c r="O1642" s="82"/>
      <c r="P1642" s="70"/>
      <c r="Q1642" s="70"/>
      <c r="R1642" s="70"/>
      <c r="S1642" s="70"/>
    </row>
    <row r="1643" ht="15.75" customHeight="1">
      <c r="B1643" s="78"/>
      <c r="C1643" s="79"/>
      <c r="D1643" s="79"/>
      <c r="E1643" s="80"/>
      <c r="F1643" s="81"/>
      <c r="G1643" s="79"/>
      <c r="H1643" s="79"/>
      <c r="I1643" s="79"/>
      <c r="J1643" s="79"/>
      <c r="K1643" s="79"/>
      <c r="L1643" s="79"/>
      <c r="M1643" s="79"/>
      <c r="N1643" s="50"/>
      <c r="O1643" s="82"/>
      <c r="P1643" s="70"/>
      <c r="Q1643" s="70"/>
      <c r="R1643" s="70"/>
      <c r="S1643" s="70"/>
    </row>
    <row r="1644" ht="15.75" customHeight="1">
      <c r="B1644" s="78"/>
      <c r="C1644" s="79"/>
      <c r="D1644" s="79"/>
      <c r="E1644" s="80"/>
      <c r="F1644" s="81"/>
      <c r="G1644" s="79"/>
      <c r="H1644" s="79"/>
      <c r="I1644" s="79"/>
      <c r="J1644" s="79"/>
      <c r="K1644" s="79"/>
      <c r="L1644" s="79"/>
      <c r="M1644" s="79"/>
      <c r="N1644" s="50"/>
      <c r="O1644" s="82"/>
      <c r="P1644" s="70"/>
      <c r="Q1644" s="70"/>
      <c r="R1644" s="70"/>
      <c r="S1644" s="70"/>
    </row>
    <row r="1645" ht="15.75" customHeight="1">
      <c r="B1645" s="78"/>
      <c r="C1645" s="79"/>
      <c r="D1645" s="79"/>
      <c r="E1645" s="80"/>
      <c r="F1645" s="81"/>
      <c r="G1645" s="79"/>
      <c r="H1645" s="79"/>
      <c r="I1645" s="79"/>
      <c r="J1645" s="79"/>
      <c r="K1645" s="79"/>
      <c r="L1645" s="79"/>
      <c r="M1645" s="79"/>
      <c r="N1645" s="50"/>
      <c r="O1645" s="82"/>
      <c r="P1645" s="70"/>
      <c r="Q1645" s="70"/>
      <c r="R1645" s="70"/>
      <c r="S1645" s="70"/>
    </row>
    <row r="1646" ht="15.75" customHeight="1">
      <c r="B1646" s="78"/>
      <c r="C1646" s="79"/>
      <c r="D1646" s="79"/>
      <c r="E1646" s="80"/>
      <c r="F1646" s="81"/>
      <c r="G1646" s="79"/>
      <c r="H1646" s="79"/>
      <c r="I1646" s="79"/>
      <c r="J1646" s="79"/>
      <c r="K1646" s="79"/>
      <c r="L1646" s="79"/>
      <c r="M1646" s="79"/>
      <c r="N1646" s="50"/>
      <c r="O1646" s="82"/>
      <c r="P1646" s="70"/>
      <c r="Q1646" s="70"/>
      <c r="R1646" s="70"/>
      <c r="S1646" s="70"/>
    </row>
    <row r="1647" ht="15.75" customHeight="1">
      <c r="B1647" s="78"/>
      <c r="C1647" s="79"/>
      <c r="D1647" s="79"/>
      <c r="E1647" s="80"/>
      <c r="F1647" s="81"/>
      <c r="G1647" s="79"/>
      <c r="H1647" s="79"/>
      <c r="I1647" s="79"/>
      <c r="J1647" s="79"/>
      <c r="K1647" s="79"/>
      <c r="L1647" s="79"/>
      <c r="M1647" s="79"/>
      <c r="N1647" s="50"/>
      <c r="O1647" s="82"/>
      <c r="P1647" s="70"/>
      <c r="Q1647" s="70"/>
      <c r="R1647" s="70"/>
      <c r="S1647" s="70"/>
    </row>
    <row r="1648" ht="15.75" customHeight="1">
      <c r="B1648" s="78"/>
      <c r="C1648" s="79"/>
      <c r="D1648" s="79"/>
      <c r="E1648" s="80"/>
      <c r="F1648" s="81"/>
      <c r="G1648" s="79"/>
      <c r="H1648" s="79"/>
      <c r="I1648" s="79"/>
      <c r="J1648" s="79"/>
      <c r="K1648" s="79"/>
      <c r="L1648" s="79"/>
      <c r="M1648" s="79"/>
      <c r="N1648" s="50"/>
      <c r="O1648" s="82"/>
      <c r="P1648" s="70"/>
      <c r="Q1648" s="70"/>
      <c r="R1648" s="70"/>
      <c r="S1648" s="70"/>
    </row>
    <row r="1649" ht="15.75" customHeight="1">
      <c r="B1649" s="78"/>
      <c r="C1649" s="79"/>
      <c r="D1649" s="79"/>
      <c r="E1649" s="80"/>
      <c r="F1649" s="81"/>
      <c r="G1649" s="79"/>
      <c r="H1649" s="79"/>
      <c r="I1649" s="79"/>
      <c r="J1649" s="79"/>
      <c r="K1649" s="79"/>
      <c r="L1649" s="79"/>
      <c r="M1649" s="79"/>
      <c r="N1649" s="50"/>
      <c r="O1649" s="82"/>
      <c r="P1649" s="70"/>
      <c r="Q1649" s="70"/>
      <c r="R1649" s="70"/>
      <c r="S1649" s="70"/>
    </row>
    <row r="1650" ht="15.75" customHeight="1">
      <c r="B1650" s="78"/>
      <c r="C1650" s="79"/>
      <c r="D1650" s="79"/>
      <c r="E1650" s="80"/>
      <c r="F1650" s="81"/>
      <c r="G1650" s="79"/>
      <c r="H1650" s="79"/>
      <c r="I1650" s="79"/>
      <c r="J1650" s="79"/>
      <c r="K1650" s="79"/>
      <c r="L1650" s="79"/>
      <c r="M1650" s="79"/>
      <c r="N1650" s="50"/>
      <c r="O1650" s="82"/>
      <c r="P1650" s="70"/>
      <c r="Q1650" s="70"/>
      <c r="R1650" s="70"/>
      <c r="S1650" s="70"/>
    </row>
    <row r="1651" ht="15.75" customHeight="1">
      <c r="B1651" s="78"/>
      <c r="C1651" s="79"/>
      <c r="D1651" s="79"/>
      <c r="E1651" s="80"/>
      <c r="F1651" s="81"/>
      <c r="G1651" s="79"/>
      <c r="H1651" s="79"/>
      <c r="I1651" s="79"/>
      <c r="J1651" s="79"/>
      <c r="K1651" s="79"/>
      <c r="L1651" s="79"/>
      <c r="M1651" s="79"/>
      <c r="N1651" s="50"/>
      <c r="O1651" s="82"/>
      <c r="P1651" s="70"/>
      <c r="Q1651" s="70"/>
      <c r="R1651" s="70"/>
      <c r="S1651" s="70"/>
    </row>
    <row r="1652" ht="15.75" customHeight="1">
      <c r="B1652" s="78"/>
      <c r="C1652" s="79"/>
      <c r="D1652" s="79"/>
      <c r="E1652" s="80"/>
      <c r="F1652" s="81"/>
      <c r="G1652" s="79"/>
      <c r="H1652" s="79"/>
      <c r="I1652" s="79"/>
      <c r="J1652" s="79"/>
      <c r="K1652" s="79"/>
      <c r="L1652" s="79"/>
      <c r="M1652" s="79"/>
      <c r="N1652" s="50"/>
      <c r="O1652" s="82"/>
      <c r="P1652" s="70"/>
      <c r="Q1652" s="70"/>
      <c r="R1652" s="70"/>
      <c r="S1652" s="70"/>
    </row>
    <row r="1653" ht="15.75" customHeight="1">
      <c r="B1653" s="78"/>
      <c r="C1653" s="79"/>
      <c r="D1653" s="79"/>
      <c r="E1653" s="80"/>
      <c r="F1653" s="81"/>
      <c r="G1653" s="79"/>
      <c r="H1653" s="79"/>
      <c r="I1653" s="79"/>
      <c r="J1653" s="79"/>
      <c r="K1653" s="79"/>
      <c r="L1653" s="79"/>
      <c r="M1653" s="79"/>
      <c r="N1653" s="50"/>
      <c r="O1653" s="82"/>
      <c r="P1653" s="70"/>
      <c r="Q1653" s="70"/>
      <c r="R1653" s="70"/>
      <c r="S1653" s="70"/>
    </row>
    <row r="1654" ht="15.75" customHeight="1">
      <c r="B1654" s="78"/>
      <c r="C1654" s="79"/>
      <c r="D1654" s="79"/>
      <c r="E1654" s="80"/>
      <c r="F1654" s="81"/>
      <c r="G1654" s="79"/>
      <c r="H1654" s="79"/>
      <c r="I1654" s="79"/>
      <c r="J1654" s="79"/>
      <c r="K1654" s="79"/>
      <c r="L1654" s="79"/>
      <c r="M1654" s="79"/>
      <c r="N1654" s="50"/>
      <c r="O1654" s="82"/>
      <c r="P1654" s="70"/>
      <c r="Q1654" s="70"/>
      <c r="R1654" s="70"/>
      <c r="S1654" s="70"/>
    </row>
    <row r="1655" ht="15.75" customHeight="1">
      <c r="B1655" s="78"/>
      <c r="C1655" s="79"/>
      <c r="D1655" s="79"/>
      <c r="E1655" s="80"/>
      <c r="F1655" s="81"/>
      <c r="G1655" s="79"/>
      <c r="H1655" s="79"/>
      <c r="I1655" s="79"/>
      <c r="J1655" s="79"/>
      <c r="K1655" s="79"/>
      <c r="L1655" s="79"/>
      <c r="M1655" s="79"/>
      <c r="N1655" s="50"/>
      <c r="O1655" s="82"/>
      <c r="P1655" s="70"/>
      <c r="Q1655" s="70"/>
      <c r="R1655" s="70"/>
      <c r="S1655" s="70"/>
    </row>
    <row r="1656" ht="15.75" customHeight="1">
      <c r="B1656" s="78"/>
      <c r="C1656" s="79"/>
      <c r="D1656" s="79"/>
      <c r="E1656" s="80"/>
      <c r="F1656" s="81"/>
      <c r="G1656" s="79"/>
      <c r="H1656" s="79"/>
      <c r="I1656" s="79"/>
      <c r="J1656" s="79"/>
      <c r="K1656" s="79"/>
      <c r="L1656" s="79"/>
      <c r="M1656" s="79"/>
      <c r="N1656" s="50"/>
      <c r="O1656" s="82"/>
      <c r="P1656" s="70"/>
      <c r="Q1656" s="70"/>
      <c r="R1656" s="70"/>
      <c r="S1656" s="70"/>
    </row>
    <row r="1657" ht="15.75" customHeight="1">
      <c r="B1657" s="78"/>
      <c r="C1657" s="79"/>
      <c r="D1657" s="79"/>
      <c r="E1657" s="80"/>
      <c r="F1657" s="81"/>
      <c r="G1657" s="79"/>
      <c r="H1657" s="79"/>
      <c r="I1657" s="79"/>
      <c r="J1657" s="79"/>
      <c r="K1657" s="79"/>
      <c r="L1657" s="79"/>
      <c r="M1657" s="79"/>
      <c r="N1657" s="50"/>
      <c r="O1657" s="82"/>
      <c r="P1657" s="70"/>
      <c r="Q1657" s="70"/>
      <c r="R1657" s="70"/>
      <c r="S1657" s="70"/>
    </row>
    <row r="1658" ht="15.75" customHeight="1">
      <c r="B1658" s="78"/>
      <c r="C1658" s="79"/>
      <c r="D1658" s="79"/>
      <c r="E1658" s="80"/>
      <c r="F1658" s="81"/>
      <c r="G1658" s="79"/>
      <c r="H1658" s="79"/>
      <c r="I1658" s="79"/>
      <c r="J1658" s="79"/>
      <c r="K1658" s="79"/>
      <c r="L1658" s="79"/>
      <c r="M1658" s="79"/>
      <c r="N1658" s="50"/>
      <c r="O1658" s="82"/>
      <c r="P1658" s="70"/>
      <c r="Q1658" s="70"/>
      <c r="R1658" s="70"/>
      <c r="S1658" s="70"/>
    </row>
    <row r="1659" ht="15.75" customHeight="1">
      <c r="B1659" s="78"/>
      <c r="C1659" s="79"/>
      <c r="D1659" s="79"/>
      <c r="E1659" s="80"/>
      <c r="F1659" s="81"/>
      <c r="G1659" s="79"/>
      <c r="H1659" s="79"/>
      <c r="I1659" s="79"/>
      <c r="J1659" s="79"/>
      <c r="K1659" s="79"/>
      <c r="L1659" s="79"/>
      <c r="M1659" s="79"/>
      <c r="N1659" s="50"/>
      <c r="O1659" s="82"/>
      <c r="P1659" s="70"/>
      <c r="Q1659" s="70"/>
      <c r="R1659" s="70"/>
      <c r="S1659" s="70"/>
    </row>
    <row r="1660" ht="15.75" customHeight="1">
      <c r="B1660" s="78"/>
      <c r="C1660" s="79"/>
      <c r="D1660" s="79"/>
      <c r="E1660" s="80"/>
      <c r="F1660" s="81"/>
      <c r="G1660" s="79"/>
      <c r="H1660" s="79"/>
      <c r="I1660" s="79"/>
      <c r="J1660" s="79"/>
      <c r="K1660" s="79"/>
      <c r="L1660" s="79"/>
      <c r="M1660" s="79"/>
      <c r="N1660" s="50"/>
      <c r="O1660" s="82"/>
      <c r="P1660" s="70"/>
      <c r="Q1660" s="70"/>
      <c r="R1660" s="70"/>
      <c r="S1660" s="70"/>
    </row>
    <row r="1661" ht="15.75" customHeight="1">
      <c r="B1661" s="78"/>
      <c r="C1661" s="79"/>
      <c r="D1661" s="79"/>
      <c r="E1661" s="80"/>
      <c r="F1661" s="81"/>
      <c r="G1661" s="79"/>
      <c r="H1661" s="79"/>
      <c r="I1661" s="79"/>
      <c r="J1661" s="79"/>
      <c r="K1661" s="79"/>
      <c r="L1661" s="79"/>
      <c r="M1661" s="79"/>
      <c r="N1661" s="50"/>
      <c r="O1661" s="82"/>
      <c r="P1661" s="70"/>
      <c r="Q1661" s="70"/>
      <c r="R1661" s="70"/>
      <c r="S1661" s="70"/>
    </row>
    <row r="1662" ht="15.75" customHeight="1">
      <c r="B1662" s="78"/>
      <c r="C1662" s="79"/>
      <c r="D1662" s="79"/>
      <c r="E1662" s="80"/>
      <c r="F1662" s="81"/>
      <c r="G1662" s="79"/>
      <c r="H1662" s="79"/>
      <c r="I1662" s="79"/>
      <c r="J1662" s="79"/>
      <c r="K1662" s="79"/>
      <c r="L1662" s="79"/>
      <c r="M1662" s="79"/>
      <c r="N1662" s="50"/>
      <c r="O1662" s="82"/>
      <c r="P1662" s="70"/>
      <c r="Q1662" s="70"/>
      <c r="R1662" s="70"/>
      <c r="S1662" s="70"/>
    </row>
    <row r="1663" ht="15.75" customHeight="1">
      <c r="B1663" s="78"/>
      <c r="C1663" s="79"/>
      <c r="D1663" s="79"/>
      <c r="E1663" s="80"/>
      <c r="F1663" s="81"/>
      <c r="G1663" s="79"/>
      <c r="H1663" s="79"/>
      <c r="I1663" s="79"/>
      <c r="J1663" s="79"/>
      <c r="K1663" s="79"/>
      <c r="L1663" s="79"/>
      <c r="M1663" s="79"/>
      <c r="N1663" s="50"/>
      <c r="O1663" s="82"/>
      <c r="P1663" s="70"/>
      <c r="Q1663" s="70"/>
      <c r="R1663" s="70"/>
      <c r="S1663" s="70"/>
    </row>
    <row r="1664" ht="15.75" customHeight="1">
      <c r="B1664" s="78"/>
      <c r="C1664" s="79"/>
      <c r="D1664" s="79"/>
      <c r="E1664" s="80"/>
      <c r="F1664" s="81"/>
      <c r="G1664" s="79"/>
      <c r="H1664" s="79"/>
      <c r="I1664" s="79"/>
      <c r="J1664" s="79"/>
      <c r="K1664" s="79"/>
      <c r="L1664" s="79"/>
      <c r="M1664" s="79"/>
      <c r="N1664" s="50"/>
      <c r="O1664" s="82"/>
      <c r="P1664" s="70"/>
      <c r="Q1664" s="70"/>
      <c r="R1664" s="70"/>
      <c r="S1664" s="70"/>
    </row>
    <row r="1665" ht="15.75" customHeight="1">
      <c r="B1665" s="78"/>
      <c r="C1665" s="79"/>
      <c r="D1665" s="79"/>
      <c r="E1665" s="80"/>
      <c r="F1665" s="81"/>
      <c r="G1665" s="79"/>
      <c r="H1665" s="79"/>
      <c r="I1665" s="79"/>
      <c r="J1665" s="79"/>
      <c r="K1665" s="79"/>
      <c r="L1665" s="79"/>
      <c r="M1665" s="79"/>
      <c r="N1665" s="50"/>
      <c r="O1665" s="82"/>
      <c r="P1665" s="70"/>
      <c r="Q1665" s="70"/>
      <c r="R1665" s="70"/>
      <c r="S1665" s="70"/>
    </row>
    <row r="1666" ht="15.75" customHeight="1">
      <c r="B1666" s="78"/>
      <c r="C1666" s="79"/>
      <c r="D1666" s="79"/>
      <c r="E1666" s="80"/>
      <c r="F1666" s="81"/>
      <c r="G1666" s="79"/>
      <c r="H1666" s="79"/>
      <c r="I1666" s="79"/>
      <c r="J1666" s="79"/>
      <c r="K1666" s="79"/>
      <c r="L1666" s="79"/>
      <c r="M1666" s="79"/>
      <c r="N1666" s="50"/>
      <c r="O1666" s="82"/>
      <c r="P1666" s="70"/>
      <c r="Q1666" s="70"/>
      <c r="R1666" s="70"/>
      <c r="S1666" s="70"/>
    </row>
    <row r="1667" ht="15.75" customHeight="1">
      <c r="B1667" s="78"/>
      <c r="C1667" s="79"/>
      <c r="D1667" s="79"/>
      <c r="E1667" s="80"/>
      <c r="F1667" s="81"/>
      <c r="G1667" s="79"/>
      <c r="H1667" s="79"/>
      <c r="I1667" s="79"/>
      <c r="J1667" s="79"/>
      <c r="K1667" s="79"/>
      <c r="L1667" s="79"/>
      <c r="M1667" s="79"/>
      <c r="N1667" s="50"/>
      <c r="O1667" s="82"/>
      <c r="P1667" s="70"/>
      <c r="Q1667" s="70"/>
      <c r="R1667" s="70"/>
      <c r="S1667" s="70"/>
    </row>
    <row r="1668" ht="15.75" customHeight="1">
      <c r="B1668" s="78"/>
      <c r="C1668" s="79"/>
      <c r="D1668" s="79"/>
      <c r="E1668" s="80"/>
      <c r="F1668" s="81"/>
      <c r="G1668" s="79"/>
      <c r="H1668" s="79"/>
      <c r="I1668" s="79"/>
      <c r="J1668" s="79"/>
      <c r="K1668" s="79"/>
      <c r="L1668" s="79"/>
      <c r="M1668" s="79"/>
      <c r="N1668" s="50"/>
      <c r="O1668" s="82"/>
      <c r="P1668" s="70"/>
      <c r="Q1668" s="70"/>
      <c r="R1668" s="70"/>
      <c r="S1668" s="70"/>
    </row>
    <row r="1669" ht="15.75" customHeight="1">
      <c r="B1669" s="78"/>
      <c r="C1669" s="79"/>
      <c r="D1669" s="79"/>
      <c r="E1669" s="80"/>
      <c r="F1669" s="81"/>
      <c r="G1669" s="79"/>
      <c r="H1669" s="79"/>
      <c r="I1669" s="79"/>
      <c r="J1669" s="79"/>
      <c r="K1669" s="79"/>
      <c r="L1669" s="79"/>
      <c r="M1669" s="79"/>
      <c r="N1669" s="50"/>
      <c r="O1669" s="82"/>
      <c r="P1669" s="70"/>
      <c r="Q1669" s="70"/>
      <c r="R1669" s="70"/>
      <c r="S1669" s="70"/>
    </row>
    <row r="1670" ht="15.75" customHeight="1">
      <c r="B1670" s="78"/>
      <c r="C1670" s="79"/>
      <c r="D1670" s="79"/>
      <c r="E1670" s="80"/>
      <c r="F1670" s="81"/>
      <c r="G1670" s="79"/>
      <c r="H1670" s="79"/>
      <c r="I1670" s="79"/>
      <c r="J1670" s="79"/>
      <c r="K1670" s="79"/>
      <c r="L1670" s="79"/>
      <c r="M1670" s="79"/>
      <c r="N1670" s="50"/>
      <c r="O1670" s="82"/>
      <c r="P1670" s="70"/>
      <c r="Q1670" s="70"/>
      <c r="R1670" s="70"/>
      <c r="S1670" s="70"/>
    </row>
    <row r="1671" ht="15.75" customHeight="1">
      <c r="B1671" s="78"/>
      <c r="C1671" s="79"/>
      <c r="D1671" s="79"/>
      <c r="E1671" s="80"/>
      <c r="F1671" s="81"/>
      <c r="G1671" s="79"/>
      <c r="H1671" s="79"/>
      <c r="I1671" s="79"/>
      <c r="J1671" s="79"/>
      <c r="K1671" s="79"/>
      <c r="L1671" s="79"/>
      <c r="M1671" s="79"/>
      <c r="N1671" s="50"/>
      <c r="O1671" s="82"/>
      <c r="P1671" s="70"/>
      <c r="Q1671" s="70"/>
      <c r="R1671" s="70"/>
      <c r="S1671" s="70"/>
    </row>
    <row r="1672" ht="15.75" customHeight="1">
      <c r="B1672" s="78"/>
      <c r="C1672" s="79"/>
      <c r="D1672" s="79"/>
      <c r="E1672" s="80"/>
      <c r="F1672" s="81"/>
      <c r="G1672" s="79"/>
      <c r="H1672" s="79"/>
      <c r="I1672" s="79"/>
      <c r="J1672" s="79"/>
      <c r="K1672" s="79"/>
      <c r="L1672" s="79"/>
      <c r="M1672" s="79"/>
      <c r="N1672" s="50"/>
      <c r="O1672" s="82"/>
      <c r="P1672" s="70"/>
      <c r="Q1672" s="70"/>
      <c r="R1672" s="70"/>
      <c r="S1672" s="70"/>
    </row>
    <row r="1673" ht="15.75" customHeight="1">
      <c r="B1673" s="78"/>
      <c r="C1673" s="79"/>
      <c r="D1673" s="79"/>
      <c r="E1673" s="80"/>
      <c r="F1673" s="81"/>
      <c r="G1673" s="79"/>
      <c r="H1673" s="79"/>
      <c r="I1673" s="79"/>
      <c r="J1673" s="79"/>
      <c r="K1673" s="79"/>
      <c r="L1673" s="79"/>
      <c r="M1673" s="79"/>
      <c r="N1673" s="50"/>
      <c r="O1673" s="82"/>
      <c r="P1673" s="70"/>
      <c r="Q1673" s="70"/>
      <c r="R1673" s="70"/>
      <c r="S1673" s="70"/>
    </row>
    <row r="1674" ht="15.75" customHeight="1">
      <c r="B1674" s="78"/>
      <c r="C1674" s="79"/>
      <c r="D1674" s="79"/>
      <c r="E1674" s="80"/>
      <c r="F1674" s="81"/>
      <c r="G1674" s="79"/>
      <c r="H1674" s="79"/>
      <c r="I1674" s="79"/>
      <c r="J1674" s="79"/>
      <c r="K1674" s="79"/>
      <c r="L1674" s="79"/>
      <c r="M1674" s="79"/>
      <c r="N1674" s="50"/>
      <c r="O1674" s="82"/>
      <c r="P1674" s="70"/>
      <c r="Q1674" s="70"/>
      <c r="R1674" s="70"/>
      <c r="S1674" s="70"/>
    </row>
    <row r="1675" ht="15.75" customHeight="1">
      <c r="B1675" s="78"/>
      <c r="C1675" s="79"/>
      <c r="D1675" s="79"/>
      <c r="E1675" s="80"/>
      <c r="F1675" s="81"/>
      <c r="G1675" s="79"/>
      <c r="H1675" s="79"/>
      <c r="I1675" s="79"/>
      <c r="J1675" s="79"/>
      <c r="K1675" s="79"/>
      <c r="L1675" s="79"/>
      <c r="M1675" s="79"/>
      <c r="N1675" s="50"/>
      <c r="O1675" s="82"/>
      <c r="P1675" s="70"/>
      <c r="Q1675" s="70"/>
      <c r="R1675" s="70"/>
      <c r="S1675" s="70"/>
    </row>
    <row r="1676" ht="15.75" customHeight="1">
      <c r="B1676" s="78"/>
      <c r="C1676" s="79"/>
      <c r="D1676" s="79"/>
      <c r="E1676" s="80"/>
      <c r="F1676" s="81"/>
      <c r="G1676" s="79"/>
      <c r="H1676" s="79"/>
      <c r="I1676" s="79"/>
      <c r="J1676" s="79"/>
      <c r="K1676" s="79"/>
      <c r="L1676" s="79"/>
      <c r="M1676" s="79"/>
      <c r="N1676" s="50"/>
      <c r="O1676" s="82"/>
      <c r="P1676" s="70"/>
      <c r="Q1676" s="70"/>
      <c r="R1676" s="70"/>
      <c r="S1676" s="70"/>
    </row>
    <row r="1677" ht="15.75" customHeight="1">
      <c r="B1677" s="78"/>
      <c r="C1677" s="79"/>
      <c r="D1677" s="79"/>
      <c r="E1677" s="80"/>
      <c r="F1677" s="81"/>
      <c r="G1677" s="79"/>
      <c r="H1677" s="79"/>
      <c r="I1677" s="79"/>
      <c r="J1677" s="79"/>
      <c r="K1677" s="79"/>
      <c r="L1677" s="79"/>
      <c r="M1677" s="79"/>
      <c r="N1677" s="50"/>
      <c r="O1677" s="82"/>
      <c r="P1677" s="70"/>
      <c r="Q1677" s="70"/>
      <c r="R1677" s="70"/>
      <c r="S1677" s="70"/>
    </row>
    <row r="1678" ht="15.75" customHeight="1">
      <c r="B1678" s="78"/>
      <c r="C1678" s="79"/>
      <c r="D1678" s="79"/>
      <c r="E1678" s="80"/>
      <c r="F1678" s="81"/>
      <c r="G1678" s="79"/>
      <c r="H1678" s="79"/>
      <c r="I1678" s="79"/>
      <c r="J1678" s="79"/>
      <c r="K1678" s="79"/>
      <c r="L1678" s="79"/>
      <c r="M1678" s="79"/>
      <c r="N1678" s="50"/>
      <c r="O1678" s="82"/>
      <c r="P1678" s="70"/>
      <c r="Q1678" s="70"/>
      <c r="R1678" s="70"/>
      <c r="S1678" s="70"/>
    </row>
    <row r="1679" ht="15.75" customHeight="1">
      <c r="B1679" s="78"/>
      <c r="C1679" s="79"/>
      <c r="D1679" s="79"/>
      <c r="E1679" s="80"/>
      <c r="F1679" s="81"/>
      <c r="G1679" s="79"/>
      <c r="H1679" s="79"/>
      <c r="I1679" s="79"/>
      <c r="J1679" s="79"/>
      <c r="K1679" s="79"/>
      <c r="L1679" s="79"/>
      <c r="M1679" s="79"/>
      <c r="N1679" s="50"/>
      <c r="O1679" s="82"/>
      <c r="P1679" s="70"/>
      <c r="Q1679" s="70"/>
      <c r="R1679" s="70"/>
      <c r="S1679" s="70"/>
    </row>
    <row r="1680" ht="15.75" customHeight="1">
      <c r="B1680" s="78"/>
      <c r="C1680" s="79"/>
      <c r="D1680" s="79"/>
      <c r="E1680" s="80"/>
      <c r="F1680" s="81"/>
      <c r="G1680" s="79"/>
      <c r="H1680" s="79"/>
      <c r="I1680" s="79"/>
      <c r="J1680" s="79"/>
      <c r="K1680" s="79"/>
      <c r="L1680" s="79"/>
      <c r="M1680" s="79"/>
      <c r="N1680" s="50"/>
      <c r="O1680" s="82"/>
      <c r="P1680" s="70"/>
      <c r="Q1680" s="70"/>
      <c r="R1680" s="70"/>
      <c r="S1680" s="70"/>
    </row>
    <row r="1681" ht="15.75" customHeight="1">
      <c r="B1681" s="78"/>
      <c r="C1681" s="79"/>
      <c r="D1681" s="79"/>
      <c r="E1681" s="80"/>
      <c r="F1681" s="81"/>
      <c r="G1681" s="79"/>
      <c r="H1681" s="79"/>
      <c r="I1681" s="79"/>
      <c r="J1681" s="79"/>
      <c r="K1681" s="79"/>
      <c r="L1681" s="79"/>
      <c r="M1681" s="79"/>
      <c r="N1681" s="50"/>
      <c r="O1681" s="82"/>
      <c r="P1681" s="70"/>
      <c r="Q1681" s="70"/>
      <c r="R1681" s="70"/>
      <c r="S1681" s="70"/>
    </row>
    <row r="1682" ht="15.75" customHeight="1">
      <c r="B1682" s="78"/>
      <c r="C1682" s="79"/>
      <c r="D1682" s="79"/>
      <c r="E1682" s="80"/>
      <c r="F1682" s="81"/>
      <c r="G1682" s="79"/>
      <c r="H1682" s="79"/>
      <c r="I1682" s="79"/>
      <c r="J1682" s="79"/>
      <c r="K1682" s="79"/>
      <c r="L1682" s="79"/>
      <c r="M1682" s="79"/>
      <c r="N1682" s="50"/>
      <c r="O1682" s="82"/>
      <c r="P1682" s="70"/>
      <c r="Q1682" s="70"/>
      <c r="R1682" s="70"/>
      <c r="S1682" s="70"/>
    </row>
    <row r="1683" ht="15.75" customHeight="1">
      <c r="B1683" s="78"/>
      <c r="C1683" s="79"/>
      <c r="D1683" s="79"/>
      <c r="E1683" s="80"/>
      <c r="F1683" s="81"/>
      <c r="G1683" s="79"/>
      <c r="H1683" s="79"/>
      <c r="I1683" s="79"/>
      <c r="J1683" s="79"/>
      <c r="K1683" s="79"/>
      <c r="L1683" s="79"/>
      <c r="M1683" s="79"/>
      <c r="N1683" s="50"/>
      <c r="O1683" s="82"/>
      <c r="P1683" s="70"/>
      <c r="Q1683" s="70"/>
      <c r="R1683" s="70"/>
      <c r="S1683" s="70"/>
    </row>
    <row r="1684" ht="15.75" customHeight="1">
      <c r="B1684" s="78"/>
      <c r="C1684" s="79"/>
      <c r="D1684" s="79"/>
      <c r="E1684" s="80"/>
      <c r="F1684" s="81"/>
      <c r="G1684" s="79"/>
      <c r="H1684" s="79"/>
      <c r="I1684" s="79"/>
      <c r="J1684" s="79"/>
      <c r="K1684" s="79"/>
      <c r="L1684" s="79"/>
      <c r="M1684" s="79"/>
      <c r="N1684" s="50"/>
      <c r="O1684" s="82"/>
      <c r="P1684" s="70"/>
      <c r="Q1684" s="70"/>
      <c r="R1684" s="70"/>
      <c r="S1684" s="70"/>
    </row>
    <row r="1685" ht="15.75" customHeight="1">
      <c r="B1685" s="78"/>
      <c r="C1685" s="79"/>
      <c r="D1685" s="79"/>
      <c r="E1685" s="80"/>
      <c r="F1685" s="81"/>
      <c r="G1685" s="79"/>
      <c r="H1685" s="79"/>
      <c r="I1685" s="79"/>
      <c r="J1685" s="79"/>
      <c r="K1685" s="79"/>
      <c r="L1685" s="79"/>
      <c r="M1685" s="79"/>
      <c r="N1685" s="50"/>
      <c r="O1685" s="82"/>
      <c r="P1685" s="70"/>
      <c r="Q1685" s="70"/>
      <c r="R1685" s="70"/>
      <c r="S1685" s="70"/>
    </row>
    <row r="1686" ht="15.75" customHeight="1">
      <c r="B1686" s="78"/>
      <c r="C1686" s="79"/>
      <c r="D1686" s="79"/>
      <c r="E1686" s="80"/>
      <c r="F1686" s="81"/>
      <c r="G1686" s="79"/>
      <c r="H1686" s="79"/>
      <c r="I1686" s="79"/>
      <c r="J1686" s="79"/>
      <c r="K1686" s="79"/>
      <c r="L1686" s="79"/>
      <c r="M1686" s="79"/>
      <c r="N1686" s="50"/>
      <c r="O1686" s="82"/>
      <c r="P1686" s="70"/>
      <c r="Q1686" s="70"/>
      <c r="R1686" s="70"/>
      <c r="S1686" s="70"/>
    </row>
    <row r="1687" ht="15.75" customHeight="1">
      <c r="B1687" s="78"/>
      <c r="C1687" s="79"/>
      <c r="D1687" s="79"/>
      <c r="E1687" s="80"/>
      <c r="F1687" s="81"/>
      <c r="G1687" s="79"/>
      <c r="H1687" s="79"/>
      <c r="I1687" s="79"/>
      <c r="J1687" s="79"/>
      <c r="K1687" s="79"/>
      <c r="L1687" s="79"/>
      <c r="M1687" s="79"/>
      <c r="N1687" s="50"/>
      <c r="O1687" s="82"/>
      <c r="P1687" s="70"/>
      <c r="Q1687" s="70"/>
      <c r="R1687" s="70"/>
      <c r="S1687" s="70"/>
    </row>
    <row r="1688" ht="15.75" customHeight="1">
      <c r="B1688" s="78"/>
      <c r="C1688" s="79"/>
      <c r="D1688" s="79"/>
      <c r="E1688" s="80"/>
      <c r="F1688" s="81"/>
      <c r="G1688" s="79"/>
      <c r="H1688" s="79"/>
      <c r="I1688" s="79"/>
      <c r="J1688" s="79"/>
      <c r="K1688" s="79"/>
      <c r="L1688" s="79"/>
      <c r="M1688" s="79"/>
      <c r="N1688" s="50"/>
      <c r="O1688" s="82"/>
      <c r="P1688" s="70"/>
      <c r="Q1688" s="70"/>
      <c r="R1688" s="70"/>
      <c r="S1688" s="70"/>
    </row>
    <row r="1689" ht="15.75" customHeight="1">
      <c r="B1689" s="78"/>
      <c r="C1689" s="79"/>
      <c r="D1689" s="79"/>
      <c r="E1689" s="80"/>
      <c r="F1689" s="81"/>
      <c r="G1689" s="79"/>
      <c r="H1689" s="79"/>
      <c r="I1689" s="79"/>
      <c r="J1689" s="79"/>
      <c r="K1689" s="79"/>
      <c r="L1689" s="79"/>
      <c r="M1689" s="79"/>
      <c r="N1689" s="50"/>
      <c r="O1689" s="82"/>
      <c r="P1689" s="70"/>
      <c r="Q1689" s="70"/>
      <c r="R1689" s="70"/>
      <c r="S1689" s="70"/>
    </row>
    <row r="1690" ht="15.75" customHeight="1">
      <c r="B1690" s="78"/>
      <c r="C1690" s="79"/>
      <c r="D1690" s="79"/>
      <c r="E1690" s="80"/>
      <c r="F1690" s="81"/>
      <c r="G1690" s="79"/>
      <c r="H1690" s="79"/>
      <c r="I1690" s="79"/>
      <c r="J1690" s="79"/>
      <c r="K1690" s="79"/>
      <c r="L1690" s="79"/>
      <c r="M1690" s="79"/>
      <c r="N1690" s="50"/>
      <c r="O1690" s="82"/>
      <c r="P1690" s="70"/>
      <c r="Q1690" s="70"/>
      <c r="R1690" s="70"/>
      <c r="S1690" s="70"/>
    </row>
    <row r="1691" ht="15.75" customHeight="1">
      <c r="B1691" s="78"/>
      <c r="C1691" s="79"/>
      <c r="D1691" s="79"/>
      <c r="E1691" s="80"/>
      <c r="F1691" s="81"/>
      <c r="G1691" s="79"/>
      <c r="H1691" s="79"/>
      <c r="I1691" s="79"/>
      <c r="J1691" s="79"/>
      <c r="K1691" s="79"/>
      <c r="L1691" s="79"/>
      <c r="M1691" s="79"/>
      <c r="N1691" s="50"/>
      <c r="O1691" s="82"/>
      <c r="P1691" s="70"/>
      <c r="Q1691" s="70"/>
      <c r="R1691" s="70"/>
      <c r="S1691" s="70"/>
    </row>
    <row r="1692" ht="15.75" customHeight="1">
      <c r="B1692" s="78"/>
      <c r="C1692" s="79"/>
      <c r="D1692" s="79"/>
      <c r="E1692" s="80"/>
      <c r="F1692" s="81"/>
      <c r="G1692" s="79"/>
      <c r="H1692" s="79"/>
      <c r="I1692" s="79"/>
      <c r="J1692" s="79"/>
      <c r="K1692" s="79"/>
      <c r="L1692" s="79"/>
      <c r="M1692" s="79"/>
      <c r="N1692" s="50"/>
      <c r="O1692" s="82"/>
      <c r="P1692" s="70"/>
      <c r="Q1692" s="70"/>
      <c r="R1692" s="70"/>
      <c r="S1692" s="70"/>
    </row>
    <row r="1693" ht="15.75" customHeight="1">
      <c r="B1693" s="78"/>
      <c r="C1693" s="79"/>
      <c r="D1693" s="79"/>
      <c r="E1693" s="80"/>
      <c r="F1693" s="81"/>
      <c r="G1693" s="79"/>
      <c r="H1693" s="79"/>
      <c r="I1693" s="79"/>
      <c r="J1693" s="79"/>
      <c r="K1693" s="79"/>
      <c r="L1693" s="79"/>
      <c r="M1693" s="79"/>
      <c r="N1693" s="50"/>
      <c r="O1693" s="82"/>
      <c r="P1693" s="70"/>
      <c r="Q1693" s="70"/>
      <c r="R1693" s="70"/>
      <c r="S1693" s="70"/>
    </row>
    <row r="1694" ht="15.75" customHeight="1">
      <c r="B1694" s="78"/>
      <c r="C1694" s="79"/>
      <c r="D1694" s="79"/>
      <c r="E1694" s="80"/>
      <c r="F1694" s="81"/>
      <c r="G1694" s="79"/>
      <c r="H1694" s="79"/>
      <c r="I1694" s="79"/>
      <c r="J1694" s="79"/>
      <c r="K1694" s="79"/>
      <c r="L1694" s="79"/>
      <c r="M1694" s="79"/>
      <c r="N1694" s="50"/>
      <c r="O1694" s="82"/>
      <c r="P1694" s="70"/>
      <c r="Q1694" s="70"/>
      <c r="R1694" s="70"/>
      <c r="S1694" s="70"/>
    </row>
    <row r="1695" ht="15.75" customHeight="1">
      <c r="B1695" s="78"/>
      <c r="C1695" s="79"/>
      <c r="D1695" s="79"/>
      <c r="E1695" s="80"/>
      <c r="F1695" s="81"/>
      <c r="G1695" s="79"/>
      <c r="H1695" s="79"/>
      <c r="I1695" s="79"/>
      <c r="J1695" s="79"/>
      <c r="K1695" s="79"/>
      <c r="L1695" s="79"/>
      <c r="M1695" s="79"/>
      <c r="N1695" s="50"/>
      <c r="O1695" s="82"/>
      <c r="P1695" s="70"/>
      <c r="Q1695" s="70"/>
      <c r="R1695" s="70"/>
      <c r="S1695" s="70"/>
    </row>
    <row r="1696" ht="15.75" customHeight="1">
      <c r="B1696" s="78"/>
      <c r="C1696" s="79"/>
      <c r="D1696" s="79"/>
      <c r="E1696" s="80"/>
      <c r="F1696" s="81"/>
      <c r="G1696" s="79"/>
      <c r="H1696" s="79"/>
      <c r="I1696" s="79"/>
      <c r="J1696" s="79"/>
      <c r="K1696" s="79"/>
      <c r="L1696" s="79"/>
      <c r="M1696" s="79"/>
      <c r="N1696" s="50"/>
      <c r="O1696" s="82"/>
      <c r="P1696" s="70"/>
      <c r="Q1696" s="70"/>
      <c r="R1696" s="70"/>
      <c r="S1696" s="70"/>
    </row>
    <row r="1697" ht="15.75" customHeight="1">
      <c r="B1697" s="78"/>
      <c r="C1697" s="79"/>
      <c r="D1697" s="79"/>
      <c r="E1697" s="80"/>
      <c r="F1697" s="81"/>
      <c r="G1697" s="79"/>
      <c r="H1697" s="79"/>
      <c r="I1697" s="79"/>
      <c r="J1697" s="79"/>
      <c r="K1697" s="79"/>
      <c r="L1697" s="79"/>
      <c r="M1697" s="79"/>
      <c r="N1697" s="50"/>
      <c r="O1697" s="82"/>
      <c r="P1697" s="70"/>
      <c r="Q1697" s="70"/>
      <c r="R1697" s="70"/>
      <c r="S1697" s="70"/>
    </row>
    <row r="1698" ht="15.75" customHeight="1">
      <c r="B1698" s="78"/>
      <c r="C1698" s="79"/>
      <c r="D1698" s="79"/>
      <c r="E1698" s="80"/>
      <c r="F1698" s="81"/>
      <c r="G1698" s="79"/>
      <c r="H1698" s="79"/>
      <c r="I1698" s="79"/>
      <c r="J1698" s="79"/>
      <c r="K1698" s="79"/>
      <c r="L1698" s="79"/>
      <c r="M1698" s="79"/>
      <c r="N1698" s="50"/>
      <c r="O1698" s="82"/>
      <c r="P1698" s="70"/>
      <c r="Q1698" s="70"/>
      <c r="R1698" s="70"/>
      <c r="S1698" s="70"/>
    </row>
    <row r="1699" ht="15.75" customHeight="1">
      <c r="B1699" s="78"/>
      <c r="C1699" s="79"/>
      <c r="D1699" s="79"/>
      <c r="E1699" s="80"/>
      <c r="F1699" s="81"/>
      <c r="G1699" s="79"/>
      <c r="H1699" s="79"/>
      <c r="I1699" s="79"/>
      <c r="J1699" s="79"/>
      <c r="K1699" s="79"/>
      <c r="L1699" s="79"/>
      <c r="M1699" s="79"/>
      <c r="N1699" s="50"/>
      <c r="O1699" s="82"/>
      <c r="P1699" s="70"/>
      <c r="Q1699" s="70"/>
      <c r="R1699" s="70"/>
      <c r="S1699" s="70"/>
    </row>
    <row r="1700" ht="15.75" customHeight="1">
      <c r="B1700" s="78"/>
      <c r="C1700" s="79"/>
      <c r="D1700" s="79"/>
      <c r="E1700" s="80"/>
      <c r="F1700" s="81"/>
      <c r="G1700" s="79"/>
      <c r="H1700" s="79"/>
      <c r="I1700" s="79"/>
      <c r="J1700" s="79"/>
      <c r="K1700" s="79"/>
      <c r="L1700" s="79"/>
      <c r="M1700" s="79"/>
      <c r="N1700" s="50"/>
      <c r="O1700" s="82"/>
      <c r="P1700" s="70"/>
      <c r="Q1700" s="70"/>
      <c r="R1700" s="70"/>
      <c r="S1700" s="70"/>
    </row>
    <row r="1701" ht="15.75" customHeight="1">
      <c r="B1701" s="78"/>
      <c r="C1701" s="79"/>
      <c r="D1701" s="79"/>
      <c r="E1701" s="80"/>
      <c r="F1701" s="81"/>
      <c r="G1701" s="79"/>
      <c r="H1701" s="79"/>
      <c r="I1701" s="79"/>
      <c r="J1701" s="79"/>
      <c r="K1701" s="79"/>
      <c r="L1701" s="79"/>
      <c r="M1701" s="79"/>
      <c r="N1701" s="50"/>
      <c r="O1701" s="82"/>
      <c r="P1701" s="70"/>
      <c r="Q1701" s="70"/>
      <c r="R1701" s="70"/>
      <c r="S1701" s="70"/>
    </row>
    <row r="1702" ht="15.75" customHeight="1">
      <c r="B1702" s="78"/>
      <c r="C1702" s="79"/>
      <c r="D1702" s="79"/>
      <c r="E1702" s="80"/>
      <c r="F1702" s="81"/>
      <c r="G1702" s="79"/>
      <c r="H1702" s="79"/>
      <c r="I1702" s="79"/>
      <c r="J1702" s="79"/>
      <c r="K1702" s="79"/>
      <c r="L1702" s="79"/>
      <c r="M1702" s="79"/>
      <c r="N1702" s="50"/>
      <c r="O1702" s="82"/>
      <c r="P1702" s="70"/>
      <c r="Q1702" s="70"/>
      <c r="R1702" s="70"/>
      <c r="S1702" s="70"/>
    </row>
    <row r="1703" ht="15.75" customHeight="1">
      <c r="B1703" s="78"/>
      <c r="C1703" s="79"/>
      <c r="D1703" s="79"/>
      <c r="E1703" s="80"/>
      <c r="F1703" s="81"/>
      <c r="G1703" s="79"/>
      <c r="H1703" s="79"/>
      <c r="I1703" s="79"/>
      <c r="J1703" s="79"/>
      <c r="K1703" s="79"/>
      <c r="L1703" s="79"/>
      <c r="M1703" s="79"/>
      <c r="N1703" s="50"/>
      <c r="O1703" s="82"/>
      <c r="P1703" s="70"/>
      <c r="Q1703" s="70"/>
      <c r="R1703" s="70"/>
      <c r="S1703" s="70"/>
    </row>
    <row r="1704" ht="15.75" customHeight="1">
      <c r="B1704" s="78"/>
      <c r="C1704" s="79"/>
      <c r="D1704" s="79"/>
      <c r="E1704" s="80"/>
      <c r="F1704" s="81"/>
      <c r="G1704" s="79"/>
      <c r="H1704" s="79"/>
      <c r="I1704" s="79"/>
      <c r="J1704" s="79"/>
      <c r="K1704" s="79"/>
      <c r="L1704" s="79"/>
      <c r="M1704" s="79"/>
      <c r="N1704" s="50"/>
      <c r="O1704" s="82"/>
      <c r="P1704" s="70"/>
      <c r="Q1704" s="70"/>
      <c r="R1704" s="70"/>
      <c r="S1704" s="70"/>
    </row>
    <row r="1705" ht="15.75" customHeight="1">
      <c r="B1705" s="78"/>
      <c r="C1705" s="79"/>
      <c r="D1705" s="79"/>
      <c r="E1705" s="80"/>
      <c r="F1705" s="81"/>
      <c r="G1705" s="79"/>
      <c r="H1705" s="79"/>
      <c r="I1705" s="79"/>
      <c r="J1705" s="79"/>
      <c r="K1705" s="79"/>
      <c r="L1705" s="79"/>
      <c r="M1705" s="79"/>
      <c r="N1705" s="50"/>
      <c r="O1705" s="82"/>
      <c r="P1705" s="70"/>
      <c r="Q1705" s="70"/>
      <c r="R1705" s="70"/>
      <c r="S1705" s="70"/>
    </row>
    <row r="1706" ht="15.75" customHeight="1">
      <c r="B1706" s="78"/>
      <c r="C1706" s="79"/>
      <c r="D1706" s="79"/>
      <c r="E1706" s="80"/>
      <c r="F1706" s="81"/>
      <c r="G1706" s="79"/>
      <c r="H1706" s="79"/>
      <c r="I1706" s="79"/>
      <c r="J1706" s="79"/>
      <c r="K1706" s="79"/>
      <c r="L1706" s="79"/>
      <c r="M1706" s="79"/>
      <c r="N1706" s="50"/>
      <c r="O1706" s="82"/>
      <c r="P1706" s="70"/>
      <c r="Q1706" s="70"/>
      <c r="R1706" s="70"/>
      <c r="S1706" s="70"/>
    </row>
    <row r="1707" ht="15.75" customHeight="1">
      <c r="B1707" s="78"/>
      <c r="C1707" s="79"/>
      <c r="D1707" s="79"/>
      <c r="E1707" s="80"/>
      <c r="F1707" s="81"/>
      <c r="G1707" s="79"/>
      <c r="H1707" s="79"/>
      <c r="I1707" s="79"/>
      <c r="J1707" s="79"/>
      <c r="K1707" s="79"/>
      <c r="L1707" s="79"/>
      <c r="M1707" s="79"/>
      <c r="N1707" s="50"/>
      <c r="O1707" s="82"/>
      <c r="P1707" s="70"/>
      <c r="Q1707" s="70"/>
      <c r="R1707" s="70"/>
      <c r="S1707" s="70"/>
    </row>
    <row r="1708" ht="15.75" customHeight="1">
      <c r="B1708" s="78"/>
      <c r="C1708" s="79"/>
      <c r="D1708" s="79"/>
      <c r="E1708" s="80"/>
      <c r="F1708" s="81"/>
      <c r="G1708" s="79"/>
      <c r="H1708" s="79"/>
      <c r="I1708" s="79"/>
      <c r="J1708" s="79"/>
      <c r="K1708" s="79"/>
      <c r="L1708" s="79"/>
      <c r="M1708" s="79"/>
      <c r="N1708" s="50"/>
      <c r="O1708" s="82"/>
      <c r="P1708" s="70"/>
      <c r="Q1708" s="70"/>
      <c r="R1708" s="70"/>
      <c r="S1708" s="70"/>
    </row>
    <row r="1709" ht="15.75" customHeight="1">
      <c r="B1709" s="78"/>
      <c r="C1709" s="79"/>
      <c r="D1709" s="79"/>
      <c r="E1709" s="80"/>
      <c r="F1709" s="81"/>
      <c r="G1709" s="79"/>
      <c r="H1709" s="79"/>
      <c r="I1709" s="79"/>
      <c r="J1709" s="79"/>
      <c r="K1709" s="79"/>
      <c r="L1709" s="79"/>
      <c r="M1709" s="79"/>
      <c r="N1709" s="50"/>
      <c r="O1709" s="82"/>
      <c r="P1709" s="70"/>
      <c r="Q1709" s="70"/>
      <c r="R1709" s="70"/>
      <c r="S1709" s="70"/>
    </row>
    <row r="1710" ht="15.75" customHeight="1">
      <c r="B1710" s="78"/>
      <c r="C1710" s="79"/>
      <c r="D1710" s="79"/>
      <c r="E1710" s="80"/>
      <c r="F1710" s="81"/>
      <c r="G1710" s="79"/>
      <c r="H1710" s="79"/>
      <c r="I1710" s="79"/>
      <c r="J1710" s="79"/>
      <c r="K1710" s="79"/>
      <c r="L1710" s="79"/>
      <c r="M1710" s="79"/>
      <c r="N1710" s="50"/>
      <c r="O1710" s="82"/>
      <c r="P1710" s="70"/>
      <c r="Q1710" s="70"/>
      <c r="R1710" s="70"/>
      <c r="S1710" s="70"/>
    </row>
    <row r="1711" ht="15.75" customHeight="1">
      <c r="B1711" s="78"/>
      <c r="C1711" s="79"/>
      <c r="D1711" s="79"/>
      <c r="E1711" s="80"/>
      <c r="F1711" s="81"/>
      <c r="G1711" s="79"/>
      <c r="H1711" s="79"/>
      <c r="I1711" s="79"/>
      <c r="J1711" s="79"/>
      <c r="K1711" s="79"/>
      <c r="L1711" s="79"/>
      <c r="M1711" s="79"/>
      <c r="N1711" s="50"/>
      <c r="O1711" s="82"/>
      <c r="P1711" s="70"/>
      <c r="Q1711" s="70"/>
      <c r="R1711" s="70"/>
      <c r="S1711" s="70"/>
    </row>
    <row r="1712" ht="15.75" customHeight="1">
      <c r="B1712" s="78"/>
      <c r="C1712" s="79"/>
      <c r="D1712" s="79"/>
      <c r="E1712" s="80"/>
      <c r="F1712" s="81"/>
      <c r="G1712" s="79"/>
      <c r="H1712" s="79"/>
      <c r="I1712" s="79"/>
      <c r="J1712" s="79"/>
      <c r="K1712" s="79"/>
      <c r="L1712" s="79"/>
      <c r="M1712" s="79"/>
      <c r="N1712" s="50"/>
      <c r="O1712" s="82"/>
      <c r="P1712" s="70"/>
      <c r="Q1712" s="70"/>
      <c r="R1712" s="70"/>
      <c r="S1712" s="70"/>
    </row>
    <row r="1713" ht="15.75" customHeight="1">
      <c r="B1713" s="78"/>
      <c r="C1713" s="79"/>
      <c r="D1713" s="79"/>
      <c r="E1713" s="80"/>
      <c r="F1713" s="81"/>
      <c r="G1713" s="79"/>
      <c r="H1713" s="79"/>
      <c r="I1713" s="79"/>
      <c r="J1713" s="79"/>
      <c r="K1713" s="79"/>
      <c r="L1713" s="79"/>
      <c r="M1713" s="79"/>
      <c r="N1713" s="50"/>
      <c r="O1713" s="82"/>
      <c r="P1713" s="70"/>
      <c r="Q1713" s="70"/>
      <c r="R1713" s="70"/>
      <c r="S1713" s="70"/>
    </row>
    <row r="1714" ht="15.75" customHeight="1">
      <c r="B1714" s="78"/>
      <c r="C1714" s="79"/>
      <c r="D1714" s="79"/>
      <c r="E1714" s="80"/>
      <c r="F1714" s="81"/>
      <c r="G1714" s="79"/>
      <c r="H1714" s="79"/>
      <c r="I1714" s="79"/>
      <c r="J1714" s="79"/>
      <c r="K1714" s="79"/>
      <c r="L1714" s="79"/>
      <c r="M1714" s="79"/>
      <c r="N1714" s="50"/>
      <c r="O1714" s="82"/>
      <c r="P1714" s="70"/>
      <c r="Q1714" s="70"/>
      <c r="R1714" s="70"/>
      <c r="S1714" s="70"/>
    </row>
    <row r="1715" ht="15.75" customHeight="1">
      <c r="B1715" s="78"/>
      <c r="C1715" s="79"/>
      <c r="D1715" s="79"/>
      <c r="E1715" s="80"/>
      <c r="F1715" s="81"/>
      <c r="G1715" s="79"/>
      <c r="H1715" s="79"/>
      <c r="I1715" s="79"/>
      <c r="J1715" s="79"/>
      <c r="K1715" s="79"/>
      <c r="L1715" s="79"/>
      <c r="M1715" s="79"/>
      <c r="N1715" s="50"/>
      <c r="O1715" s="82"/>
      <c r="P1715" s="70"/>
      <c r="Q1715" s="70"/>
      <c r="R1715" s="70"/>
      <c r="S1715" s="70"/>
    </row>
    <row r="1716" ht="15.75" customHeight="1">
      <c r="B1716" s="78"/>
      <c r="C1716" s="79"/>
      <c r="D1716" s="79"/>
      <c r="E1716" s="80"/>
      <c r="F1716" s="81"/>
      <c r="G1716" s="79"/>
      <c r="H1716" s="79"/>
      <c r="I1716" s="79"/>
      <c r="J1716" s="79"/>
      <c r="K1716" s="79"/>
      <c r="L1716" s="79"/>
      <c r="M1716" s="79"/>
      <c r="N1716" s="50"/>
      <c r="O1716" s="82"/>
      <c r="P1716" s="70"/>
      <c r="Q1716" s="70"/>
      <c r="R1716" s="70"/>
      <c r="S1716" s="70"/>
    </row>
    <row r="1717" ht="15.75" customHeight="1">
      <c r="B1717" s="78"/>
      <c r="C1717" s="79"/>
      <c r="D1717" s="79"/>
      <c r="E1717" s="80"/>
      <c r="F1717" s="81"/>
      <c r="G1717" s="79"/>
      <c r="H1717" s="79"/>
      <c r="I1717" s="79"/>
      <c r="J1717" s="79"/>
      <c r="K1717" s="79"/>
      <c r="L1717" s="79"/>
      <c r="M1717" s="79"/>
      <c r="N1717" s="50"/>
      <c r="O1717" s="82"/>
      <c r="P1717" s="70"/>
      <c r="Q1717" s="70"/>
      <c r="R1717" s="70"/>
      <c r="S1717" s="70"/>
    </row>
    <row r="1718" ht="15.75" customHeight="1">
      <c r="B1718" s="78"/>
      <c r="C1718" s="79"/>
      <c r="D1718" s="79"/>
      <c r="E1718" s="80"/>
      <c r="F1718" s="81"/>
      <c r="G1718" s="79"/>
      <c r="H1718" s="79"/>
      <c r="I1718" s="79"/>
      <c r="J1718" s="79"/>
      <c r="K1718" s="79"/>
      <c r="L1718" s="79"/>
      <c r="M1718" s="79"/>
      <c r="N1718" s="50"/>
      <c r="O1718" s="82"/>
      <c r="P1718" s="70"/>
      <c r="Q1718" s="70"/>
      <c r="R1718" s="70"/>
      <c r="S1718" s="70"/>
    </row>
    <row r="1719" ht="15.75" customHeight="1">
      <c r="B1719" s="78"/>
      <c r="C1719" s="79"/>
      <c r="D1719" s="79"/>
      <c r="E1719" s="80"/>
      <c r="F1719" s="81"/>
      <c r="G1719" s="79"/>
      <c r="H1719" s="79"/>
      <c r="I1719" s="79"/>
      <c r="J1719" s="79"/>
      <c r="K1719" s="79"/>
      <c r="L1719" s="79"/>
      <c r="M1719" s="79"/>
      <c r="N1719" s="50"/>
      <c r="O1719" s="82"/>
      <c r="P1719" s="70"/>
      <c r="Q1719" s="70"/>
      <c r="R1719" s="70"/>
      <c r="S1719" s="70"/>
    </row>
    <row r="1720" ht="15.75" customHeight="1">
      <c r="B1720" s="78"/>
      <c r="C1720" s="79"/>
      <c r="D1720" s="79"/>
      <c r="E1720" s="80"/>
      <c r="F1720" s="81"/>
      <c r="G1720" s="79"/>
      <c r="H1720" s="79"/>
      <c r="I1720" s="79"/>
      <c r="J1720" s="79"/>
      <c r="K1720" s="79"/>
      <c r="L1720" s="79"/>
      <c r="M1720" s="79"/>
      <c r="N1720" s="50"/>
      <c r="O1720" s="82"/>
      <c r="P1720" s="70"/>
      <c r="Q1720" s="70"/>
      <c r="R1720" s="70"/>
      <c r="S1720" s="70"/>
    </row>
    <row r="1721" ht="15.75" customHeight="1">
      <c r="B1721" s="78"/>
      <c r="C1721" s="79"/>
      <c r="D1721" s="79"/>
      <c r="E1721" s="80"/>
      <c r="F1721" s="81"/>
      <c r="G1721" s="79"/>
      <c r="H1721" s="79"/>
      <c r="I1721" s="79"/>
      <c r="J1721" s="79"/>
      <c r="K1721" s="79"/>
      <c r="L1721" s="79"/>
      <c r="M1721" s="79"/>
      <c r="N1721" s="50"/>
      <c r="O1721" s="82"/>
      <c r="P1721" s="70"/>
      <c r="Q1721" s="70"/>
      <c r="R1721" s="70"/>
      <c r="S1721" s="70"/>
    </row>
    <row r="1722" ht="15.75" customHeight="1">
      <c r="B1722" s="78"/>
      <c r="C1722" s="79"/>
      <c r="D1722" s="79"/>
      <c r="E1722" s="80"/>
      <c r="F1722" s="81"/>
      <c r="G1722" s="79"/>
      <c r="H1722" s="79"/>
      <c r="I1722" s="79"/>
      <c r="J1722" s="79"/>
      <c r="K1722" s="79"/>
      <c r="L1722" s="79"/>
      <c r="M1722" s="79"/>
      <c r="N1722" s="50"/>
      <c r="O1722" s="82"/>
      <c r="P1722" s="70"/>
      <c r="Q1722" s="70"/>
      <c r="R1722" s="70"/>
      <c r="S1722" s="70"/>
    </row>
    <row r="1723" ht="15.75" customHeight="1">
      <c r="B1723" s="78"/>
      <c r="C1723" s="79"/>
      <c r="D1723" s="79"/>
      <c r="E1723" s="80"/>
      <c r="F1723" s="81"/>
      <c r="G1723" s="79"/>
      <c r="H1723" s="79"/>
      <c r="I1723" s="79"/>
      <c r="J1723" s="79"/>
      <c r="K1723" s="79"/>
      <c r="L1723" s="79"/>
      <c r="M1723" s="79"/>
      <c r="N1723" s="50"/>
      <c r="O1723" s="82"/>
      <c r="P1723" s="70"/>
      <c r="Q1723" s="70"/>
      <c r="R1723" s="70"/>
      <c r="S1723" s="70"/>
    </row>
    <row r="1724" ht="15.75" customHeight="1">
      <c r="B1724" s="78"/>
      <c r="C1724" s="79"/>
      <c r="D1724" s="79"/>
      <c r="E1724" s="80"/>
      <c r="F1724" s="81"/>
      <c r="G1724" s="79"/>
      <c r="H1724" s="79"/>
      <c r="I1724" s="79"/>
      <c r="J1724" s="79"/>
      <c r="K1724" s="79"/>
      <c r="L1724" s="79"/>
      <c r="M1724" s="79"/>
      <c r="N1724" s="50"/>
      <c r="O1724" s="82"/>
      <c r="P1724" s="70"/>
      <c r="Q1724" s="70"/>
      <c r="R1724" s="70"/>
      <c r="S1724" s="70"/>
    </row>
    <row r="1725" ht="15.75" customHeight="1">
      <c r="B1725" s="78"/>
      <c r="C1725" s="79"/>
      <c r="D1725" s="79"/>
      <c r="E1725" s="80"/>
      <c r="F1725" s="81"/>
      <c r="G1725" s="79"/>
      <c r="H1725" s="79"/>
      <c r="I1725" s="79"/>
      <c r="J1725" s="79"/>
      <c r="K1725" s="79"/>
      <c r="L1725" s="79"/>
      <c r="M1725" s="79"/>
      <c r="N1725" s="50"/>
      <c r="O1725" s="82"/>
      <c r="P1725" s="70"/>
      <c r="Q1725" s="70"/>
      <c r="R1725" s="70"/>
      <c r="S1725" s="70"/>
    </row>
    <row r="1726" ht="15.75" customHeight="1">
      <c r="B1726" s="78"/>
      <c r="C1726" s="79"/>
      <c r="D1726" s="79"/>
      <c r="E1726" s="80"/>
      <c r="F1726" s="81"/>
      <c r="G1726" s="79"/>
      <c r="H1726" s="79"/>
      <c r="I1726" s="79"/>
      <c r="J1726" s="79"/>
      <c r="K1726" s="79"/>
      <c r="L1726" s="79"/>
      <c r="M1726" s="79"/>
      <c r="N1726" s="50"/>
      <c r="O1726" s="82"/>
      <c r="P1726" s="70"/>
      <c r="Q1726" s="70"/>
      <c r="R1726" s="70"/>
      <c r="S1726" s="70"/>
    </row>
    <row r="1727" ht="15.75" customHeight="1">
      <c r="B1727" s="78"/>
      <c r="C1727" s="79"/>
      <c r="D1727" s="79"/>
      <c r="E1727" s="80"/>
      <c r="F1727" s="81"/>
      <c r="G1727" s="79"/>
      <c r="H1727" s="79"/>
      <c r="I1727" s="79"/>
      <c r="J1727" s="79"/>
      <c r="K1727" s="79"/>
      <c r="L1727" s="79"/>
      <c r="M1727" s="79"/>
      <c r="N1727" s="50"/>
      <c r="O1727" s="82"/>
      <c r="P1727" s="70"/>
      <c r="Q1727" s="70"/>
      <c r="R1727" s="70"/>
      <c r="S1727" s="70"/>
    </row>
    <row r="1728" ht="15.75" customHeight="1">
      <c r="B1728" s="78"/>
      <c r="C1728" s="79"/>
      <c r="D1728" s="79"/>
      <c r="E1728" s="80"/>
      <c r="F1728" s="81"/>
      <c r="G1728" s="79"/>
      <c r="H1728" s="79"/>
      <c r="I1728" s="79"/>
      <c r="J1728" s="79"/>
      <c r="K1728" s="79"/>
      <c r="L1728" s="79"/>
      <c r="M1728" s="79"/>
      <c r="N1728" s="50"/>
      <c r="O1728" s="82"/>
      <c r="P1728" s="70"/>
      <c r="Q1728" s="70"/>
      <c r="R1728" s="70"/>
      <c r="S1728" s="70"/>
    </row>
    <row r="1729" ht="15.75" customHeight="1">
      <c r="B1729" s="78"/>
      <c r="C1729" s="79"/>
      <c r="D1729" s="79"/>
      <c r="E1729" s="80"/>
      <c r="F1729" s="81"/>
      <c r="G1729" s="79"/>
      <c r="H1729" s="79"/>
      <c r="I1729" s="79"/>
      <c r="J1729" s="79"/>
      <c r="K1729" s="79"/>
      <c r="L1729" s="79"/>
      <c r="M1729" s="79"/>
      <c r="N1729" s="50"/>
      <c r="O1729" s="82"/>
      <c r="P1729" s="70"/>
      <c r="Q1729" s="70"/>
      <c r="R1729" s="70"/>
      <c r="S1729" s="70"/>
    </row>
    <row r="1730" ht="15.75" customHeight="1">
      <c r="B1730" s="78"/>
      <c r="C1730" s="79"/>
      <c r="D1730" s="79"/>
      <c r="E1730" s="80"/>
      <c r="F1730" s="81"/>
      <c r="G1730" s="79"/>
      <c r="H1730" s="79"/>
      <c r="I1730" s="79"/>
      <c r="J1730" s="79"/>
      <c r="K1730" s="79"/>
      <c r="L1730" s="79"/>
      <c r="M1730" s="79"/>
      <c r="N1730" s="50"/>
      <c r="O1730" s="82"/>
      <c r="P1730" s="70"/>
      <c r="Q1730" s="70"/>
      <c r="R1730" s="70"/>
      <c r="S1730" s="70"/>
    </row>
    <row r="1731" ht="15.75" customHeight="1">
      <c r="B1731" s="78"/>
      <c r="C1731" s="79"/>
      <c r="D1731" s="79"/>
      <c r="E1731" s="80"/>
      <c r="F1731" s="81"/>
      <c r="G1731" s="79"/>
      <c r="H1731" s="79"/>
      <c r="I1731" s="79"/>
      <c r="J1731" s="79"/>
      <c r="K1731" s="79"/>
      <c r="L1731" s="79"/>
      <c r="M1731" s="79"/>
      <c r="N1731" s="50"/>
      <c r="O1731" s="82"/>
      <c r="P1731" s="70"/>
      <c r="Q1731" s="70"/>
      <c r="R1731" s="70"/>
      <c r="S1731" s="70"/>
    </row>
    <row r="1732" ht="15.75" customHeight="1">
      <c r="B1732" s="78"/>
      <c r="C1732" s="79"/>
      <c r="D1732" s="79"/>
      <c r="E1732" s="80"/>
      <c r="F1732" s="81"/>
      <c r="G1732" s="79"/>
      <c r="H1732" s="79"/>
      <c r="I1732" s="79"/>
      <c r="J1732" s="79"/>
      <c r="K1732" s="79"/>
      <c r="L1732" s="79"/>
      <c r="M1732" s="79"/>
      <c r="N1732" s="50"/>
      <c r="O1732" s="82"/>
      <c r="P1732" s="70"/>
      <c r="Q1732" s="70"/>
      <c r="R1732" s="70"/>
      <c r="S1732" s="70"/>
    </row>
    <row r="1733" ht="15.75" customHeight="1">
      <c r="B1733" s="78"/>
      <c r="C1733" s="79"/>
      <c r="D1733" s="79"/>
      <c r="E1733" s="80"/>
      <c r="F1733" s="81"/>
      <c r="G1733" s="79"/>
      <c r="H1733" s="79"/>
      <c r="I1733" s="79"/>
      <c r="J1733" s="79"/>
      <c r="K1733" s="79"/>
      <c r="L1733" s="79"/>
      <c r="M1733" s="79"/>
      <c r="N1733" s="50"/>
      <c r="O1733" s="82"/>
      <c r="P1733" s="70"/>
      <c r="Q1733" s="70"/>
      <c r="R1733" s="70"/>
      <c r="S1733" s="70"/>
    </row>
    <row r="1734" ht="15.75" customHeight="1">
      <c r="B1734" s="78"/>
      <c r="C1734" s="79"/>
      <c r="D1734" s="79"/>
      <c r="E1734" s="80"/>
      <c r="F1734" s="81"/>
      <c r="G1734" s="79"/>
      <c r="H1734" s="79"/>
      <c r="I1734" s="79"/>
      <c r="J1734" s="79"/>
      <c r="K1734" s="79"/>
      <c r="L1734" s="79"/>
      <c r="M1734" s="79"/>
      <c r="N1734" s="50"/>
      <c r="O1734" s="82"/>
      <c r="P1734" s="70"/>
      <c r="Q1734" s="70"/>
      <c r="R1734" s="70"/>
      <c r="S1734" s="70"/>
    </row>
    <row r="1735" ht="15.75" customHeight="1">
      <c r="B1735" s="78"/>
      <c r="C1735" s="79"/>
      <c r="D1735" s="79"/>
      <c r="E1735" s="80"/>
      <c r="F1735" s="81"/>
      <c r="G1735" s="79"/>
      <c r="H1735" s="79"/>
      <c r="I1735" s="79"/>
      <c r="J1735" s="79"/>
      <c r="K1735" s="79"/>
      <c r="L1735" s="79"/>
      <c r="M1735" s="79"/>
      <c r="N1735" s="50"/>
      <c r="O1735" s="82"/>
      <c r="P1735" s="70"/>
      <c r="Q1735" s="70"/>
      <c r="R1735" s="70"/>
      <c r="S1735" s="70"/>
    </row>
    <row r="1736" ht="15.75" customHeight="1">
      <c r="B1736" s="78"/>
      <c r="C1736" s="79"/>
      <c r="D1736" s="79"/>
      <c r="E1736" s="80"/>
      <c r="F1736" s="81"/>
      <c r="G1736" s="79"/>
      <c r="H1736" s="79"/>
      <c r="I1736" s="79"/>
      <c r="J1736" s="79"/>
      <c r="K1736" s="79"/>
      <c r="L1736" s="79"/>
      <c r="M1736" s="79"/>
      <c r="N1736" s="50"/>
      <c r="O1736" s="82"/>
      <c r="P1736" s="70"/>
      <c r="Q1736" s="70"/>
      <c r="R1736" s="70"/>
      <c r="S1736" s="70"/>
    </row>
    <row r="1737" ht="15.75" customHeight="1">
      <c r="B1737" s="78"/>
      <c r="C1737" s="79"/>
      <c r="D1737" s="79"/>
      <c r="E1737" s="80"/>
      <c r="F1737" s="81"/>
      <c r="G1737" s="79"/>
      <c r="H1737" s="79"/>
      <c r="I1737" s="79"/>
      <c r="J1737" s="79"/>
      <c r="K1737" s="79"/>
      <c r="L1737" s="79"/>
      <c r="M1737" s="79"/>
      <c r="N1737" s="50"/>
      <c r="O1737" s="82"/>
      <c r="P1737" s="70"/>
      <c r="Q1737" s="70"/>
      <c r="R1737" s="70"/>
      <c r="S1737" s="70"/>
    </row>
    <row r="1738" ht="15.75" customHeight="1">
      <c r="B1738" s="78"/>
      <c r="C1738" s="79"/>
      <c r="D1738" s="79"/>
      <c r="E1738" s="80"/>
      <c r="F1738" s="81"/>
      <c r="G1738" s="79"/>
      <c r="H1738" s="79"/>
      <c r="I1738" s="79"/>
      <c r="J1738" s="79"/>
      <c r="K1738" s="79"/>
      <c r="L1738" s="79"/>
      <c r="M1738" s="79"/>
      <c r="N1738" s="50"/>
      <c r="O1738" s="82"/>
      <c r="P1738" s="70"/>
      <c r="Q1738" s="70"/>
      <c r="R1738" s="70"/>
      <c r="S1738" s="70"/>
    </row>
    <row r="1739" ht="15.75" customHeight="1">
      <c r="B1739" s="78"/>
      <c r="C1739" s="79"/>
      <c r="D1739" s="79"/>
      <c r="E1739" s="80"/>
      <c r="F1739" s="81"/>
      <c r="G1739" s="79"/>
      <c r="H1739" s="79"/>
      <c r="I1739" s="79"/>
      <c r="J1739" s="79"/>
      <c r="K1739" s="79"/>
      <c r="L1739" s="79"/>
      <c r="M1739" s="79"/>
      <c r="N1739" s="50"/>
      <c r="O1739" s="82"/>
      <c r="P1739" s="70"/>
      <c r="Q1739" s="70"/>
      <c r="R1739" s="70"/>
      <c r="S1739" s="70"/>
    </row>
    <row r="1740" ht="15.75" customHeight="1">
      <c r="B1740" s="78"/>
      <c r="C1740" s="79"/>
      <c r="D1740" s="79"/>
      <c r="E1740" s="80"/>
      <c r="F1740" s="81"/>
      <c r="G1740" s="79"/>
      <c r="H1740" s="79"/>
      <c r="I1740" s="79"/>
      <c r="J1740" s="79"/>
      <c r="K1740" s="79"/>
      <c r="L1740" s="79"/>
      <c r="M1740" s="79"/>
      <c r="N1740" s="50"/>
      <c r="O1740" s="82"/>
      <c r="P1740" s="70"/>
      <c r="Q1740" s="70"/>
      <c r="R1740" s="70"/>
      <c r="S1740" s="70"/>
    </row>
    <row r="1741" ht="15.75" customHeight="1">
      <c r="B1741" s="78"/>
      <c r="C1741" s="79"/>
      <c r="D1741" s="79"/>
      <c r="E1741" s="80"/>
      <c r="F1741" s="81"/>
      <c r="G1741" s="79"/>
      <c r="H1741" s="79"/>
      <c r="I1741" s="79"/>
      <c r="J1741" s="79"/>
      <c r="K1741" s="79"/>
      <c r="L1741" s="79"/>
      <c r="M1741" s="79"/>
      <c r="N1741" s="50"/>
      <c r="O1741" s="82"/>
      <c r="P1741" s="70"/>
      <c r="Q1741" s="70"/>
      <c r="R1741" s="70"/>
      <c r="S1741" s="70"/>
    </row>
    <row r="1742" ht="15.75" customHeight="1">
      <c r="B1742" s="78"/>
      <c r="C1742" s="79"/>
      <c r="D1742" s="79"/>
      <c r="E1742" s="80"/>
      <c r="F1742" s="81"/>
      <c r="G1742" s="79"/>
      <c r="H1742" s="79"/>
      <c r="I1742" s="79"/>
      <c r="J1742" s="79"/>
      <c r="K1742" s="79"/>
      <c r="L1742" s="79"/>
      <c r="M1742" s="79"/>
      <c r="N1742" s="50"/>
      <c r="O1742" s="82"/>
      <c r="P1742" s="70"/>
      <c r="Q1742" s="70"/>
      <c r="R1742" s="70"/>
      <c r="S1742" s="70"/>
    </row>
    <row r="1743" ht="15.75" customHeight="1">
      <c r="B1743" s="78"/>
      <c r="C1743" s="79"/>
      <c r="D1743" s="79"/>
      <c r="E1743" s="80"/>
      <c r="F1743" s="81"/>
      <c r="G1743" s="79"/>
      <c r="H1743" s="79"/>
      <c r="I1743" s="79"/>
      <c r="J1743" s="79"/>
      <c r="K1743" s="79"/>
      <c r="L1743" s="79"/>
      <c r="M1743" s="79"/>
      <c r="N1743" s="50"/>
      <c r="O1743" s="82"/>
      <c r="P1743" s="70"/>
      <c r="Q1743" s="70"/>
      <c r="R1743" s="70"/>
      <c r="S1743" s="70"/>
    </row>
    <row r="1744" ht="15.75" customHeight="1">
      <c r="B1744" s="78"/>
      <c r="C1744" s="79"/>
      <c r="D1744" s="79"/>
      <c r="E1744" s="80"/>
      <c r="F1744" s="81"/>
      <c r="G1744" s="79"/>
      <c r="H1744" s="79"/>
      <c r="I1744" s="79"/>
      <c r="J1744" s="79"/>
      <c r="K1744" s="79"/>
      <c r="L1744" s="79"/>
      <c r="M1744" s="79"/>
      <c r="N1744" s="50"/>
      <c r="O1744" s="82"/>
      <c r="P1744" s="70"/>
      <c r="Q1744" s="70"/>
      <c r="R1744" s="70"/>
      <c r="S1744" s="70"/>
    </row>
    <row r="1745" ht="15.75" customHeight="1">
      <c r="B1745" s="78"/>
      <c r="C1745" s="79"/>
      <c r="D1745" s="79"/>
      <c r="E1745" s="80"/>
      <c r="F1745" s="81"/>
      <c r="G1745" s="79"/>
      <c r="H1745" s="79"/>
      <c r="I1745" s="79"/>
      <c r="J1745" s="79"/>
      <c r="K1745" s="79"/>
      <c r="L1745" s="79"/>
      <c r="M1745" s="79"/>
      <c r="N1745" s="50"/>
      <c r="O1745" s="82"/>
      <c r="P1745" s="70"/>
      <c r="Q1745" s="70"/>
      <c r="R1745" s="70"/>
      <c r="S1745" s="70"/>
    </row>
    <row r="1746" ht="15.75" customHeight="1">
      <c r="B1746" s="78"/>
      <c r="C1746" s="79"/>
      <c r="D1746" s="79"/>
      <c r="E1746" s="80"/>
      <c r="F1746" s="81"/>
      <c r="G1746" s="79"/>
      <c r="H1746" s="79"/>
      <c r="I1746" s="79"/>
      <c r="J1746" s="79"/>
      <c r="K1746" s="79"/>
      <c r="L1746" s="79"/>
      <c r="M1746" s="79"/>
      <c r="N1746" s="50"/>
      <c r="O1746" s="82"/>
      <c r="P1746" s="70"/>
      <c r="Q1746" s="70"/>
      <c r="R1746" s="70"/>
      <c r="S1746" s="70"/>
    </row>
    <row r="1747" ht="15.75" customHeight="1">
      <c r="B1747" s="78"/>
      <c r="C1747" s="79"/>
      <c r="D1747" s="79"/>
      <c r="E1747" s="80"/>
      <c r="F1747" s="81"/>
      <c r="G1747" s="79"/>
      <c r="H1747" s="79"/>
      <c r="I1747" s="79"/>
      <c r="J1747" s="79"/>
      <c r="K1747" s="79"/>
      <c r="L1747" s="79"/>
      <c r="M1747" s="79"/>
      <c r="N1747" s="50"/>
      <c r="O1747" s="82"/>
      <c r="P1747" s="70"/>
      <c r="Q1747" s="70"/>
      <c r="R1747" s="70"/>
      <c r="S1747" s="70"/>
    </row>
    <row r="1748" ht="15.75" customHeight="1">
      <c r="B1748" s="78"/>
      <c r="C1748" s="79"/>
      <c r="D1748" s="79"/>
      <c r="E1748" s="80"/>
      <c r="F1748" s="81"/>
      <c r="G1748" s="79"/>
      <c r="H1748" s="79"/>
      <c r="I1748" s="79"/>
      <c r="J1748" s="79"/>
      <c r="K1748" s="79"/>
      <c r="L1748" s="79"/>
      <c r="M1748" s="79"/>
      <c r="N1748" s="50"/>
      <c r="O1748" s="82"/>
      <c r="P1748" s="70"/>
      <c r="Q1748" s="70"/>
      <c r="R1748" s="70"/>
      <c r="S1748" s="70"/>
    </row>
    <row r="1749" ht="15.75" customHeight="1">
      <c r="B1749" s="78"/>
      <c r="C1749" s="79"/>
      <c r="D1749" s="79"/>
      <c r="E1749" s="80"/>
      <c r="F1749" s="81"/>
      <c r="G1749" s="79"/>
      <c r="H1749" s="79"/>
      <c r="I1749" s="79"/>
      <c r="J1749" s="79"/>
      <c r="K1749" s="79"/>
      <c r="L1749" s="79"/>
      <c r="M1749" s="79"/>
      <c r="N1749" s="50"/>
      <c r="O1749" s="82"/>
      <c r="P1749" s="70"/>
      <c r="Q1749" s="70"/>
      <c r="R1749" s="70"/>
      <c r="S1749" s="70"/>
    </row>
    <row r="1750" ht="15.75" customHeight="1">
      <c r="B1750" s="78"/>
      <c r="C1750" s="79"/>
      <c r="D1750" s="79"/>
      <c r="E1750" s="80"/>
      <c r="F1750" s="81"/>
      <c r="G1750" s="79"/>
      <c r="H1750" s="79"/>
      <c r="I1750" s="79"/>
      <c r="J1750" s="79"/>
      <c r="K1750" s="79"/>
      <c r="L1750" s="79"/>
      <c r="M1750" s="79"/>
      <c r="N1750" s="50"/>
      <c r="O1750" s="82"/>
      <c r="P1750" s="70"/>
      <c r="Q1750" s="70"/>
      <c r="R1750" s="70"/>
      <c r="S1750" s="70"/>
    </row>
    <row r="1751" ht="15.75" customHeight="1">
      <c r="B1751" s="78"/>
      <c r="C1751" s="79"/>
      <c r="D1751" s="79"/>
      <c r="E1751" s="80"/>
      <c r="F1751" s="81"/>
      <c r="G1751" s="79"/>
      <c r="H1751" s="79"/>
      <c r="I1751" s="79"/>
      <c r="J1751" s="79"/>
      <c r="K1751" s="79"/>
      <c r="L1751" s="79"/>
      <c r="M1751" s="79"/>
      <c r="N1751" s="50"/>
      <c r="O1751" s="82"/>
      <c r="P1751" s="70"/>
      <c r="Q1751" s="70"/>
      <c r="R1751" s="70"/>
      <c r="S1751" s="70"/>
    </row>
    <row r="1752" ht="15.75" customHeight="1">
      <c r="B1752" s="78"/>
      <c r="C1752" s="79"/>
      <c r="D1752" s="79"/>
      <c r="E1752" s="80"/>
      <c r="F1752" s="81"/>
      <c r="G1752" s="79"/>
      <c r="H1752" s="79"/>
      <c r="I1752" s="79"/>
      <c r="J1752" s="79"/>
      <c r="K1752" s="79"/>
      <c r="L1752" s="79"/>
      <c r="M1752" s="79"/>
      <c r="N1752" s="50"/>
      <c r="O1752" s="82"/>
      <c r="P1752" s="70"/>
      <c r="Q1752" s="70"/>
      <c r="R1752" s="70"/>
      <c r="S1752" s="70"/>
    </row>
    <row r="1753" ht="15.75" customHeight="1">
      <c r="B1753" s="78"/>
      <c r="C1753" s="79"/>
      <c r="D1753" s="79"/>
      <c r="E1753" s="80"/>
      <c r="F1753" s="81"/>
      <c r="G1753" s="79"/>
      <c r="H1753" s="79"/>
      <c r="I1753" s="79"/>
      <c r="J1753" s="79"/>
      <c r="K1753" s="79"/>
      <c r="L1753" s="79"/>
      <c r="M1753" s="79"/>
      <c r="N1753" s="50"/>
      <c r="O1753" s="82"/>
      <c r="P1753" s="70"/>
      <c r="Q1753" s="70"/>
      <c r="R1753" s="70"/>
      <c r="S1753" s="70"/>
    </row>
    <row r="1754" ht="15.75" customHeight="1">
      <c r="B1754" s="78"/>
      <c r="C1754" s="79"/>
      <c r="D1754" s="79"/>
      <c r="E1754" s="80"/>
      <c r="F1754" s="81"/>
      <c r="G1754" s="79"/>
      <c r="H1754" s="79"/>
      <c r="I1754" s="79"/>
      <c r="J1754" s="79"/>
      <c r="K1754" s="79"/>
      <c r="L1754" s="79"/>
      <c r="M1754" s="79"/>
      <c r="N1754" s="50"/>
      <c r="O1754" s="82"/>
      <c r="P1754" s="70"/>
      <c r="Q1754" s="70"/>
      <c r="R1754" s="70"/>
      <c r="S1754" s="70"/>
    </row>
    <row r="1755" ht="15.75" customHeight="1">
      <c r="B1755" s="78"/>
      <c r="C1755" s="79"/>
      <c r="D1755" s="79"/>
      <c r="E1755" s="80"/>
      <c r="F1755" s="81"/>
      <c r="G1755" s="79"/>
      <c r="H1755" s="79"/>
      <c r="I1755" s="79"/>
      <c r="J1755" s="79"/>
      <c r="K1755" s="79"/>
      <c r="L1755" s="79"/>
      <c r="M1755" s="79"/>
      <c r="N1755" s="50"/>
      <c r="O1755" s="82"/>
      <c r="P1755" s="70"/>
      <c r="Q1755" s="70"/>
      <c r="R1755" s="70"/>
      <c r="S1755" s="70"/>
    </row>
    <row r="1756" ht="15.75" customHeight="1">
      <c r="B1756" s="78"/>
      <c r="C1756" s="79"/>
      <c r="D1756" s="79"/>
      <c r="E1756" s="80"/>
      <c r="F1756" s="81"/>
      <c r="G1756" s="79"/>
      <c r="H1756" s="79"/>
      <c r="I1756" s="79"/>
      <c r="J1756" s="79"/>
      <c r="K1756" s="79"/>
      <c r="L1756" s="79"/>
      <c r="M1756" s="79"/>
      <c r="N1756" s="50"/>
      <c r="O1756" s="82"/>
      <c r="P1756" s="70"/>
      <c r="Q1756" s="70"/>
      <c r="R1756" s="70"/>
      <c r="S1756" s="70"/>
    </row>
    <row r="1757" ht="15.75" customHeight="1">
      <c r="B1757" s="78"/>
      <c r="C1757" s="79"/>
      <c r="D1757" s="79"/>
      <c r="E1757" s="80"/>
      <c r="F1757" s="81"/>
      <c r="G1757" s="79"/>
      <c r="H1757" s="79"/>
      <c r="I1757" s="79"/>
      <c r="J1757" s="79"/>
      <c r="K1757" s="79"/>
      <c r="L1757" s="79"/>
      <c r="M1757" s="79"/>
      <c r="N1757" s="50"/>
      <c r="O1757" s="82"/>
      <c r="P1757" s="70"/>
      <c r="Q1757" s="70"/>
      <c r="R1757" s="70"/>
      <c r="S1757" s="70"/>
    </row>
    <row r="1758" ht="15.75" customHeight="1">
      <c r="B1758" s="78"/>
      <c r="C1758" s="79"/>
      <c r="D1758" s="79"/>
      <c r="E1758" s="80"/>
      <c r="F1758" s="81"/>
      <c r="G1758" s="79"/>
      <c r="H1758" s="79"/>
      <c r="I1758" s="79"/>
      <c r="J1758" s="79"/>
      <c r="K1758" s="79"/>
      <c r="L1758" s="79"/>
      <c r="M1758" s="79"/>
      <c r="N1758" s="50"/>
      <c r="O1758" s="82"/>
      <c r="P1758" s="70"/>
      <c r="Q1758" s="70"/>
      <c r="R1758" s="70"/>
      <c r="S1758" s="70"/>
    </row>
    <row r="1759" ht="15.75" customHeight="1">
      <c r="B1759" s="78"/>
      <c r="C1759" s="79"/>
      <c r="D1759" s="79"/>
      <c r="E1759" s="80"/>
      <c r="F1759" s="81"/>
      <c r="G1759" s="79"/>
      <c r="H1759" s="79"/>
      <c r="I1759" s="79"/>
      <c r="J1759" s="79"/>
      <c r="K1759" s="79"/>
      <c r="L1759" s="79"/>
      <c r="M1759" s="79"/>
      <c r="N1759" s="50"/>
      <c r="O1759" s="82"/>
      <c r="P1759" s="70"/>
      <c r="Q1759" s="70"/>
      <c r="R1759" s="70"/>
      <c r="S1759" s="70"/>
    </row>
    <row r="1760" ht="15.75" customHeight="1">
      <c r="B1760" s="78"/>
      <c r="C1760" s="79"/>
      <c r="D1760" s="79"/>
      <c r="E1760" s="80"/>
      <c r="F1760" s="81"/>
      <c r="G1760" s="79"/>
      <c r="H1760" s="79"/>
      <c r="I1760" s="79"/>
      <c r="J1760" s="79"/>
      <c r="K1760" s="79"/>
      <c r="L1760" s="79"/>
      <c r="M1760" s="79"/>
      <c r="N1760" s="50"/>
      <c r="O1760" s="82"/>
      <c r="P1760" s="70"/>
      <c r="Q1760" s="70"/>
      <c r="R1760" s="70"/>
      <c r="S1760" s="70"/>
    </row>
    <row r="1761" ht="15.75" customHeight="1">
      <c r="B1761" s="78"/>
      <c r="C1761" s="79"/>
      <c r="D1761" s="79"/>
      <c r="E1761" s="80"/>
      <c r="F1761" s="81"/>
      <c r="G1761" s="79"/>
      <c r="H1761" s="79"/>
      <c r="I1761" s="79"/>
      <c r="J1761" s="79"/>
      <c r="K1761" s="79"/>
      <c r="L1761" s="79"/>
      <c r="M1761" s="79"/>
      <c r="N1761" s="50"/>
      <c r="O1761" s="82"/>
      <c r="P1761" s="70"/>
      <c r="Q1761" s="70"/>
      <c r="R1761" s="70"/>
      <c r="S1761" s="70"/>
    </row>
    <row r="1762" ht="15.75" customHeight="1">
      <c r="B1762" s="78"/>
      <c r="C1762" s="79"/>
      <c r="D1762" s="79"/>
      <c r="E1762" s="80"/>
      <c r="F1762" s="81"/>
      <c r="G1762" s="79"/>
      <c r="H1762" s="79"/>
      <c r="I1762" s="79"/>
      <c r="J1762" s="79"/>
      <c r="K1762" s="79"/>
      <c r="L1762" s="79"/>
      <c r="M1762" s="79"/>
      <c r="N1762" s="50"/>
      <c r="O1762" s="82"/>
      <c r="P1762" s="70"/>
      <c r="Q1762" s="70"/>
      <c r="R1762" s="70"/>
      <c r="S1762" s="70"/>
    </row>
    <row r="1763" ht="15.75" customHeight="1">
      <c r="B1763" s="78"/>
      <c r="C1763" s="79"/>
      <c r="D1763" s="79"/>
      <c r="E1763" s="80"/>
      <c r="F1763" s="81"/>
      <c r="G1763" s="79"/>
      <c r="H1763" s="79"/>
      <c r="I1763" s="79"/>
      <c r="J1763" s="79"/>
      <c r="K1763" s="79"/>
      <c r="L1763" s="79"/>
      <c r="M1763" s="79"/>
      <c r="N1763" s="50"/>
      <c r="O1763" s="82"/>
      <c r="P1763" s="70"/>
      <c r="Q1763" s="70"/>
      <c r="R1763" s="70"/>
      <c r="S1763" s="70"/>
    </row>
    <row r="1764" ht="15.75" customHeight="1">
      <c r="B1764" s="78"/>
      <c r="C1764" s="79"/>
      <c r="D1764" s="79"/>
      <c r="E1764" s="80"/>
      <c r="F1764" s="81"/>
      <c r="G1764" s="79"/>
      <c r="H1764" s="79"/>
      <c r="I1764" s="79"/>
      <c r="J1764" s="79"/>
      <c r="K1764" s="79"/>
      <c r="L1764" s="79"/>
      <c r="M1764" s="79"/>
      <c r="N1764" s="50"/>
      <c r="O1764" s="82"/>
      <c r="P1764" s="70"/>
      <c r="Q1764" s="70"/>
      <c r="R1764" s="70"/>
      <c r="S1764" s="70"/>
    </row>
    <row r="1765" ht="15.75" customHeight="1">
      <c r="B1765" s="78"/>
      <c r="C1765" s="79"/>
      <c r="D1765" s="79"/>
      <c r="E1765" s="80"/>
      <c r="F1765" s="81"/>
      <c r="G1765" s="79"/>
      <c r="H1765" s="79"/>
      <c r="I1765" s="79"/>
      <c r="J1765" s="79"/>
      <c r="K1765" s="79"/>
      <c r="L1765" s="79"/>
      <c r="M1765" s="79"/>
      <c r="N1765" s="50"/>
      <c r="O1765" s="82"/>
      <c r="P1765" s="70"/>
      <c r="Q1765" s="70"/>
      <c r="R1765" s="70"/>
      <c r="S1765" s="70"/>
    </row>
    <row r="1766" ht="15.75" customHeight="1">
      <c r="B1766" s="78"/>
      <c r="C1766" s="79"/>
      <c r="D1766" s="79"/>
      <c r="E1766" s="80"/>
      <c r="F1766" s="81"/>
      <c r="G1766" s="79"/>
      <c r="H1766" s="79"/>
      <c r="I1766" s="79"/>
      <c r="J1766" s="79"/>
      <c r="K1766" s="79"/>
      <c r="L1766" s="79"/>
      <c r="M1766" s="79"/>
      <c r="N1766" s="50"/>
      <c r="O1766" s="82"/>
      <c r="P1766" s="70"/>
      <c r="Q1766" s="70"/>
      <c r="R1766" s="70"/>
      <c r="S1766" s="70"/>
    </row>
    <row r="1767" ht="15.75" customHeight="1">
      <c r="B1767" s="78"/>
      <c r="C1767" s="79"/>
      <c r="D1767" s="79"/>
      <c r="E1767" s="80"/>
      <c r="F1767" s="81"/>
      <c r="G1767" s="79"/>
      <c r="H1767" s="79"/>
      <c r="I1767" s="79"/>
      <c r="J1767" s="79"/>
      <c r="K1767" s="79"/>
      <c r="L1767" s="79"/>
      <c r="M1767" s="79"/>
      <c r="N1767" s="50"/>
      <c r="O1767" s="82"/>
      <c r="P1767" s="70"/>
      <c r="Q1767" s="70"/>
      <c r="R1767" s="70"/>
      <c r="S1767" s="70"/>
    </row>
  </sheetData>
  <autoFilter ref="$A$7:$Y$772">
    <filterColumn colId="11">
      <filters>
        <filter val="SANTANA"/>
      </filters>
    </filterColumn>
  </autoFilter>
  <customSheetViews>
    <customSheetView guid="{011D09D9-BA89-4D0B-9506-D9DA30850F67}" filter="1" showAutoFilter="1">
      <autoFilter ref="$B$1:$M$772"/>
    </customSheetView>
    <customSheetView guid="{7E4CFD78-2102-4BA5-A46A-C320C22C865B}" filter="1" showAutoFilter="1">
      <autoFilter ref="$A$7:$Y$772"/>
    </customSheetView>
  </customSheetViews>
  <mergeCells count="3">
    <mergeCell ref="B1:F1"/>
    <mergeCell ref="C2:F2"/>
    <mergeCell ref="C3:F3"/>
  </mergeCells>
  <hyperlinks>
    <hyperlink r:id="rId4" ref="C3"/>
  </hyperlinks>
  <printOptions/>
  <pageMargins bottom="0.787401575" footer="0.0" header="0.0" left="0.511811024" right="0.511811024" top="0.787401575"/>
  <pageSetup orientation="landscape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0.43"/>
    <col customWidth="1" min="2" max="2" width="18.86"/>
    <col customWidth="1" min="3" max="3" width="14.86"/>
    <col customWidth="1" min="4" max="4" width="8.86"/>
    <col customWidth="1" min="5" max="5" width="18.43"/>
    <col customWidth="1" min="6" max="6" width="15.43"/>
    <col customWidth="1" min="7" max="7" width="50.86"/>
    <col customWidth="1" min="8" max="8" width="16.0"/>
    <col customWidth="1" min="9" max="9" width="14.14"/>
    <col customWidth="1" min="10" max="10" width="20.14"/>
    <col customWidth="1" min="11" max="11" width="13.29"/>
    <col customWidth="1" min="12" max="12" width="21.43"/>
    <col customWidth="1" min="13" max="13" width="16.14"/>
    <col customWidth="1" min="14" max="14" width="21.86"/>
    <col customWidth="1" min="15" max="15" width="14.29"/>
    <col customWidth="1" min="16" max="17" width="22.29"/>
    <col customWidth="1" min="18" max="20" width="15.29"/>
    <col customWidth="1" min="21" max="26" width="8.71"/>
  </cols>
  <sheetData>
    <row r="1" ht="63.75" customHeight="1">
      <c r="B1" s="2" t="s">
        <v>1</v>
      </c>
      <c r="C1" s="3"/>
      <c r="D1" s="3"/>
      <c r="E1" s="3"/>
      <c r="F1" s="3"/>
      <c r="G1" s="4"/>
      <c r="N1" s="6"/>
      <c r="Q1" s="7"/>
    </row>
    <row r="2" ht="39.0" customHeight="1">
      <c r="B2" s="8" t="s">
        <v>2</v>
      </c>
      <c r="C2" s="9" t="s">
        <v>3</v>
      </c>
      <c r="D2" s="10"/>
      <c r="E2" s="10"/>
      <c r="F2" s="11"/>
      <c r="N2" s="6"/>
      <c r="Q2" s="7"/>
    </row>
    <row r="3" ht="32.25" customHeight="1">
      <c r="B3" s="13" t="s">
        <v>4</v>
      </c>
      <c r="C3" s="15" t="s">
        <v>5</v>
      </c>
      <c r="D3" s="16"/>
      <c r="E3" s="16"/>
      <c r="F3" s="17"/>
      <c r="N3" s="6"/>
      <c r="Q3" s="7"/>
    </row>
    <row r="4">
      <c r="B4" s="7"/>
      <c r="E4" s="18"/>
      <c r="F4" s="12"/>
      <c r="N4" s="6"/>
      <c r="Q4" s="7"/>
    </row>
    <row r="5">
      <c r="B5" s="19">
        <f>TODAY()</f>
        <v>46294</v>
      </c>
      <c r="E5" s="18"/>
      <c r="F5" s="12"/>
      <c r="N5" s="6"/>
      <c r="Q5" s="7"/>
    </row>
    <row r="6" ht="12.0" customHeight="1">
      <c r="B6" s="7"/>
      <c r="E6" s="18"/>
      <c r="F6" s="12"/>
      <c r="N6" s="6"/>
      <c r="Q6" s="7"/>
    </row>
    <row r="7" ht="13.5" customHeight="1">
      <c r="B7" s="20" t="s">
        <v>8</v>
      </c>
      <c r="C7" s="21" t="s">
        <v>9</v>
      </c>
      <c r="D7" s="21" t="s">
        <v>10</v>
      </c>
      <c r="E7" s="22" t="s">
        <v>11</v>
      </c>
      <c r="F7" s="23" t="s">
        <v>13</v>
      </c>
      <c r="G7" s="26" t="s">
        <v>15</v>
      </c>
      <c r="H7" s="25" t="s">
        <v>16</v>
      </c>
      <c r="I7" s="28" t="s">
        <v>17</v>
      </c>
      <c r="J7" s="28" t="s">
        <v>18</v>
      </c>
      <c r="K7" s="29" t="s">
        <v>19</v>
      </c>
      <c r="L7" s="25" t="s">
        <v>21</v>
      </c>
      <c r="M7" s="28" t="s">
        <v>22</v>
      </c>
      <c r="N7" s="30" t="s">
        <v>23</v>
      </c>
      <c r="O7" s="31" t="s">
        <v>25</v>
      </c>
      <c r="P7" s="24" t="s">
        <v>24</v>
      </c>
      <c r="Q7" s="21" t="s">
        <v>28</v>
      </c>
      <c r="R7" s="32" t="s">
        <v>26</v>
      </c>
      <c r="S7" s="24" t="s">
        <v>27</v>
      </c>
      <c r="T7" s="24" t="s">
        <v>27</v>
      </c>
    </row>
    <row r="8" ht="15.75" customHeight="1">
      <c r="B8" s="33">
        <v>46120.0</v>
      </c>
      <c r="C8" s="35">
        <v>134594.0</v>
      </c>
      <c r="D8" s="35">
        <v>30.0</v>
      </c>
      <c r="E8" s="37">
        <v>433.14</v>
      </c>
      <c r="F8" s="38">
        <f t="shared" ref="F8:F482" si="1">E8*D8</f>
        <v>12994.2</v>
      </c>
      <c r="G8" s="35" t="s">
        <v>33</v>
      </c>
      <c r="H8" s="35" t="s">
        <v>36</v>
      </c>
      <c r="I8" s="35" t="s">
        <v>39</v>
      </c>
      <c r="J8" s="35" t="s">
        <v>40</v>
      </c>
      <c r="K8" s="35" t="s">
        <v>35</v>
      </c>
      <c r="L8" s="35" t="s">
        <v>42</v>
      </c>
      <c r="M8" s="39">
        <v>1.0</v>
      </c>
      <c r="N8" s="41">
        <v>46122.0</v>
      </c>
      <c r="O8" s="42" t="b">
        <v>1</v>
      </c>
      <c r="P8" s="44">
        <v>46183.0</v>
      </c>
      <c r="Q8" s="34"/>
      <c r="R8" s="34"/>
      <c r="S8" s="34"/>
      <c r="T8" s="34"/>
    </row>
    <row r="9" ht="15.75" customHeight="1">
      <c r="B9" s="33">
        <v>46120.0</v>
      </c>
      <c r="C9" s="35">
        <v>134594.0</v>
      </c>
      <c r="D9" s="35">
        <v>4.0</v>
      </c>
      <c r="E9" s="37">
        <v>513.28</v>
      </c>
      <c r="F9" s="38">
        <f t="shared" si="1"/>
        <v>2053.12</v>
      </c>
      <c r="G9" s="35" t="s">
        <v>53</v>
      </c>
      <c r="H9" s="35" t="s">
        <v>54</v>
      </c>
      <c r="I9" s="35" t="s">
        <v>39</v>
      </c>
      <c r="J9" s="35" t="s">
        <v>40</v>
      </c>
      <c r="K9" s="35" t="s">
        <v>35</v>
      </c>
      <c r="L9" s="35" t="s">
        <v>42</v>
      </c>
      <c r="M9" s="39">
        <v>1.0</v>
      </c>
      <c r="N9" s="41">
        <v>46122.0</v>
      </c>
      <c r="O9" s="42" t="b">
        <v>1</v>
      </c>
      <c r="P9" s="44">
        <v>46183.0</v>
      </c>
      <c r="Q9" s="34"/>
      <c r="R9" s="34"/>
      <c r="S9" s="34"/>
      <c r="T9" s="34"/>
    </row>
    <row r="10" ht="15.75" customHeight="1">
      <c r="B10" s="33">
        <v>46146.0</v>
      </c>
      <c r="C10" s="35" t="s">
        <v>35</v>
      </c>
      <c r="D10" s="35">
        <v>500.0</v>
      </c>
      <c r="E10" s="37">
        <v>260.0</v>
      </c>
      <c r="F10" s="38">
        <f t="shared" si="1"/>
        <v>130000</v>
      </c>
      <c r="G10" s="35" t="s">
        <v>63</v>
      </c>
      <c r="H10" s="35" t="s">
        <v>64</v>
      </c>
      <c r="I10" s="35" t="s">
        <v>32</v>
      </c>
      <c r="J10" s="35" t="s">
        <v>40</v>
      </c>
      <c r="K10" s="35" t="s">
        <v>35</v>
      </c>
      <c r="L10" s="35" t="s">
        <v>67</v>
      </c>
      <c r="M10" s="39">
        <v>31.0</v>
      </c>
      <c r="N10" s="40">
        <v>46163.0</v>
      </c>
      <c r="O10" s="42" t="b">
        <v>1</v>
      </c>
      <c r="P10" s="44">
        <v>46168.0</v>
      </c>
      <c r="Q10" s="34"/>
      <c r="R10" s="34"/>
      <c r="S10" s="34"/>
      <c r="T10" s="35"/>
    </row>
    <row r="11" ht="15.75" customHeight="1">
      <c r="B11" s="33">
        <v>46146.0</v>
      </c>
      <c r="C11" s="35">
        <v>916373.0</v>
      </c>
      <c r="D11" s="35">
        <v>500.0</v>
      </c>
      <c r="E11" s="37">
        <v>135.0</v>
      </c>
      <c r="F11" s="38">
        <f t="shared" si="1"/>
        <v>67500</v>
      </c>
      <c r="G11" s="35" t="s">
        <v>72</v>
      </c>
      <c r="H11" s="35">
        <v>57944.0</v>
      </c>
      <c r="I11" s="35" t="s">
        <v>41</v>
      </c>
      <c r="J11" s="35" t="s">
        <v>40</v>
      </c>
      <c r="K11" s="35" t="s">
        <v>35</v>
      </c>
      <c r="L11" s="35" t="s">
        <v>74</v>
      </c>
      <c r="M11" s="39">
        <v>31.0</v>
      </c>
      <c r="N11" s="40">
        <v>46151.0</v>
      </c>
      <c r="O11" s="42" t="b">
        <v>1</v>
      </c>
      <c r="P11" s="44">
        <v>46148.0</v>
      </c>
      <c r="Q11" s="34"/>
      <c r="R11" s="34"/>
      <c r="S11" s="34"/>
      <c r="T11" s="34"/>
    </row>
    <row r="12" ht="15.75" customHeight="1">
      <c r="B12" s="33">
        <v>46146.0</v>
      </c>
      <c r="C12" s="35">
        <v>916373.0</v>
      </c>
      <c r="D12" s="35">
        <v>500.0</v>
      </c>
      <c r="E12" s="37">
        <v>135.0</v>
      </c>
      <c r="F12" s="38">
        <f t="shared" si="1"/>
        <v>67500</v>
      </c>
      <c r="G12" s="35" t="s">
        <v>78</v>
      </c>
      <c r="H12" s="35">
        <v>57966.0</v>
      </c>
      <c r="I12" s="35" t="s">
        <v>41</v>
      </c>
      <c r="J12" s="35" t="s">
        <v>40</v>
      </c>
      <c r="K12" s="35" t="s">
        <v>35</v>
      </c>
      <c r="L12" s="35" t="s">
        <v>74</v>
      </c>
      <c r="M12" s="39">
        <v>31.0</v>
      </c>
      <c r="N12" s="40">
        <v>46151.0</v>
      </c>
      <c r="O12" s="42" t="b">
        <v>1</v>
      </c>
      <c r="P12" s="44">
        <v>46148.0</v>
      </c>
      <c r="Q12" s="34"/>
      <c r="R12" s="34"/>
      <c r="S12" s="34"/>
      <c r="T12" s="34"/>
    </row>
    <row r="13" ht="15.75" customHeight="1">
      <c r="B13" s="33">
        <v>46146.0</v>
      </c>
      <c r="C13" s="46" t="s">
        <v>82</v>
      </c>
      <c r="D13" s="35">
        <v>100.0</v>
      </c>
      <c r="E13" s="37">
        <v>15.3</v>
      </c>
      <c r="F13" s="38">
        <f t="shared" si="1"/>
        <v>1530</v>
      </c>
      <c r="G13" s="35" t="s">
        <v>85</v>
      </c>
      <c r="H13" s="35" t="s">
        <v>86</v>
      </c>
      <c r="I13" s="35" t="s">
        <v>59</v>
      </c>
      <c r="J13" s="35" t="s">
        <v>34</v>
      </c>
      <c r="K13" s="35" t="s">
        <v>35</v>
      </c>
      <c r="L13" s="35" t="s">
        <v>87</v>
      </c>
      <c r="M13" s="39">
        <v>31.0</v>
      </c>
      <c r="N13" s="40">
        <v>46147.0</v>
      </c>
      <c r="O13" s="42" t="b">
        <v>1</v>
      </c>
      <c r="P13" s="44">
        <v>46146.0</v>
      </c>
      <c r="Q13" s="34"/>
      <c r="R13" s="34"/>
      <c r="S13" s="34"/>
      <c r="T13" s="34"/>
    </row>
    <row r="14" ht="15.75" customHeight="1">
      <c r="B14" s="33">
        <v>46146.0</v>
      </c>
      <c r="C14" s="46" t="s">
        <v>82</v>
      </c>
      <c r="D14" s="35">
        <v>100.0</v>
      </c>
      <c r="E14" s="37">
        <v>12.1</v>
      </c>
      <c r="F14" s="38">
        <f t="shared" si="1"/>
        <v>1210</v>
      </c>
      <c r="G14" s="35" t="s">
        <v>91</v>
      </c>
      <c r="H14" s="35" t="s">
        <v>93</v>
      </c>
      <c r="I14" s="35" t="s">
        <v>59</v>
      </c>
      <c r="J14" s="35" t="s">
        <v>34</v>
      </c>
      <c r="K14" s="35" t="s">
        <v>35</v>
      </c>
      <c r="L14" s="35" t="s">
        <v>87</v>
      </c>
      <c r="M14" s="39">
        <v>31.0</v>
      </c>
      <c r="N14" s="40">
        <v>46147.0</v>
      </c>
      <c r="O14" s="42" t="b">
        <v>1</v>
      </c>
      <c r="P14" s="44">
        <v>46146.0</v>
      </c>
      <c r="Q14" s="34"/>
      <c r="R14" s="34"/>
      <c r="S14" s="34"/>
      <c r="T14" s="34"/>
    </row>
    <row r="15" ht="15.75" customHeight="1">
      <c r="B15" s="33">
        <v>46146.0</v>
      </c>
      <c r="C15" s="46" t="s">
        <v>82</v>
      </c>
      <c r="D15" s="35">
        <v>20.0</v>
      </c>
      <c r="E15" s="37">
        <v>133.0</v>
      </c>
      <c r="F15" s="38">
        <f t="shared" si="1"/>
        <v>2660</v>
      </c>
      <c r="G15" s="35" t="s">
        <v>97</v>
      </c>
      <c r="H15" s="35" t="s">
        <v>98</v>
      </c>
      <c r="I15" s="35" t="s">
        <v>59</v>
      </c>
      <c r="J15" s="35" t="s">
        <v>34</v>
      </c>
      <c r="K15" s="35" t="s">
        <v>35</v>
      </c>
      <c r="L15" s="35" t="s">
        <v>87</v>
      </c>
      <c r="M15" s="39">
        <v>31.0</v>
      </c>
      <c r="N15" s="40">
        <v>46147.0</v>
      </c>
      <c r="O15" s="42" t="b">
        <v>1</v>
      </c>
      <c r="P15" s="44">
        <v>46146.0</v>
      </c>
      <c r="Q15" s="34"/>
      <c r="R15" s="34"/>
      <c r="S15" s="34"/>
      <c r="T15" s="34"/>
    </row>
    <row r="16" ht="15.75" customHeight="1">
      <c r="B16" s="33">
        <v>46146.0</v>
      </c>
      <c r="C16" s="46" t="s">
        <v>82</v>
      </c>
      <c r="D16" s="35">
        <v>100.0</v>
      </c>
      <c r="E16" s="37">
        <v>27.9</v>
      </c>
      <c r="F16" s="38">
        <f t="shared" si="1"/>
        <v>2790</v>
      </c>
      <c r="G16" s="35" t="s">
        <v>101</v>
      </c>
      <c r="H16" s="35" t="s">
        <v>102</v>
      </c>
      <c r="I16" s="35" t="s">
        <v>59</v>
      </c>
      <c r="J16" s="35" t="s">
        <v>34</v>
      </c>
      <c r="K16" s="35" t="s">
        <v>35</v>
      </c>
      <c r="L16" s="35" t="s">
        <v>87</v>
      </c>
      <c r="M16" s="39">
        <v>31.0</v>
      </c>
      <c r="N16" s="40">
        <v>46147.0</v>
      </c>
      <c r="O16" s="42" t="b">
        <v>1</v>
      </c>
      <c r="P16" s="44">
        <v>46146.0</v>
      </c>
      <c r="Q16" s="34"/>
      <c r="R16" s="34"/>
      <c r="S16" s="34"/>
      <c r="T16" s="34"/>
    </row>
    <row r="17" ht="15.75" customHeight="1">
      <c r="B17" s="33">
        <v>46146.0</v>
      </c>
      <c r="C17" s="46" t="s">
        <v>82</v>
      </c>
      <c r="D17" s="35">
        <v>30.0</v>
      </c>
      <c r="E17" s="37">
        <v>17.0</v>
      </c>
      <c r="F17" s="38">
        <f t="shared" si="1"/>
        <v>510</v>
      </c>
      <c r="G17" s="35" t="s">
        <v>107</v>
      </c>
      <c r="H17" s="35" t="s">
        <v>108</v>
      </c>
      <c r="I17" s="35" t="s">
        <v>59</v>
      </c>
      <c r="J17" s="35" t="s">
        <v>34</v>
      </c>
      <c r="K17" s="35" t="s">
        <v>35</v>
      </c>
      <c r="L17" s="35" t="s">
        <v>87</v>
      </c>
      <c r="M17" s="39">
        <v>31.0</v>
      </c>
      <c r="N17" s="40">
        <v>46147.0</v>
      </c>
      <c r="O17" s="42" t="b">
        <v>1</v>
      </c>
      <c r="P17" s="44">
        <v>46146.0</v>
      </c>
      <c r="Q17" s="34"/>
      <c r="R17" s="34"/>
      <c r="S17" s="34"/>
      <c r="T17" s="34"/>
    </row>
    <row r="18" ht="15.75" customHeight="1">
      <c r="B18" s="33">
        <v>46146.0</v>
      </c>
      <c r="C18" s="46" t="s">
        <v>82</v>
      </c>
      <c r="D18" s="35">
        <v>50.0</v>
      </c>
      <c r="E18" s="37">
        <v>76.5</v>
      </c>
      <c r="F18" s="38">
        <f t="shared" si="1"/>
        <v>3825</v>
      </c>
      <c r="G18" s="35" t="s">
        <v>115</v>
      </c>
      <c r="H18" s="35" t="s">
        <v>116</v>
      </c>
      <c r="I18" s="35" t="s">
        <v>59</v>
      </c>
      <c r="J18" s="35" t="s">
        <v>34</v>
      </c>
      <c r="K18" s="35" t="s">
        <v>35</v>
      </c>
      <c r="L18" s="35" t="s">
        <v>87</v>
      </c>
      <c r="M18" s="39">
        <v>31.0</v>
      </c>
      <c r="N18" s="40">
        <v>46147.0</v>
      </c>
      <c r="O18" s="42" t="b">
        <v>1</v>
      </c>
      <c r="P18" s="44">
        <v>46146.0</v>
      </c>
      <c r="Q18" s="34"/>
      <c r="R18" s="34"/>
      <c r="S18" s="34"/>
      <c r="T18" s="34"/>
    </row>
    <row r="19" ht="15.75" customHeight="1">
      <c r="B19" s="33">
        <v>46146.0</v>
      </c>
      <c r="C19" s="46" t="s">
        <v>82</v>
      </c>
      <c r="D19" s="35">
        <v>20.0</v>
      </c>
      <c r="E19" s="37">
        <v>47.5</v>
      </c>
      <c r="F19" s="38">
        <f t="shared" si="1"/>
        <v>950</v>
      </c>
      <c r="G19" s="35" t="s">
        <v>120</v>
      </c>
      <c r="H19" s="35" t="s">
        <v>122</v>
      </c>
      <c r="I19" s="35" t="s">
        <v>59</v>
      </c>
      <c r="J19" s="35" t="s">
        <v>34</v>
      </c>
      <c r="K19" s="35" t="s">
        <v>35</v>
      </c>
      <c r="L19" s="35" t="s">
        <v>87</v>
      </c>
      <c r="M19" s="39">
        <v>31.0</v>
      </c>
      <c r="N19" s="40">
        <v>46147.0</v>
      </c>
      <c r="O19" s="42" t="b">
        <v>1</v>
      </c>
      <c r="P19" s="44">
        <v>46146.0</v>
      </c>
      <c r="Q19" s="34"/>
      <c r="R19" s="34"/>
      <c r="S19" s="34"/>
      <c r="T19" s="34"/>
    </row>
    <row r="20" ht="15.75" customHeight="1">
      <c r="B20" s="33">
        <v>46146.0</v>
      </c>
      <c r="C20" s="35">
        <v>1023.0</v>
      </c>
      <c r="D20" s="35">
        <v>40.0</v>
      </c>
      <c r="E20" s="37">
        <v>115.0</v>
      </c>
      <c r="F20" s="38">
        <f t="shared" si="1"/>
        <v>4600</v>
      </c>
      <c r="G20" s="35" t="s">
        <v>127</v>
      </c>
      <c r="H20" s="35" t="s">
        <v>128</v>
      </c>
      <c r="I20" s="35" t="s">
        <v>59</v>
      </c>
      <c r="J20" s="35" t="s">
        <v>34</v>
      </c>
      <c r="K20" s="35" t="s">
        <v>35</v>
      </c>
      <c r="L20" s="35" t="s">
        <v>132</v>
      </c>
      <c r="M20" s="39">
        <v>31.0</v>
      </c>
      <c r="N20" s="40">
        <v>46146.0</v>
      </c>
      <c r="O20" s="42" t="b">
        <v>1</v>
      </c>
      <c r="P20" s="44">
        <v>46146.0</v>
      </c>
      <c r="Q20" s="34"/>
      <c r="R20" s="34"/>
      <c r="S20" s="34"/>
      <c r="T20" s="34"/>
    </row>
    <row r="21" ht="15.75" customHeight="1">
      <c r="B21" s="33">
        <v>46146.0</v>
      </c>
      <c r="C21" s="35">
        <v>1023.0</v>
      </c>
      <c r="D21" s="35">
        <v>10.0</v>
      </c>
      <c r="E21" s="37">
        <v>152.0</v>
      </c>
      <c r="F21" s="38">
        <f t="shared" si="1"/>
        <v>1520</v>
      </c>
      <c r="G21" s="35" t="s">
        <v>135</v>
      </c>
      <c r="H21" s="35" t="s">
        <v>137</v>
      </c>
      <c r="I21" s="35" t="s">
        <v>59</v>
      </c>
      <c r="J21" s="35" t="s">
        <v>34</v>
      </c>
      <c r="K21" s="35" t="s">
        <v>35</v>
      </c>
      <c r="L21" s="35" t="s">
        <v>132</v>
      </c>
      <c r="M21" s="39">
        <v>31.0</v>
      </c>
      <c r="N21" s="40">
        <v>46146.0</v>
      </c>
      <c r="O21" s="42" t="b">
        <v>1</v>
      </c>
      <c r="P21" s="44">
        <v>46146.0</v>
      </c>
      <c r="Q21" s="34"/>
      <c r="R21" s="34"/>
      <c r="S21" s="34"/>
      <c r="T21" s="34"/>
    </row>
    <row r="22" ht="15.75" customHeight="1">
      <c r="B22" s="33">
        <v>46146.0</v>
      </c>
      <c r="C22" s="46" t="s">
        <v>141</v>
      </c>
      <c r="D22" s="35">
        <v>200.0</v>
      </c>
      <c r="E22" s="37">
        <v>15.3</v>
      </c>
      <c r="F22" s="38">
        <f t="shared" si="1"/>
        <v>3060</v>
      </c>
      <c r="G22" s="35" t="s">
        <v>145</v>
      </c>
      <c r="H22" s="35" t="s">
        <v>147</v>
      </c>
      <c r="I22" s="35" t="s">
        <v>41</v>
      </c>
      <c r="J22" s="35" t="s">
        <v>40</v>
      </c>
      <c r="K22" s="35" t="s">
        <v>35</v>
      </c>
      <c r="L22" s="35" t="s">
        <v>87</v>
      </c>
      <c r="M22" s="39">
        <v>1.0</v>
      </c>
      <c r="N22" s="40">
        <v>46147.0</v>
      </c>
      <c r="O22" s="42" t="b">
        <v>1</v>
      </c>
      <c r="P22" s="44">
        <v>46157.0</v>
      </c>
      <c r="Q22" s="34"/>
      <c r="R22" s="34"/>
      <c r="S22" s="34"/>
      <c r="T22" s="35"/>
    </row>
    <row r="23" ht="15.75" customHeight="1">
      <c r="B23" s="33">
        <v>46146.0</v>
      </c>
      <c r="C23" s="46" t="s">
        <v>152</v>
      </c>
      <c r="D23" s="35">
        <v>25.0</v>
      </c>
      <c r="E23" s="37">
        <v>52.2</v>
      </c>
      <c r="F23" s="38">
        <f t="shared" si="1"/>
        <v>1305</v>
      </c>
      <c r="G23" s="35" t="s">
        <v>154</v>
      </c>
      <c r="H23" s="35" t="s">
        <v>156</v>
      </c>
      <c r="I23" s="35" t="s">
        <v>157</v>
      </c>
      <c r="J23" s="35" t="s">
        <v>34</v>
      </c>
      <c r="K23" s="35" t="s">
        <v>35</v>
      </c>
      <c r="L23" s="35" t="s">
        <v>62</v>
      </c>
      <c r="M23" s="39">
        <v>1.0</v>
      </c>
      <c r="N23" s="40">
        <v>46147.0</v>
      </c>
      <c r="O23" s="42" t="b">
        <v>1</v>
      </c>
      <c r="P23" s="44">
        <v>46150.0</v>
      </c>
      <c r="Q23" s="34"/>
      <c r="R23" s="34"/>
      <c r="S23" s="34"/>
      <c r="T23" s="34"/>
    </row>
    <row r="24" ht="15.75" customHeight="1">
      <c r="B24" s="33">
        <v>46146.0</v>
      </c>
      <c r="C24" s="46" t="s">
        <v>152</v>
      </c>
      <c r="D24" s="35">
        <v>30.0</v>
      </c>
      <c r="E24" s="37">
        <v>85.5</v>
      </c>
      <c r="F24" s="38">
        <f t="shared" si="1"/>
        <v>2565</v>
      </c>
      <c r="G24" s="35" t="s">
        <v>163</v>
      </c>
      <c r="H24" s="35" t="s">
        <v>164</v>
      </c>
      <c r="I24" s="35" t="s">
        <v>157</v>
      </c>
      <c r="J24" s="35" t="s">
        <v>34</v>
      </c>
      <c r="K24" s="35" t="s">
        <v>35</v>
      </c>
      <c r="L24" s="35" t="s">
        <v>46</v>
      </c>
      <c r="M24" s="39">
        <v>1.0</v>
      </c>
      <c r="N24" s="40">
        <v>46147.0</v>
      </c>
      <c r="O24" s="42" t="b">
        <v>1</v>
      </c>
      <c r="P24" s="44">
        <v>46150.0</v>
      </c>
      <c r="Q24" s="34"/>
      <c r="R24" s="34"/>
      <c r="S24" s="34"/>
      <c r="T24" s="34"/>
    </row>
    <row r="25" ht="15.75" customHeight="1">
      <c r="B25" s="33">
        <v>46146.0</v>
      </c>
      <c r="C25" s="35">
        <v>14722.0</v>
      </c>
      <c r="D25" s="35">
        <v>40.0</v>
      </c>
      <c r="E25" s="37">
        <v>379.9</v>
      </c>
      <c r="F25" s="38">
        <f t="shared" si="1"/>
        <v>15196</v>
      </c>
      <c r="G25" s="35" t="s">
        <v>170</v>
      </c>
      <c r="H25" s="35" t="s">
        <v>172</v>
      </c>
      <c r="I25" s="35" t="s">
        <v>174</v>
      </c>
      <c r="J25" s="35" t="s">
        <v>175</v>
      </c>
      <c r="K25" s="35" t="s">
        <v>35</v>
      </c>
      <c r="L25" s="35" t="s">
        <v>96</v>
      </c>
      <c r="M25" s="39">
        <v>31.0</v>
      </c>
      <c r="N25" s="40">
        <v>46147.0</v>
      </c>
      <c r="O25" s="42" t="b">
        <v>1</v>
      </c>
      <c r="P25" s="44">
        <v>46153.0</v>
      </c>
      <c r="Q25" s="34"/>
      <c r="R25" s="34"/>
      <c r="S25" s="34"/>
      <c r="T25" s="34"/>
    </row>
    <row r="26" ht="15.75" customHeight="1">
      <c r="B26" s="33">
        <v>46146.0</v>
      </c>
      <c r="C26" s="35">
        <v>14722.0</v>
      </c>
      <c r="D26" s="35">
        <v>40.0</v>
      </c>
      <c r="E26" s="37">
        <v>0.0</v>
      </c>
      <c r="F26" s="38">
        <f t="shared" si="1"/>
        <v>0</v>
      </c>
      <c r="G26" s="35" t="s">
        <v>180</v>
      </c>
      <c r="H26" s="35" t="s">
        <v>182</v>
      </c>
      <c r="I26" s="35" t="s">
        <v>174</v>
      </c>
      <c r="J26" s="35" t="s">
        <v>175</v>
      </c>
      <c r="K26" s="35" t="s">
        <v>35</v>
      </c>
      <c r="L26" s="35" t="s">
        <v>96</v>
      </c>
      <c r="M26" s="39">
        <v>31.0</v>
      </c>
      <c r="N26" s="40">
        <v>46147.0</v>
      </c>
      <c r="O26" s="42" t="b">
        <v>1</v>
      </c>
      <c r="P26" s="44">
        <v>46153.0</v>
      </c>
      <c r="Q26" s="34"/>
      <c r="R26" s="34"/>
      <c r="S26" s="34"/>
      <c r="T26" s="34"/>
    </row>
    <row r="27" ht="15.75" customHeight="1">
      <c r="B27" s="33">
        <v>46146.0</v>
      </c>
      <c r="C27" s="35">
        <v>14722.0</v>
      </c>
      <c r="D27" s="35">
        <v>9.0</v>
      </c>
      <c r="E27" s="37">
        <v>329.9</v>
      </c>
      <c r="F27" s="38">
        <f t="shared" si="1"/>
        <v>2969.1</v>
      </c>
      <c r="G27" s="35" t="s">
        <v>189</v>
      </c>
      <c r="H27" s="35" t="s">
        <v>190</v>
      </c>
      <c r="I27" s="35" t="s">
        <v>174</v>
      </c>
      <c r="J27" s="35" t="s">
        <v>175</v>
      </c>
      <c r="K27" s="35" t="s">
        <v>35</v>
      </c>
      <c r="L27" s="35" t="s">
        <v>96</v>
      </c>
      <c r="M27" s="39">
        <v>31.0</v>
      </c>
      <c r="N27" s="40">
        <v>46147.0</v>
      </c>
      <c r="O27" s="42" t="b">
        <v>1</v>
      </c>
      <c r="P27" s="44">
        <v>46153.0</v>
      </c>
      <c r="Q27" s="34"/>
      <c r="R27" s="34"/>
      <c r="S27" s="34"/>
      <c r="T27" s="34"/>
    </row>
    <row r="28" ht="15.75" customHeight="1">
      <c r="B28" s="33">
        <v>46146.0</v>
      </c>
      <c r="C28" s="35">
        <v>14722.0</v>
      </c>
      <c r="D28" s="35">
        <v>3.0</v>
      </c>
      <c r="E28" s="37">
        <v>329.9</v>
      </c>
      <c r="F28" s="38">
        <f t="shared" si="1"/>
        <v>989.7</v>
      </c>
      <c r="G28" s="35" t="s">
        <v>189</v>
      </c>
      <c r="H28" s="35" t="s">
        <v>190</v>
      </c>
      <c r="I28" s="35" t="s">
        <v>32</v>
      </c>
      <c r="J28" s="35" t="s">
        <v>34</v>
      </c>
      <c r="K28" s="35" t="s">
        <v>35</v>
      </c>
      <c r="L28" s="35" t="s">
        <v>96</v>
      </c>
      <c r="M28" s="39">
        <v>31.0</v>
      </c>
      <c r="N28" s="40">
        <v>46147.0</v>
      </c>
      <c r="O28" s="42" t="b">
        <v>1</v>
      </c>
      <c r="P28" s="44">
        <v>46153.0</v>
      </c>
      <c r="Q28" s="34"/>
      <c r="R28" s="34"/>
      <c r="S28" s="34"/>
      <c r="T28" s="34"/>
    </row>
    <row r="29" ht="15.75" customHeight="1">
      <c r="B29" s="33">
        <v>46146.0</v>
      </c>
      <c r="C29" s="35">
        <v>14732.0</v>
      </c>
      <c r="D29" s="35">
        <v>6.0</v>
      </c>
      <c r="E29" s="37">
        <v>289.9</v>
      </c>
      <c r="F29" s="38">
        <f t="shared" si="1"/>
        <v>1739.4</v>
      </c>
      <c r="G29" s="35" t="s">
        <v>199</v>
      </c>
      <c r="H29" s="35" t="s">
        <v>200</v>
      </c>
      <c r="I29" s="35" t="s">
        <v>41</v>
      </c>
      <c r="J29" s="35" t="s">
        <v>34</v>
      </c>
      <c r="K29" s="35" t="s">
        <v>35</v>
      </c>
      <c r="L29" s="35" t="s">
        <v>96</v>
      </c>
      <c r="M29" s="39">
        <v>31.0</v>
      </c>
      <c r="N29" s="40">
        <v>46147.0</v>
      </c>
      <c r="O29" s="42" t="b">
        <v>1</v>
      </c>
      <c r="P29" s="44">
        <v>46146.0</v>
      </c>
      <c r="Q29" s="34"/>
      <c r="R29" s="34"/>
      <c r="S29" s="34"/>
      <c r="T29" s="34"/>
    </row>
    <row r="30" ht="15.75" customHeight="1">
      <c r="B30" s="33">
        <v>46146.0</v>
      </c>
      <c r="C30" s="35">
        <v>14732.0</v>
      </c>
      <c r="D30" s="35">
        <v>10.0</v>
      </c>
      <c r="E30" s="37">
        <v>89.9</v>
      </c>
      <c r="F30" s="38">
        <f t="shared" si="1"/>
        <v>899</v>
      </c>
      <c r="G30" s="35" t="s">
        <v>207</v>
      </c>
      <c r="H30" s="35" t="s">
        <v>208</v>
      </c>
      <c r="I30" s="35" t="s">
        <v>41</v>
      </c>
      <c r="J30" s="35" t="s">
        <v>34</v>
      </c>
      <c r="K30" s="35" t="s">
        <v>35</v>
      </c>
      <c r="L30" s="35" t="s">
        <v>96</v>
      </c>
      <c r="M30" s="39">
        <v>31.0</v>
      </c>
      <c r="N30" s="40">
        <v>46147.0</v>
      </c>
      <c r="O30" s="42" t="b">
        <v>1</v>
      </c>
      <c r="P30" s="44">
        <v>46146.0</v>
      </c>
      <c r="Q30" s="34"/>
      <c r="R30" s="34"/>
      <c r="S30" s="34"/>
      <c r="T30" s="34"/>
    </row>
    <row r="31" ht="15.75" customHeight="1">
      <c r="B31" s="33">
        <v>46146.0</v>
      </c>
      <c r="C31" s="35">
        <v>14732.0</v>
      </c>
      <c r="D31" s="35">
        <v>6.0</v>
      </c>
      <c r="E31" s="37">
        <v>99.9</v>
      </c>
      <c r="F31" s="38">
        <f t="shared" si="1"/>
        <v>599.4</v>
      </c>
      <c r="G31" s="35" t="s">
        <v>214</v>
      </c>
      <c r="H31" s="35" t="s">
        <v>216</v>
      </c>
      <c r="I31" s="35" t="s">
        <v>41</v>
      </c>
      <c r="J31" s="35" t="s">
        <v>34</v>
      </c>
      <c r="K31" s="35" t="s">
        <v>35</v>
      </c>
      <c r="L31" s="35" t="s">
        <v>96</v>
      </c>
      <c r="M31" s="39">
        <v>31.0</v>
      </c>
      <c r="N31" s="40">
        <v>46147.0</v>
      </c>
      <c r="O31" s="42" t="b">
        <v>1</v>
      </c>
      <c r="P31" s="44">
        <v>46146.0</v>
      </c>
      <c r="Q31" s="34"/>
      <c r="R31" s="34"/>
      <c r="S31" s="34"/>
      <c r="T31" s="34"/>
    </row>
    <row r="32" ht="15.75" customHeight="1">
      <c r="B32" s="33">
        <v>46146.0</v>
      </c>
      <c r="C32" s="35">
        <v>14732.0</v>
      </c>
      <c r="D32" s="35">
        <v>2.0</v>
      </c>
      <c r="E32" s="37">
        <v>349.9</v>
      </c>
      <c r="F32" s="38">
        <f t="shared" si="1"/>
        <v>699.8</v>
      </c>
      <c r="G32" s="35" t="s">
        <v>222</v>
      </c>
      <c r="H32" s="35" t="s">
        <v>224</v>
      </c>
      <c r="I32" s="35" t="s">
        <v>41</v>
      </c>
      <c r="J32" s="35" t="s">
        <v>34</v>
      </c>
      <c r="K32" s="35" t="s">
        <v>35</v>
      </c>
      <c r="L32" s="35" t="s">
        <v>96</v>
      </c>
      <c r="M32" s="39">
        <v>31.0</v>
      </c>
      <c r="N32" s="40">
        <v>46147.0</v>
      </c>
      <c r="O32" s="42" t="b">
        <v>1</v>
      </c>
      <c r="P32" s="44">
        <v>46146.0</v>
      </c>
      <c r="Q32" s="34"/>
      <c r="R32" s="34"/>
      <c r="S32" s="34"/>
      <c r="T32" s="34"/>
    </row>
    <row r="33" ht="15.75" customHeight="1">
      <c r="B33" s="33">
        <v>46146.0</v>
      </c>
      <c r="C33" s="35">
        <v>14732.0</v>
      </c>
      <c r="D33" s="35">
        <v>2.0</v>
      </c>
      <c r="E33" s="37">
        <v>299.9</v>
      </c>
      <c r="F33" s="38">
        <f t="shared" si="1"/>
        <v>599.8</v>
      </c>
      <c r="G33" s="35" t="s">
        <v>228</v>
      </c>
      <c r="H33" s="35" t="s">
        <v>230</v>
      </c>
      <c r="I33" s="35" t="s">
        <v>41</v>
      </c>
      <c r="J33" s="35" t="s">
        <v>34</v>
      </c>
      <c r="K33" s="35" t="s">
        <v>35</v>
      </c>
      <c r="L33" s="35" t="s">
        <v>96</v>
      </c>
      <c r="M33" s="39">
        <v>31.0</v>
      </c>
      <c r="N33" s="40">
        <v>46147.0</v>
      </c>
      <c r="O33" s="42" t="b">
        <v>1</v>
      </c>
      <c r="P33" s="44">
        <v>46146.0</v>
      </c>
      <c r="Q33" s="34"/>
      <c r="R33" s="34"/>
      <c r="S33" s="34"/>
      <c r="T33" s="34"/>
    </row>
    <row r="34" ht="15.75" customHeight="1">
      <c r="B34" s="33">
        <v>46146.0</v>
      </c>
      <c r="C34" s="46" t="s">
        <v>233</v>
      </c>
      <c r="D34" s="35">
        <v>1.0</v>
      </c>
      <c r="E34" s="37">
        <v>67.5</v>
      </c>
      <c r="F34" s="38">
        <f t="shared" si="1"/>
        <v>67.5</v>
      </c>
      <c r="G34" s="35" t="s">
        <v>238</v>
      </c>
      <c r="H34" s="35" t="s">
        <v>239</v>
      </c>
      <c r="I34" s="35" t="s">
        <v>240</v>
      </c>
      <c r="J34" s="35" t="s">
        <v>34</v>
      </c>
      <c r="K34" s="35" t="s">
        <v>35</v>
      </c>
      <c r="L34" s="35" t="s">
        <v>241</v>
      </c>
      <c r="M34" s="39">
        <v>31.0</v>
      </c>
      <c r="N34" s="40">
        <v>46147.0</v>
      </c>
      <c r="O34" s="42" t="b">
        <v>1</v>
      </c>
      <c r="P34" s="44">
        <v>46153.0</v>
      </c>
      <c r="Q34" s="34"/>
      <c r="R34" s="34"/>
      <c r="S34" s="34"/>
      <c r="T34" s="34"/>
    </row>
    <row r="35" ht="15.75" customHeight="1">
      <c r="B35" s="33">
        <v>46146.0</v>
      </c>
      <c r="C35" s="46" t="s">
        <v>233</v>
      </c>
      <c r="D35" s="35">
        <v>1.0</v>
      </c>
      <c r="E35" s="37">
        <v>67.5</v>
      </c>
      <c r="F35" s="38">
        <f t="shared" si="1"/>
        <v>67.5</v>
      </c>
      <c r="G35" s="35" t="s">
        <v>238</v>
      </c>
      <c r="H35" s="35" t="s">
        <v>239</v>
      </c>
      <c r="I35" s="35" t="s">
        <v>240</v>
      </c>
      <c r="J35" s="35" t="s">
        <v>183</v>
      </c>
      <c r="K35" s="35" t="s">
        <v>35</v>
      </c>
      <c r="L35" s="35" t="s">
        <v>241</v>
      </c>
      <c r="M35" s="39">
        <v>31.0</v>
      </c>
      <c r="N35" s="40">
        <v>46147.0</v>
      </c>
      <c r="O35" s="42" t="b">
        <v>1</v>
      </c>
      <c r="P35" s="44">
        <v>46153.0</v>
      </c>
      <c r="Q35" s="34"/>
      <c r="R35" s="34"/>
      <c r="S35" s="34"/>
      <c r="T35" s="34"/>
    </row>
    <row r="36" ht="15.75" customHeight="1">
      <c r="B36" s="33">
        <v>46146.0</v>
      </c>
      <c r="C36" s="46" t="s">
        <v>233</v>
      </c>
      <c r="D36" s="35">
        <v>4.0</v>
      </c>
      <c r="E36" s="37">
        <v>67.5</v>
      </c>
      <c r="F36" s="38">
        <f t="shared" si="1"/>
        <v>270</v>
      </c>
      <c r="G36" s="35" t="s">
        <v>238</v>
      </c>
      <c r="H36" s="35" t="s">
        <v>239</v>
      </c>
      <c r="I36" s="35" t="s">
        <v>240</v>
      </c>
      <c r="J36" s="35" t="s">
        <v>40</v>
      </c>
      <c r="K36" s="35" t="s">
        <v>35</v>
      </c>
      <c r="L36" s="35" t="s">
        <v>241</v>
      </c>
      <c r="M36" s="39">
        <v>31.0</v>
      </c>
      <c r="N36" s="40">
        <v>46147.0</v>
      </c>
      <c r="O36" s="42" t="b">
        <v>1</v>
      </c>
      <c r="P36" s="44">
        <v>46153.0</v>
      </c>
      <c r="Q36" s="34"/>
      <c r="R36" s="34"/>
      <c r="S36" s="34"/>
      <c r="T36" s="34"/>
    </row>
    <row r="37" ht="15.75" customHeight="1">
      <c r="B37" s="33">
        <v>46146.0</v>
      </c>
      <c r="C37" s="35">
        <v>14764.0</v>
      </c>
      <c r="D37" s="35">
        <v>72.0</v>
      </c>
      <c r="E37" s="37">
        <v>3.9</v>
      </c>
      <c r="F37" s="38">
        <f t="shared" si="1"/>
        <v>280.8</v>
      </c>
      <c r="G37" s="35" t="s">
        <v>258</v>
      </c>
      <c r="H37" s="35" t="s">
        <v>259</v>
      </c>
      <c r="I37" s="35" t="s">
        <v>32</v>
      </c>
      <c r="J37" s="35" t="s">
        <v>34</v>
      </c>
      <c r="K37" s="35" t="s">
        <v>35</v>
      </c>
      <c r="L37" s="35" t="s">
        <v>96</v>
      </c>
      <c r="M37" s="39">
        <v>1.0</v>
      </c>
      <c r="N37" s="40">
        <v>46147.0</v>
      </c>
      <c r="O37" s="42" t="b">
        <v>1</v>
      </c>
      <c r="P37" s="44">
        <v>46150.0</v>
      </c>
      <c r="Q37" s="34"/>
      <c r="R37" s="34"/>
      <c r="S37" s="34"/>
      <c r="T37" s="34"/>
    </row>
    <row r="38" ht="15.75" customHeight="1">
      <c r="B38" s="33">
        <v>46146.0</v>
      </c>
      <c r="C38" s="35">
        <v>14801.0</v>
      </c>
      <c r="D38" s="35">
        <v>500.0</v>
      </c>
      <c r="E38" s="37">
        <v>8.99</v>
      </c>
      <c r="F38" s="38">
        <f t="shared" si="1"/>
        <v>4495</v>
      </c>
      <c r="G38" s="35" t="s">
        <v>262</v>
      </c>
      <c r="H38" s="35" t="s">
        <v>263</v>
      </c>
      <c r="I38" s="35" t="s">
        <v>77</v>
      </c>
      <c r="J38" s="35" t="s">
        <v>79</v>
      </c>
      <c r="K38" s="35" t="s">
        <v>35</v>
      </c>
      <c r="L38" s="35" t="s">
        <v>96</v>
      </c>
      <c r="M38" s="39">
        <v>31.0</v>
      </c>
      <c r="N38" s="40">
        <v>46147.0</v>
      </c>
      <c r="O38" s="42" t="b">
        <v>1</v>
      </c>
      <c r="P38" s="45"/>
      <c r="Q38" s="34"/>
      <c r="R38" s="34"/>
      <c r="S38" s="34"/>
      <c r="T38" s="34"/>
    </row>
    <row r="39" ht="15.75" customHeight="1">
      <c r="B39" s="33">
        <v>46146.0</v>
      </c>
      <c r="C39" s="35">
        <v>14801.0</v>
      </c>
      <c r="D39" s="35">
        <v>200.0</v>
      </c>
      <c r="E39" s="37">
        <v>39.9</v>
      </c>
      <c r="F39" s="38">
        <f t="shared" si="1"/>
        <v>7980</v>
      </c>
      <c r="G39" s="35" t="s">
        <v>274</v>
      </c>
      <c r="H39" s="35" t="s">
        <v>95</v>
      </c>
      <c r="I39" s="35" t="s">
        <v>77</v>
      </c>
      <c r="J39" s="35" t="s">
        <v>79</v>
      </c>
      <c r="K39" s="35" t="s">
        <v>35</v>
      </c>
      <c r="L39" s="35" t="s">
        <v>96</v>
      </c>
      <c r="M39" s="39">
        <v>31.0</v>
      </c>
      <c r="N39" s="40">
        <v>46147.0</v>
      </c>
      <c r="O39" s="42" t="b">
        <v>1</v>
      </c>
      <c r="P39" s="45"/>
      <c r="Q39" s="34"/>
      <c r="R39" s="34"/>
      <c r="S39" s="34"/>
      <c r="T39" s="34"/>
    </row>
    <row r="40" ht="15.75" customHeight="1">
      <c r="B40" s="33">
        <v>46146.0</v>
      </c>
      <c r="C40" s="35">
        <v>916470.0</v>
      </c>
      <c r="D40" s="35">
        <v>1000.0</v>
      </c>
      <c r="E40" s="37">
        <v>87.9</v>
      </c>
      <c r="F40" s="38">
        <f t="shared" si="1"/>
        <v>87900</v>
      </c>
      <c r="G40" s="35" t="s">
        <v>282</v>
      </c>
      <c r="H40" s="35">
        <v>72896.0</v>
      </c>
      <c r="I40" s="35" t="s">
        <v>41</v>
      </c>
      <c r="J40" s="35" t="s">
        <v>40</v>
      </c>
      <c r="K40" s="35" t="s">
        <v>35</v>
      </c>
      <c r="L40" s="35" t="s">
        <v>74</v>
      </c>
      <c r="M40" s="39">
        <v>31.0</v>
      </c>
      <c r="N40" s="44">
        <v>46151.0</v>
      </c>
      <c r="O40" s="42" t="b">
        <v>1</v>
      </c>
      <c r="P40" s="44">
        <v>46149.0</v>
      </c>
      <c r="Q40" s="34"/>
      <c r="R40" s="34"/>
      <c r="S40" s="34"/>
      <c r="T40" s="34"/>
    </row>
    <row r="41" ht="15.75" customHeight="1">
      <c r="B41" s="33">
        <v>46146.0</v>
      </c>
      <c r="C41" s="46" t="s">
        <v>283</v>
      </c>
      <c r="D41" s="35">
        <v>40.0</v>
      </c>
      <c r="E41" s="37">
        <v>250.0</v>
      </c>
      <c r="F41" s="38">
        <f t="shared" si="1"/>
        <v>10000</v>
      </c>
      <c r="G41" s="35" t="s">
        <v>286</v>
      </c>
      <c r="H41" s="35" t="s">
        <v>287</v>
      </c>
      <c r="I41" s="35" t="s">
        <v>41</v>
      </c>
      <c r="J41" s="35" t="s">
        <v>40</v>
      </c>
      <c r="K41" s="35" t="s">
        <v>35</v>
      </c>
      <c r="L41" s="35" t="s">
        <v>87</v>
      </c>
      <c r="M41" s="39">
        <v>31.0</v>
      </c>
      <c r="N41" s="40">
        <v>46148.0</v>
      </c>
      <c r="O41" s="42" t="b">
        <v>1</v>
      </c>
      <c r="P41" s="44">
        <v>46150.0</v>
      </c>
      <c r="Q41" s="34"/>
      <c r="R41" s="34"/>
      <c r="S41" s="34"/>
      <c r="T41" s="34"/>
    </row>
    <row r="42" ht="15.75" customHeight="1">
      <c r="B42" s="33">
        <v>46146.0</v>
      </c>
      <c r="C42" s="46" t="s">
        <v>283</v>
      </c>
      <c r="D42" s="35">
        <v>20.0</v>
      </c>
      <c r="E42" s="37">
        <v>250.0</v>
      </c>
      <c r="F42" s="38">
        <f t="shared" si="1"/>
        <v>5000</v>
      </c>
      <c r="G42" s="35" t="s">
        <v>286</v>
      </c>
      <c r="H42" s="35" t="s">
        <v>287</v>
      </c>
      <c r="I42" s="35" t="s">
        <v>41</v>
      </c>
      <c r="J42" s="35" t="s">
        <v>34</v>
      </c>
      <c r="K42" s="35" t="s">
        <v>35</v>
      </c>
      <c r="L42" s="35" t="s">
        <v>87</v>
      </c>
      <c r="M42" s="39">
        <v>31.0</v>
      </c>
      <c r="N42" s="44">
        <v>46150.0</v>
      </c>
      <c r="O42" s="42" t="b">
        <v>1</v>
      </c>
      <c r="P42" s="44">
        <v>46150.0</v>
      </c>
      <c r="Q42" s="34"/>
      <c r="R42" s="34"/>
      <c r="S42" s="34"/>
      <c r="T42" s="34"/>
    </row>
    <row r="43" ht="15.75" customHeight="1">
      <c r="B43" s="33">
        <v>46146.0</v>
      </c>
      <c r="C43" s="35" t="s">
        <v>35</v>
      </c>
      <c r="D43" s="35">
        <v>200.0</v>
      </c>
      <c r="E43" s="37">
        <v>120.0</v>
      </c>
      <c r="F43" s="38">
        <f t="shared" si="1"/>
        <v>24000</v>
      </c>
      <c r="G43" s="35" t="s">
        <v>299</v>
      </c>
      <c r="H43" s="35" t="s">
        <v>64</v>
      </c>
      <c r="I43" s="35" t="s">
        <v>300</v>
      </c>
      <c r="J43" s="35" t="s">
        <v>40</v>
      </c>
      <c r="K43" s="35" t="s">
        <v>35</v>
      </c>
      <c r="L43" s="35" t="s">
        <v>67</v>
      </c>
      <c r="M43" s="39">
        <v>31.0</v>
      </c>
      <c r="N43" s="40">
        <v>46157.0</v>
      </c>
      <c r="O43" s="42" t="b">
        <v>1</v>
      </c>
      <c r="P43" s="44">
        <v>46169.0</v>
      </c>
      <c r="Q43" s="34"/>
      <c r="R43" s="34"/>
      <c r="S43" s="34"/>
      <c r="T43" s="34"/>
    </row>
    <row r="44" ht="15.75" customHeight="1">
      <c r="B44" s="33">
        <v>46146.0</v>
      </c>
      <c r="C44" s="35" t="s">
        <v>35</v>
      </c>
      <c r="D44" s="35">
        <v>200.0</v>
      </c>
      <c r="E44" s="37">
        <v>60.5</v>
      </c>
      <c r="F44" s="38">
        <f t="shared" si="1"/>
        <v>12100</v>
      </c>
      <c r="G44" s="35" t="s">
        <v>305</v>
      </c>
      <c r="H44" s="35" t="s">
        <v>306</v>
      </c>
      <c r="I44" s="35" t="s">
        <v>32</v>
      </c>
      <c r="J44" s="35" t="s">
        <v>34</v>
      </c>
      <c r="K44" s="35" t="s">
        <v>35</v>
      </c>
      <c r="L44" s="35" t="s">
        <v>308</v>
      </c>
      <c r="M44" s="39">
        <v>31.0</v>
      </c>
      <c r="N44" s="40">
        <v>46154.0</v>
      </c>
      <c r="O44" s="42" t="b">
        <v>1</v>
      </c>
      <c r="P44" s="44">
        <v>46154.0</v>
      </c>
      <c r="Q44" s="34"/>
      <c r="R44" s="34"/>
      <c r="S44" s="34"/>
      <c r="T44" s="34"/>
    </row>
    <row r="45" ht="15.75" customHeight="1">
      <c r="B45" s="33">
        <v>46146.0</v>
      </c>
      <c r="C45" s="35" t="s">
        <v>313</v>
      </c>
      <c r="D45" s="35">
        <v>30.0</v>
      </c>
      <c r="E45" s="37">
        <v>2279.82</v>
      </c>
      <c r="F45" s="38">
        <f t="shared" si="1"/>
        <v>68394.6</v>
      </c>
      <c r="G45" s="35" t="s">
        <v>315</v>
      </c>
      <c r="H45" s="35">
        <v>2.8913921E7</v>
      </c>
      <c r="I45" s="35" t="s">
        <v>39</v>
      </c>
      <c r="J45" s="35" t="s">
        <v>40</v>
      </c>
      <c r="K45" s="35" t="s">
        <v>35</v>
      </c>
      <c r="L45" s="35" t="s">
        <v>318</v>
      </c>
      <c r="M45" s="39">
        <v>1.0</v>
      </c>
      <c r="N45" s="51" t="str">
        <f t="shared" ref="N45:N46" si="2">IF(B45&lt;TODAY()-2,"ATRASADO","EM DIA")</f>
        <v>ATRASADO</v>
      </c>
      <c r="O45" s="42" t="b">
        <v>0</v>
      </c>
      <c r="P45" s="36"/>
      <c r="Q45" s="34"/>
      <c r="R45" s="34"/>
      <c r="S45" s="34"/>
      <c r="T45" s="34"/>
    </row>
    <row r="46" ht="15.75" customHeight="1">
      <c r="B46" s="33">
        <v>46146.0</v>
      </c>
      <c r="C46" s="35" t="s">
        <v>313</v>
      </c>
      <c r="D46" s="35">
        <v>10.0</v>
      </c>
      <c r="E46" s="37">
        <v>2279.82</v>
      </c>
      <c r="F46" s="38">
        <f t="shared" si="1"/>
        <v>22798.2</v>
      </c>
      <c r="G46" s="35" t="s">
        <v>332</v>
      </c>
      <c r="H46" s="35">
        <v>2.8913917E7</v>
      </c>
      <c r="I46" s="35" t="s">
        <v>39</v>
      </c>
      <c r="J46" s="35" t="s">
        <v>40</v>
      </c>
      <c r="K46" s="35" t="s">
        <v>35</v>
      </c>
      <c r="L46" s="35" t="s">
        <v>318</v>
      </c>
      <c r="M46" s="39">
        <v>1.0</v>
      </c>
      <c r="N46" s="51" t="str">
        <f t="shared" si="2"/>
        <v>ATRASADO</v>
      </c>
      <c r="O46" s="42" t="b">
        <v>0</v>
      </c>
      <c r="P46" s="36"/>
      <c r="Q46" s="34"/>
      <c r="R46" s="34"/>
      <c r="S46" s="34"/>
      <c r="T46" s="35"/>
    </row>
    <row r="47" ht="15.75" customHeight="1">
      <c r="B47" s="33">
        <v>46146.0</v>
      </c>
      <c r="C47" s="35" t="s">
        <v>313</v>
      </c>
      <c r="D47" s="35">
        <v>6.0</v>
      </c>
      <c r="E47" s="37">
        <v>2279.82</v>
      </c>
      <c r="F47" s="38">
        <f t="shared" si="1"/>
        <v>13678.92</v>
      </c>
      <c r="G47" s="35" t="s">
        <v>337</v>
      </c>
      <c r="H47" s="35">
        <v>2.8913923E7</v>
      </c>
      <c r="I47" s="35" t="s">
        <v>39</v>
      </c>
      <c r="J47" s="35" t="s">
        <v>40</v>
      </c>
      <c r="K47" s="35" t="s">
        <v>35</v>
      </c>
      <c r="L47" s="35" t="s">
        <v>318</v>
      </c>
      <c r="M47" s="39">
        <v>1.0</v>
      </c>
      <c r="N47" s="44">
        <v>46188.0</v>
      </c>
      <c r="O47" s="42" t="b">
        <v>0</v>
      </c>
      <c r="P47" s="45"/>
      <c r="Q47" s="34"/>
      <c r="R47" s="34"/>
      <c r="S47" s="34"/>
      <c r="T47" s="34"/>
    </row>
    <row r="48" ht="15.75" customHeight="1">
      <c r="B48" s="33">
        <v>46146.0</v>
      </c>
      <c r="C48" s="35" t="s">
        <v>313</v>
      </c>
      <c r="D48" s="35">
        <v>4.0</v>
      </c>
      <c r="E48" s="37">
        <v>2279.82</v>
      </c>
      <c r="F48" s="38">
        <f t="shared" si="1"/>
        <v>9119.28</v>
      </c>
      <c r="G48" s="35" t="s">
        <v>344</v>
      </c>
      <c r="H48" s="35">
        <v>2.8913922E7</v>
      </c>
      <c r="I48" s="35" t="s">
        <v>39</v>
      </c>
      <c r="J48" s="35" t="s">
        <v>40</v>
      </c>
      <c r="K48" s="35" t="s">
        <v>35</v>
      </c>
      <c r="L48" s="35" t="s">
        <v>318</v>
      </c>
      <c r="M48" s="39">
        <v>1.0</v>
      </c>
      <c r="N48" s="36" t="str">
        <f>IF(B48&lt;TODAY()-2,"ATRASADO","EM DIA")</f>
        <v>ATRASADO</v>
      </c>
      <c r="O48" s="42" t="b">
        <v>0</v>
      </c>
      <c r="P48" s="45"/>
      <c r="Q48" s="34"/>
      <c r="R48" s="34"/>
      <c r="S48" s="34"/>
      <c r="T48" s="34"/>
    </row>
    <row r="49" ht="15.75" customHeight="1">
      <c r="B49" s="33">
        <v>46146.0</v>
      </c>
      <c r="C49" s="35" t="s">
        <v>35</v>
      </c>
      <c r="D49" s="35">
        <v>30000.0</v>
      </c>
      <c r="E49" s="37">
        <v>3.3</v>
      </c>
      <c r="F49" s="38">
        <f t="shared" si="1"/>
        <v>99000</v>
      </c>
      <c r="G49" s="35" t="s">
        <v>351</v>
      </c>
      <c r="H49" s="35" t="s">
        <v>352</v>
      </c>
      <c r="I49" s="35" t="s">
        <v>41</v>
      </c>
      <c r="J49" s="35" t="s">
        <v>40</v>
      </c>
      <c r="K49" s="35" t="s">
        <v>35</v>
      </c>
      <c r="L49" s="35" t="s">
        <v>353</v>
      </c>
      <c r="M49" s="39">
        <v>31.0</v>
      </c>
      <c r="N49" s="52">
        <v>46155.0</v>
      </c>
      <c r="O49" s="42" t="b">
        <v>1</v>
      </c>
      <c r="P49" s="44">
        <v>46169.0</v>
      </c>
      <c r="Q49" s="34"/>
      <c r="R49" s="34"/>
      <c r="S49" s="34"/>
      <c r="T49" s="34"/>
    </row>
    <row r="50" ht="15.75" customHeight="1">
      <c r="B50" s="33">
        <v>46146.0</v>
      </c>
      <c r="C50" s="35">
        <v>31794.0</v>
      </c>
      <c r="D50" s="35">
        <v>10.0</v>
      </c>
      <c r="E50" s="37">
        <v>38.9</v>
      </c>
      <c r="F50" s="38">
        <f t="shared" si="1"/>
        <v>389</v>
      </c>
      <c r="G50" s="35" t="s">
        <v>357</v>
      </c>
      <c r="H50" s="35">
        <v>3942.0</v>
      </c>
      <c r="I50" s="35" t="s">
        <v>41</v>
      </c>
      <c r="J50" s="35" t="s">
        <v>40</v>
      </c>
      <c r="K50" s="35" t="s">
        <v>35</v>
      </c>
      <c r="L50" s="35" t="s">
        <v>358</v>
      </c>
      <c r="M50" s="39">
        <v>1.0</v>
      </c>
      <c r="N50" s="41">
        <v>46174.0</v>
      </c>
      <c r="O50" s="42" t="b">
        <v>1</v>
      </c>
      <c r="P50" s="44">
        <v>46176.0</v>
      </c>
      <c r="Q50" s="34"/>
      <c r="R50" s="34"/>
      <c r="S50" s="34"/>
      <c r="T50" s="34"/>
    </row>
    <row r="51" ht="15.75" customHeight="1">
      <c r="B51" s="33">
        <v>46146.0</v>
      </c>
      <c r="C51" s="35">
        <v>31794.0</v>
      </c>
      <c r="D51" s="35">
        <v>10.0</v>
      </c>
      <c r="E51" s="37">
        <v>299.9</v>
      </c>
      <c r="F51" s="38">
        <f t="shared" si="1"/>
        <v>2999</v>
      </c>
      <c r="G51" s="35" t="s">
        <v>359</v>
      </c>
      <c r="H51" s="35">
        <v>4476.0</v>
      </c>
      <c r="I51" s="35" t="s">
        <v>41</v>
      </c>
      <c r="J51" s="35" t="s">
        <v>40</v>
      </c>
      <c r="K51" s="35" t="s">
        <v>35</v>
      </c>
      <c r="L51" s="35" t="s">
        <v>358</v>
      </c>
      <c r="M51" s="39">
        <v>1.0</v>
      </c>
      <c r="N51" s="41">
        <v>46174.0</v>
      </c>
      <c r="O51" s="42" t="b">
        <v>1</v>
      </c>
      <c r="P51" s="44">
        <v>46176.0</v>
      </c>
      <c r="Q51" s="34"/>
      <c r="R51" s="34"/>
      <c r="S51" s="34"/>
      <c r="T51" s="34"/>
    </row>
    <row r="52" ht="15.75" customHeight="1">
      <c r="B52" s="33">
        <v>46146.0</v>
      </c>
      <c r="C52" s="35">
        <v>31794.0</v>
      </c>
      <c r="D52" s="35">
        <v>3.0</v>
      </c>
      <c r="E52" s="37">
        <v>239.9</v>
      </c>
      <c r="F52" s="38">
        <f t="shared" si="1"/>
        <v>719.7</v>
      </c>
      <c r="G52" s="35" t="s">
        <v>366</v>
      </c>
      <c r="H52" s="35">
        <v>4633.0</v>
      </c>
      <c r="I52" s="35" t="s">
        <v>41</v>
      </c>
      <c r="J52" s="35" t="s">
        <v>40</v>
      </c>
      <c r="K52" s="35" t="s">
        <v>35</v>
      </c>
      <c r="L52" s="35" t="s">
        <v>358</v>
      </c>
      <c r="M52" s="39">
        <v>1.0</v>
      </c>
      <c r="N52" s="52">
        <v>46174.0</v>
      </c>
      <c r="O52" s="42" t="b">
        <v>1</v>
      </c>
      <c r="P52" s="44">
        <v>46176.0</v>
      </c>
      <c r="Q52" s="34"/>
      <c r="R52" s="34"/>
      <c r="S52" s="34"/>
      <c r="T52" s="34"/>
    </row>
    <row r="53" ht="15.75" customHeight="1">
      <c r="B53" s="33">
        <v>46146.0</v>
      </c>
      <c r="C53" s="35">
        <v>31794.0</v>
      </c>
      <c r="D53" s="35">
        <v>30.0</v>
      </c>
      <c r="E53" s="37">
        <v>47.9</v>
      </c>
      <c r="F53" s="38">
        <f t="shared" si="1"/>
        <v>1437</v>
      </c>
      <c r="G53" s="35" t="s">
        <v>368</v>
      </c>
      <c r="H53" s="35">
        <v>5032.0</v>
      </c>
      <c r="I53" s="35" t="s">
        <v>41</v>
      </c>
      <c r="J53" s="35" t="s">
        <v>40</v>
      </c>
      <c r="K53" s="35" t="s">
        <v>35</v>
      </c>
      <c r="L53" s="35" t="s">
        <v>358</v>
      </c>
      <c r="M53" s="39">
        <v>1.0</v>
      </c>
      <c r="N53" s="41">
        <v>46174.0</v>
      </c>
      <c r="O53" s="42" t="b">
        <v>1</v>
      </c>
      <c r="P53" s="44">
        <v>46176.0</v>
      </c>
      <c r="Q53" s="34"/>
      <c r="R53" s="34"/>
      <c r="S53" s="34"/>
      <c r="T53" s="34"/>
    </row>
    <row r="54" ht="15.75" customHeight="1">
      <c r="B54" s="33">
        <v>46146.0</v>
      </c>
      <c r="C54" s="35">
        <v>31794.0</v>
      </c>
      <c r="D54" s="35">
        <v>30.0</v>
      </c>
      <c r="E54" s="37">
        <v>47.9</v>
      </c>
      <c r="F54" s="38">
        <f t="shared" si="1"/>
        <v>1437</v>
      </c>
      <c r="G54" s="35" t="s">
        <v>374</v>
      </c>
      <c r="H54" s="35">
        <v>5320.0</v>
      </c>
      <c r="I54" s="35" t="s">
        <v>41</v>
      </c>
      <c r="J54" s="35" t="s">
        <v>40</v>
      </c>
      <c r="K54" s="35" t="s">
        <v>35</v>
      </c>
      <c r="L54" s="35" t="s">
        <v>358</v>
      </c>
      <c r="M54" s="39">
        <v>1.0</v>
      </c>
      <c r="N54" s="41">
        <v>46174.0</v>
      </c>
      <c r="O54" s="42" t="b">
        <v>1</v>
      </c>
      <c r="P54" s="44">
        <v>46176.0</v>
      </c>
      <c r="Q54" s="34"/>
      <c r="R54" s="34"/>
      <c r="S54" s="34"/>
      <c r="T54" s="34"/>
    </row>
    <row r="55" ht="15.75" customHeight="1">
      <c r="B55" s="33">
        <v>46146.0</v>
      </c>
      <c r="C55" s="35">
        <v>31794.0</v>
      </c>
      <c r="D55" s="35">
        <v>1.0</v>
      </c>
      <c r="E55" s="37">
        <v>1359.9</v>
      </c>
      <c r="F55" s="38">
        <f t="shared" si="1"/>
        <v>1359.9</v>
      </c>
      <c r="G55" s="35" t="s">
        <v>379</v>
      </c>
      <c r="H55" s="35">
        <v>4784.0</v>
      </c>
      <c r="I55" s="35" t="s">
        <v>41</v>
      </c>
      <c r="J55" s="35" t="s">
        <v>40</v>
      </c>
      <c r="K55" s="35" t="s">
        <v>35</v>
      </c>
      <c r="L55" s="35" t="s">
        <v>358</v>
      </c>
      <c r="M55" s="39">
        <v>1.0</v>
      </c>
      <c r="N55" s="41">
        <v>46174.0</v>
      </c>
      <c r="O55" s="42" t="b">
        <v>1</v>
      </c>
      <c r="P55" s="44">
        <v>46176.0</v>
      </c>
      <c r="Q55" s="34"/>
      <c r="R55" s="34"/>
      <c r="S55" s="34"/>
      <c r="T55" s="34"/>
    </row>
    <row r="56" ht="15.75" customHeight="1">
      <c r="B56" s="33">
        <v>46146.0</v>
      </c>
      <c r="C56" s="35">
        <v>31794.0</v>
      </c>
      <c r="D56" s="35">
        <v>50.0</v>
      </c>
      <c r="E56" s="37">
        <v>75.9</v>
      </c>
      <c r="F56" s="38">
        <f t="shared" si="1"/>
        <v>3795</v>
      </c>
      <c r="G56" s="35" t="s">
        <v>383</v>
      </c>
      <c r="H56" s="35">
        <v>4756.0</v>
      </c>
      <c r="I56" s="35" t="s">
        <v>41</v>
      </c>
      <c r="J56" s="35" t="s">
        <v>40</v>
      </c>
      <c r="K56" s="35" t="s">
        <v>35</v>
      </c>
      <c r="L56" s="35" t="s">
        <v>358</v>
      </c>
      <c r="M56" s="39">
        <v>1.0</v>
      </c>
      <c r="N56" s="52">
        <v>46174.0</v>
      </c>
      <c r="O56" s="42" t="b">
        <v>1</v>
      </c>
      <c r="P56" s="44">
        <v>46176.0</v>
      </c>
      <c r="Q56" s="34"/>
      <c r="R56" s="34"/>
      <c r="S56" s="34"/>
      <c r="T56" s="34"/>
    </row>
    <row r="57" ht="15.75" customHeight="1">
      <c r="B57" s="33">
        <v>46146.0</v>
      </c>
      <c r="C57" s="35">
        <v>31794.0</v>
      </c>
      <c r="D57" s="35">
        <v>5.0</v>
      </c>
      <c r="E57" s="37">
        <v>129.9</v>
      </c>
      <c r="F57" s="38">
        <f t="shared" si="1"/>
        <v>649.5</v>
      </c>
      <c r="G57" s="35" t="s">
        <v>385</v>
      </c>
      <c r="H57" s="35">
        <v>3046.0</v>
      </c>
      <c r="I57" s="35" t="s">
        <v>41</v>
      </c>
      <c r="J57" s="35" t="s">
        <v>40</v>
      </c>
      <c r="K57" s="35" t="s">
        <v>35</v>
      </c>
      <c r="L57" s="35" t="s">
        <v>358</v>
      </c>
      <c r="M57" s="39">
        <v>1.0</v>
      </c>
      <c r="N57" s="52">
        <v>46174.0</v>
      </c>
      <c r="O57" s="42" t="b">
        <v>1</v>
      </c>
      <c r="P57" s="44">
        <v>46176.0</v>
      </c>
      <c r="Q57" s="34"/>
      <c r="R57" s="34"/>
      <c r="S57" s="34"/>
      <c r="T57" s="34"/>
    </row>
    <row r="58" ht="15.75" customHeight="1">
      <c r="B58" s="33">
        <v>46146.0</v>
      </c>
      <c r="C58" s="35">
        <v>31794.0</v>
      </c>
      <c r="D58" s="35">
        <v>2.0</v>
      </c>
      <c r="E58" s="37">
        <v>839.9</v>
      </c>
      <c r="F58" s="38">
        <f t="shared" si="1"/>
        <v>1679.8</v>
      </c>
      <c r="G58" s="35" t="s">
        <v>390</v>
      </c>
      <c r="H58" s="35">
        <v>4369.0</v>
      </c>
      <c r="I58" s="35" t="s">
        <v>41</v>
      </c>
      <c r="J58" s="35" t="s">
        <v>40</v>
      </c>
      <c r="K58" s="35" t="s">
        <v>35</v>
      </c>
      <c r="L58" s="35" t="s">
        <v>358</v>
      </c>
      <c r="M58" s="39">
        <v>1.0</v>
      </c>
      <c r="N58" s="52">
        <v>46174.0</v>
      </c>
      <c r="O58" s="42" t="b">
        <v>1</v>
      </c>
      <c r="P58" s="44">
        <v>46176.0</v>
      </c>
      <c r="Q58" s="34"/>
      <c r="R58" s="34"/>
      <c r="S58" s="34"/>
      <c r="T58" s="34"/>
    </row>
    <row r="59" ht="15.75" customHeight="1">
      <c r="B59" s="33">
        <v>46146.0</v>
      </c>
      <c r="C59" s="35">
        <v>31794.0</v>
      </c>
      <c r="D59" s="35">
        <v>5.0</v>
      </c>
      <c r="E59" s="37">
        <v>229.9</v>
      </c>
      <c r="F59" s="38">
        <f t="shared" si="1"/>
        <v>1149.5</v>
      </c>
      <c r="G59" s="35" t="s">
        <v>397</v>
      </c>
      <c r="H59" s="35">
        <v>4820.0</v>
      </c>
      <c r="I59" s="35" t="s">
        <v>41</v>
      </c>
      <c r="J59" s="35" t="s">
        <v>40</v>
      </c>
      <c r="K59" s="35" t="s">
        <v>35</v>
      </c>
      <c r="L59" s="35" t="s">
        <v>358</v>
      </c>
      <c r="M59" s="39">
        <v>1.0</v>
      </c>
      <c r="N59" s="41">
        <v>46174.0</v>
      </c>
      <c r="O59" s="42" t="b">
        <v>1</v>
      </c>
      <c r="P59" s="44">
        <v>46176.0</v>
      </c>
      <c r="Q59" s="34"/>
      <c r="R59" s="34"/>
      <c r="S59" s="34"/>
      <c r="T59" s="34"/>
    </row>
    <row r="60" ht="15.75" customHeight="1">
      <c r="B60" s="33">
        <v>46146.0</v>
      </c>
      <c r="C60" s="35">
        <v>31794.0</v>
      </c>
      <c r="D60" s="35">
        <v>1.0</v>
      </c>
      <c r="E60" s="37">
        <v>790.9</v>
      </c>
      <c r="F60" s="38">
        <f t="shared" si="1"/>
        <v>790.9</v>
      </c>
      <c r="G60" s="35" t="s">
        <v>404</v>
      </c>
      <c r="H60" s="35">
        <v>4883.0</v>
      </c>
      <c r="I60" s="35" t="s">
        <v>41</v>
      </c>
      <c r="J60" s="35" t="s">
        <v>40</v>
      </c>
      <c r="K60" s="35" t="s">
        <v>35</v>
      </c>
      <c r="L60" s="35" t="s">
        <v>358</v>
      </c>
      <c r="M60" s="39">
        <v>1.0</v>
      </c>
      <c r="N60" s="52">
        <v>46174.0</v>
      </c>
      <c r="O60" s="42" t="b">
        <v>1</v>
      </c>
      <c r="P60" s="44">
        <v>46176.0</v>
      </c>
      <c r="Q60" s="34"/>
      <c r="R60" s="34"/>
      <c r="S60" s="34"/>
      <c r="T60" s="34"/>
    </row>
    <row r="61" ht="15.75" customHeight="1">
      <c r="B61" s="33">
        <v>46147.0</v>
      </c>
      <c r="C61" s="46" t="s">
        <v>409</v>
      </c>
      <c r="D61" s="35">
        <v>50.0</v>
      </c>
      <c r="E61" s="37">
        <v>30.5</v>
      </c>
      <c r="F61" s="38">
        <f t="shared" si="1"/>
        <v>1525</v>
      </c>
      <c r="G61" s="35" t="s">
        <v>412</v>
      </c>
      <c r="H61" s="35" t="s">
        <v>413</v>
      </c>
      <c r="I61" s="35" t="s">
        <v>59</v>
      </c>
      <c r="J61" s="35" t="s">
        <v>34</v>
      </c>
      <c r="K61" s="35" t="s">
        <v>35</v>
      </c>
      <c r="L61" s="35" t="s">
        <v>87</v>
      </c>
      <c r="M61" s="39">
        <v>31.0</v>
      </c>
      <c r="N61" s="44">
        <v>46147.0</v>
      </c>
      <c r="O61" s="42" t="b">
        <v>1</v>
      </c>
      <c r="P61" s="44">
        <v>46147.0</v>
      </c>
      <c r="Q61" s="34"/>
      <c r="R61" s="34"/>
      <c r="S61" s="34"/>
      <c r="T61" s="34"/>
    </row>
    <row r="62" ht="15.75" customHeight="1">
      <c r="B62" s="33">
        <v>46147.0</v>
      </c>
      <c r="C62" s="46" t="s">
        <v>431</v>
      </c>
      <c r="D62" s="35">
        <v>1100.0</v>
      </c>
      <c r="E62" s="37">
        <v>32.0</v>
      </c>
      <c r="F62" s="38">
        <f t="shared" si="1"/>
        <v>35200</v>
      </c>
      <c r="G62" s="35" t="s">
        <v>433</v>
      </c>
      <c r="H62" s="35" t="s">
        <v>434</v>
      </c>
      <c r="I62" s="35" t="s">
        <v>32</v>
      </c>
      <c r="J62" s="35" t="s">
        <v>34</v>
      </c>
      <c r="K62" s="35" t="s">
        <v>35</v>
      </c>
      <c r="L62" s="35" t="s">
        <v>87</v>
      </c>
      <c r="M62" s="39">
        <v>31.0</v>
      </c>
      <c r="N62" s="40">
        <v>46149.0</v>
      </c>
      <c r="O62" s="42" t="b">
        <v>1</v>
      </c>
      <c r="P62" s="44">
        <v>46149.0</v>
      </c>
      <c r="Q62" s="34"/>
      <c r="R62" s="34"/>
      <c r="S62" s="34"/>
      <c r="T62" s="34"/>
    </row>
    <row r="63" ht="15.75" customHeight="1">
      <c r="B63" s="33">
        <v>46147.0</v>
      </c>
      <c r="C63" s="46" t="s">
        <v>437</v>
      </c>
      <c r="D63" s="35">
        <v>4.0</v>
      </c>
      <c r="E63" s="37">
        <v>368.0</v>
      </c>
      <c r="F63" s="38">
        <f t="shared" si="1"/>
        <v>1472</v>
      </c>
      <c r="G63" s="35" t="s">
        <v>441</v>
      </c>
      <c r="H63" s="35" t="s">
        <v>443</v>
      </c>
      <c r="I63" s="35" t="s">
        <v>59</v>
      </c>
      <c r="J63" s="35" t="s">
        <v>34</v>
      </c>
      <c r="K63" s="35" t="s">
        <v>35</v>
      </c>
      <c r="L63" s="35" t="s">
        <v>151</v>
      </c>
      <c r="M63" s="39">
        <v>31.0</v>
      </c>
      <c r="N63" s="40">
        <v>46147.0</v>
      </c>
      <c r="O63" s="42" t="b">
        <v>1</v>
      </c>
      <c r="P63" s="44">
        <v>46147.0</v>
      </c>
      <c r="Q63" s="34"/>
      <c r="R63" s="34"/>
      <c r="S63" s="34"/>
      <c r="T63" s="34"/>
    </row>
    <row r="64" ht="15.75" customHeight="1">
      <c r="B64" s="33">
        <v>46147.0</v>
      </c>
      <c r="C64" s="46" t="s">
        <v>447</v>
      </c>
      <c r="D64" s="35">
        <v>60.0</v>
      </c>
      <c r="E64" s="37">
        <v>64.0</v>
      </c>
      <c r="F64" s="38">
        <f t="shared" si="1"/>
        <v>3840</v>
      </c>
      <c r="G64" s="35" t="s">
        <v>451</v>
      </c>
      <c r="H64" s="35" t="s">
        <v>452</v>
      </c>
      <c r="I64" s="35" t="s">
        <v>59</v>
      </c>
      <c r="J64" s="35" t="s">
        <v>34</v>
      </c>
      <c r="K64" s="35" t="s">
        <v>35</v>
      </c>
      <c r="L64" s="35" t="s">
        <v>87</v>
      </c>
      <c r="M64" s="39">
        <v>31.0</v>
      </c>
      <c r="N64" s="40">
        <v>46148.0</v>
      </c>
      <c r="O64" s="42" t="b">
        <v>1</v>
      </c>
      <c r="P64" s="44">
        <v>46147.0</v>
      </c>
      <c r="Q64" s="34"/>
      <c r="R64" s="34"/>
      <c r="S64" s="34"/>
      <c r="T64" s="34"/>
    </row>
    <row r="65" ht="15.75" customHeight="1">
      <c r="B65" s="33">
        <v>46147.0</v>
      </c>
      <c r="C65" s="46" t="s">
        <v>456</v>
      </c>
      <c r="D65" s="35">
        <v>10.0</v>
      </c>
      <c r="E65" s="37">
        <v>112.5</v>
      </c>
      <c r="F65" s="38">
        <f t="shared" si="1"/>
        <v>1125</v>
      </c>
      <c r="G65" s="35" t="s">
        <v>217</v>
      </c>
      <c r="H65" s="35" t="s">
        <v>457</v>
      </c>
      <c r="I65" s="35" t="s">
        <v>41</v>
      </c>
      <c r="J65" s="35" t="s">
        <v>34</v>
      </c>
      <c r="K65" s="35" t="s">
        <v>35</v>
      </c>
      <c r="L65" s="35" t="s">
        <v>46</v>
      </c>
      <c r="M65" s="39">
        <v>31.0</v>
      </c>
      <c r="N65" s="40">
        <v>46148.0</v>
      </c>
      <c r="O65" s="42" t="b">
        <v>1</v>
      </c>
      <c r="P65" s="44">
        <v>46150.0</v>
      </c>
      <c r="Q65" s="34"/>
      <c r="R65" s="34"/>
      <c r="S65" s="34"/>
      <c r="T65" s="34"/>
    </row>
    <row r="66" ht="15.75" customHeight="1">
      <c r="B66" s="33">
        <v>46147.0</v>
      </c>
      <c r="C66" s="35">
        <v>1122.0</v>
      </c>
      <c r="D66" s="35">
        <v>150.0</v>
      </c>
      <c r="E66" s="37">
        <v>25.0</v>
      </c>
      <c r="F66" s="38">
        <f t="shared" si="1"/>
        <v>3750</v>
      </c>
      <c r="G66" s="35" t="s">
        <v>465</v>
      </c>
      <c r="H66" s="35" t="s">
        <v>35</v>
      </c>
      <c r="I66" s="35" t="s">
        <v>157</v>
      </c>
      <c r="J66" s="35" t="s">
        <v>34</v>
      </c>
      <c r="K66" s="35" t="s">
        <v>35</v>
      </c>
      <c r="L66" s="35" t="s">
        <v>468</v>
      </c>
      <c r="M66" s="39">
        <v>31.0</v>
      </c>
      <c r="N66" s="40">
        <v>46154.0</v>
      </c>
      <c r="O66" s="42" t="b">
        <v>1</v>
      </c>
      <c r="P66" s="44">
        <v>46154.0</v>
      </c>
      <c r="Q66" s="34"/>
      <c r="R66" s="34"/>
      <c r="S66" s="34"/>
      <c r="T66" s="34"/>
    </row>
    <row r="67" ht="15.75" customHeight="1">
      <c r="B67" s="33">
        <v>46147.0</v>
      </c>
      <c r="C67" s="35">
        <v>1122.0</v>
      </c>
      <c r="D67" s="35">
        <v>1.0</v>
      </c>
      <c r="E67" s="37">
        <v>380.0</v>
      </c>
      <c r="F67" s="38">
        <f t="shared" si="1"/>
        <v>380</v>
      </c>
      <c r="G67" s="35" t="s">
        <v>470</v>
      </c>
      <c r="H67" s="35" t="s">
        <v>35</v>
      </c>
      <c r="I67" s="35" t="s">
        <v>157</v>
      </c>
      <c r="J67" s="35" t="s">
        <v>34</v>
      </c>
      <c r="K67" s="35" t="s">
        <v>35</v>
      </c>
      <c r="L67" s="35" t="s">
        <v>468</v>
      </c>
      <c r="M67" s="39">
        <v>31.0</v>
      </c>
      <c r="N67" s="40">
        <v>46154.0</v>
      </c>
      <c r="O67" s="42" t="b">
        <v>1</v>
      </c>
      <c r="P67" s="45"/>
      <c r="Q67" s="34"/>
      <c r="R67" s="34"/>
      <c r="S67" s="34"/>
      <c r="T67" s="34"/>
    </row>
    <row r="68" ht="15.75" customHeight="1">
      <c r="B68" s="33">
        <v>46147.0</v>
      </c>
      <c r="C68" s="35">
        <v>1122.0</v>
      </c>
      <c r="D68" s="35">
        <v>1.0</v>
      </c>
      <c r="E68" s="37">
        <v>380.0</v>
      </c>
      <c r="F68" s="38">
        <f t="shared" si="1"/>
        <v>380</v>
      </c>
      <c r="G68" s="35" t="s">
        <v>470</v>
      </c>
      <c r="H68" s="35" t="s">
        <v>35</v>
      </c>
      <c r="I68" s="35" t="s">
        <v>157</v>
      </c>
      <c r="J68" s="35" t="s">
        <v>40</v>
      </c>
      <c r="K68" s="35" t="s">
        <v>35</v>
      </c>
      <c r="L68" s="35" t="s">
        <v>468</v>
      </c>
      <c r="M68" s="39">
        <v>31.0</v>
      </c>
      <c r="N68" s="40">
        <v>46154.0</v>
      </c>
      <c r="O68" s="42" t="b">
        <v>1</v>
      </c>
      <c r="P68" s="45"/>
      <c r="Q68" s="34"/>
      <c r="R68" s="34"/>
      <c r="S68" s="34"/>
      <c r="T68" s="34"/>
    </row>
    <row r="69" ht="15.75" customHeight="1">
      <c r="B69" s="33">
        <v>46147.0</v>
      </c>
      <c r="C69" s="35">
        <v>1024.0</v>
      </c>
      <c r="D69" s="35">
        <v>60.0</v>
      </c>
      <c r="E69" s="37">
        <v>115.0</v>
      </c>
      <c r="F69" s="38">
        <f t="shared" si="1"/>
        <v>6900</v>
      </c>
      <c r="G69" s="35" t="s">
        <v>481</v>
      </c>
      <c r="H69" s="35" t="s">
        <v>128</v>
      </c>
      <c r="I69" s="35" t="s">
        <v>59</v>
      </c>
      <c r="J69" s="35" t="s">
        <v>34</v>
      </c>
      <c r="K69" s="35" t="s">
        <v>35</v>
      </c>
      <c r="L69" s="35" t="s">
        <v>132</v>
      </c>
      <c r="M69" s="39">
        <v>31.0</v>
      </c>
      <c r="N69" s="40">
        <v>46147.0</v>
      </c>
      <c r="O69" s="42" t="b">
        <v>1</v>
      </c>
      <c r="P69" s="44">
        <v>46147.0</v>
      </c>
      <c r="Q69" s="34"/>
      <c r="R69" s="34"/>
      <c r="S69" s="34"/>
      <c r="T69" s="34"/>
    </row>
    <row r="70" ht="15.75" customHeight="1">
      <c r="B70" s="33">
        <v>46147.0</v>
      </c>
      <c r="C70" s="35">
        <v>14922.0</v>
      </c>
      <c r="D70" s="35">
        <v>4.0</v>
      </c>
      <c r="E70" s="37">
        <v>228.9</v>
      </c>
      <c r="F70" s="38">
        <f t="shared" si="1"/>
        <v>915.6</v>
      </c>
      <c r="G70" s="35" t="s">
        <v>485</v>
      </c>
      <c r="H70" s="35" t="s">
        <v>487</v>
      </c>
      <c r="I70" s="35" t="s">
        <v>32</v>
      </c>
      <c r="J70" s="35" t="s">
        <v>34</v>
      </c>
      <c r="K70" s="35" t="s">
        <v>35</v>
      </c>
      <c r="L70" s="35" t="s">
        <v>96</v>
      </c>
      <c r="M70" s="39">
        <v>1.0</v>
      </c>
      <c r="N70" s="40">
        <v>46150.0</v>
      </c>
      <c r="O70" s="42" t="b">
        <v>1</v>
      </c>
      <c r="P70" s="44">
        <v>46150.0</v>
      </c>
      <c r="Q70" s="34"/>
      <c r="R70" s="34"/>
      <c r="S70" s="34"/>
      <c r="T70" s="34"/>
    </row>
    <row r="71" ht="15.75" customHeight="1">
      <c r="B71" s="33">
        <v>46147.0</v>
      </c>
      <c r="C71" s="35">
        <v>14919.0</v>
      </c>
      <c r="D71" s="35">
        <v>50.0</v>
      </c>
      <c r="E71" s="37">
        <v>11.8</v>
      </c>
      <c r="F71" s="38">
        <f t="shared" si="1"/>
        <v>590</v>
      </c>
      <c r="G71" s="35" t="s">
        <v>491</v>
      </c>
      <c r="H71" s="35" t="s">
        <v>494</v>
      </c>
      <c r="I71" s="35" t="s">
        <v>41</v>
      </c>
      <c r="J71" s="35" t="s">
        <v>34</v>
      </c>
      <c r="K71" s="35" t="s">
        <v>35</v>
      </c>
      <c r="L71" s="35" t="s">
        <v>96</v>
      </c>
      <c r="M71" s="39">
        <v>1.0</v>
      </c>
      <c r="N71" s="44">
        <v>46149.0</v>
      </c>
      <c r="O71" s="42" t="b">
        <v>1</v>
      </c>
      <c r="P71" s="44">
        <v>46149.0</v>
      </c>
      <c r="Q71" s="34"/>
      <c r="R71" s="34"/>
      <c r="S71" s="34"/>
      <c r="T71" s="34"/>
    </row>
    <row r="72" ht="15.75" customHeight="1">
      <c r="B72" s="33">
        <v>46147.0</v>
      </c>
      <c r="C72" s="35">
        <v>14919.0</v>
      </c>
      <c r="D72" s="35">
        <v>100.0</v>
      </c>
      <c r="E72" s="37">
        <v>8.99</v>
      </c>
      <c r="F72" s="38">
        <f t="shared" si="1"/>
        <v>899</v>
      </c>
      <c r="G72" s="35" t="s">
        <v>497</v>
      </c>
      <c r="H72" s="35" t="s">
        <v>498</v>
      </c>
      <c r="I72" s="35" t="s">
        <v>41</v>
      </c>
      <c r="J72" s="35" t="s">
        <v>34</v>
      </c>
      <c r="K72" s="35" t="s">
        <v>35</v>
      </c>
      <c r="L72" s="35" t="s">
        <v>96</v>
      </c>
      <c r="M72" s="39">
        <v>1.0</v>
      </c>
      <c r="N72" s="44">
        <v>46149.0</v>
      </c>
      <c r="O72" s="42" t="b">
        <v>1</v>
      </c>
      <c r="P72" s="44">
        <v>46149.0</v>
      </c>
      <c r="Q72" s="34"/>
      <c r="R72" s="34"/>
      <c r="S72" s="34"/>
      <c r="T72" s="34"/>
    </row>
    <row r="73" ht="15.75" customHeight="1">
      <c r="B73" s="33">
        <v>46147.0</v>
      </c>
      <c r="C73" s="46" t="s">
        <v>502</v>
      </c>
      <c r="D73" s="35">
        <v>100.0</v>
      </c>
      <c r="E73" s="37">
        <v>310.0</v>
      </c>
      <c r="F73" s="38">
        <f t="shared" si="1"/>
        <v>31000</v>
      </c>
      <c r="G73" s="35" t="s">
        <v>505</v>
      </c>
      <c r="H73" s="35" t="s">
        <v>506</v>
      </c>
      <c r="I73" s="35" t="s">
        <v>41</v>
      </c>
      <c r="J73" s="35" t="s">
        <v>34</v>
      </c>
      <c r="K73" s="35" t="s">
        <v>35</v>
      </c>
      <c r="L73" s="35" t="s">
        <v>87</v>
      </c>
      <c r="M73" s="39">
        <v>31.0</v>
      </c>
      <c r="N73" s="44">
        <v>46147.0</v>
      </c>
      <c r="O73" s="42" t="b">
        <v>1</v>
      </c>
      <c r="P73" s="44">
        <v>46150.0</v>
      </c>
      <c r="Q73" s="34"/>
      <c r="R73" s="34"/>
      <c r="S73" s="34"/>
      <c r="T73" s="34"/>
    </row>
    <row r="74" ht="15.75" customHeight="1">
      <c r="B74" s="33">
        <v>46147.0</v>
      </c>
      <c r="C74" s="35">
        <v>272.0</v>
      </c>
      <c r="D74" s="35">
        <v>58.0</v>
      </c>
      <c r="E74" s="37">
        <v>750.0</v>
      </c>
      <c r="F74" s="38">
        <f t="shared" si="1"/>
        <v>43500</v>
      </c>
      <c r="G74" s="35" t="s">
        <v>513</v>
      </c>
      <c r="H74" s="35">
        <v>118.0</v>
      </c>
      <c r="I74" s="35" t="s">
        <v>32</v>
      </c>
      <c r="J74" s="35" t="s">
        <v>34</v>
      </c>
      <c r="K74" s="35" t="s">
        <v>35</v>
      </c>
      <c r="L74" s="35" t="s">
        <v>515</v>
      </c>
      <c r="M74" s="39">
        <v>31.0</v>
      </c>
      <c r="N74" s="44">
        <v>46155.0</v>
      </c>
      <c r="O74" s="42" t="b">
        <v>1</v>
      </c>
      <c r="P74" s="44">
        <v>46155.0</v>
      </c>
      <c r="Q74" s="34"/>
      <c r="R74" s="34"/>
      <c r="S74" s="34"/>
      <c r="T74" s="34"/>
    </row>
    <row r="75" ht="15.75" customHeight="1">
      <c r="B75" s="33">
        <v>46147.0</v>
      </c>
      <c r="C75" s="35">
        <v>272.0</v>
      </c>
      <c r="D75" s="35">
        <v>4.0</v>
      </c>
      <c r="E75" s="37">
        <v>1500.0</v>
      </c>
      <c r="F75" s="38">
        <f t="shared" si="1"/>
        <v>6000</v>
      </c>
      <c r="G75" s="35" t="s">
        <v>520</v>
      </c>
      <c r="H75" s="35">
        <v>434.0</v>
      </c>
      <c r="I75" s="35" t="s">
        <v>32</v>
      </c>
      <c r="J75" s="35" t="s">
        <v>34</v>
      </c>
      <c r="K75" s="35" t="s">
        <v>35</v>
      </c>
      <c r="L75" s="35" t="s">
        <v>515</v>
      </c>
      <c r="M75" s="39">
        <v>31.0</v>
      </c>
      <c r="N75" s="40">
        <v>46155.0</v>
      </c>
      <c r="O75" s="42" t="b">
        <v>1</v>
      </c>
      <c r="P75" s="44">
        <v>46155.0</v>
      </c>
      <c r="Q75" s="34"/>
      <c r="R75" s="34"/>
      <c r="S75" s="34"/>
      <c r="T75" s="34"/>
    </row>
    <row r="76" ht="15.75" customHeight="1">
      <c r="B76" s="33">
        <v>46148.0</v>
      </c>
      <c r="C76" s="35">
        <v>15034.0</v>
      </c>
      <c r="D76" s="35">
        <v>12.0</v>
      </c>
      <c r="E76" s="37">
        <v>379.9</v>
      </c>
      <c r="F76" s="38">
        <f t="shared" si="1"/>
        <v>4558.8</v>
      </c>
      <c r="G76" s="35" t="s">
        <v>528</v>
      </c>
      <c r="H76" s="35" t="s">
        <v>530</v>
      </c>
      <c r="I76" s="35" t="s">
        <v>41</v>
      </c>
      <c r="J76" s="35" t="s">
        <v>34</v>
      </c>
      <c r="K76" s="35" t="s">
        <v>35</v>
      </c>
      <c r="L76" s="35" t="s">
        <v>96</v>
      </c>
      <c r="M76" s="39">
        <v>31.0</v>
      </c>
      <c r="N76" s="40">
        <v>46149.0</v>
      </c>
      <c r="O76" s="42" t="b">
        <v>1</v>
      </c>
      <c r="P76" s="44">
        <v>46148.0</v>
      </c>
      <c r="Q76" s="34"/>
      <c r="R76" s="34"/>
      <c r="S76" s="34"/>
      <c r="T76" s="34"/>
    </row>
    <row r="77" ht="15.75" customHeight="1">
      <c r="B77" s="33">
        <v>46148.0</v>
      </c>
      <c r="C77" s="35">
        <v>15034.0</v>
      </c>
      <c r="D77" s="35">
        <v>12.0</v>
      </c>
      <c r="E77" s="37">
        <v>0.0</v>
      </c>
      <c r="F77" s="38">
        <f t="shared" si="1"/>
        <v>0</v>
      </c>
      <c r="G77" s="35" t="s">
        <v>535</v>
      </c>
      <c r="H77" s="35" t="s">
        <v>182</v>
      </c>
      <c r="I77" s="35" t="s">
        <v>41</v>
      </c>
      <c r="J77" s="35" t="s">
        <v>34</v>
      </c>
      <c r="K77" s="35" t="s">
        <v>35</v>
      </c>
      <c r="L77" s="35" t="s">
        <v>96</v>
      </c>
      <c r="M77" s="39">
        <v>31.0</v>
      </c>
      <c r="N77" s="40">
        <v>46149.0</v>
      </c>
      <c r="O77" s="42" t="b">
        <v>1</v>
      </c>
      <c r="P77" s="44">
        <v>46148.0</v>
      </c>
      <c r="Q77" s="34"/>
      <c r="R77" s="34"/>
      <c r="S77" s="34"/>
      <c r="T77" s="34"/>
    </row>
    <row r="78" ht="15.75" customHeight="1">
      <c r="B78" s="33">
        <v>46148.0</v>
      </c>
      <c r="C78" s="35">
        <v>15034.0</v>
      </c>
      <c r="D78" s="35">
        <v>40.0</v>
      </c>
      <c r="E78" s="37">
        <v>89.9</v>
      </c>
      <c r="F78" s="38">
        <f t="shared" si="1"/>
        <v>3596</v>
      </c>
      <c r="G78" s="35" t="s">
        <v>207</v>
      </c>
      <c r="H78" s="35" t="s">
        <v>208</v>
      </c>
      <c r="I78" s="35" t="s">
        <v>41</v>
      </c>
      <c r="J78" s="35" t="s">
        <v>34</v>
      </c>
      <c r="K78" s="35" t="s">
        <v>35</v>
      </c>
      <c r="L78" s="35" t="s">
        <v>96</v>
      </c>
      <c r="M78" s="39">
        <v>31.0</v>
      </c>
      <c r="N78" s="40">
        <v>46149.0</v>
      </c>
      <c r="O78" s="42" t="b">
        <v>1</v>
      </c>
      <c r="P78" s="44">
        <v>46148.0</v>
      </c>
      <c r="Q78" s="34"/>
      <c r="R78" s="34"/>
      <c r="S78" s="34"/>
      <c r="T78" s="34"/>
    </row>
    <row r="79" ht="15.75" customHeight="1">
      <c r="B79" s="33">
        <v>46148.0</v>
      </c>
      <c r="C79" s="35">
        <v>15034.0</v>
      </c>
      <c r="D79" s="35">
        <v>60.0</v>
      </c>
      <c r="E79" s="37">
        <v>79.9</v>
      </c>
      <c r="F79" s="38">
        <f t="shared" si="1"/>
        <v>4794</v>
      </c>
      <c r="G79" s="35" t="s">
        <v>543</v>
      </c>
      <c r="H79" s="35" t="s">
        <v>545</v>
      </c>
      <c r="I79" s="35" t="s">
        <v>41</v>
      </c>
      <c r="J79" s="35" t="s">
        <v>34</v>
      </c>
      <c r="K79" s="35" t="s">
        <v>35</v>
      </c>
      <c r="L79" s="35" t="s">
        <v>96</v>
      </c>
      <c r="M79" s="39">
        <v>31.0</v>
      </c>
      <c r="N79" s="40">
        <v>46149.0</v>
      </c>
      <c r="O79" s="42" t="b">
        <v>1</v>
      </c>
      <c r="P79" s="44">
        <v>46148.0</v>
      </c>
      <c r="Q79" s="34"/>
      <c r="R79" s="34"/>
      <c r="S79" s="34"/>
      <c r="T79" s="34"/>
    </row>
    <row r="80" ht="15.75" customHeight="1">
      <c r="B80" s="33">
        <v>46148.0</v>
      </c>
      <c r="C80" s="35">
        <v>15034.0</v>
      </c>
      <c r="D80" s="35">
        <v>50.0</v>
      </c>
      <c r="E80" s="37">
        <v>119.9</v>
      </c>
      <c r="F80" s="38">
        <f t="shared" si="1"/>
        <v>5995</v>
      </c>
      <c r="G80" s="35" t="s">
        <v>548</v>
      </c>
      <c r="H80" s="35" t="s">
        <v>523</v>
      </c>
      <c r="I80" s="35" t="s">
        <v>41</v>
      </c>
      <c r="J80" s="35" t="s">
        <v>34</v>
      </c>
      <c r="K80" s="35" t="s">
        <v>35</v>
      </c>
      <c r="L80" s="35" t="s">
        <v>96</v>
      </c>
      <c r="M80" s="39">
        <v>31.0</v>
      </c>
      <c r="N80" s="40">
        <v>46149.0</v>
      </c>
      <c r="O80" s="42" t="b">
        <v>1</v>
      </c>
      <c r="P80" s="44">
        <v>46148.0</v>
      </c>
      <c r="Q80" s="34"/>
      <c r="R80" s="34"/>
      <c r="S80" s="34"/>
      <c r="T80" s="34"/>
    </row>
    <row r="81" ht="15.75" customHeight="1">
      <c r="B81" s="33">
        <v>46148.0</v>
      </c>
      <c r="C81" s="35">
        <v>15034.0</v>
      </c>
      <c r="D81" s="35">
        <v>10.0</v>
      </c>
      <c r="E81" s="37">
        <v>89.9</v>
      </c>
      <c r="F81" s="38">
        <f t="shared" si="1"/>
        <v>899</v>
      </c>
      <c r="G81" s="35" t="s">
        <v>558</v>
      </c>
      <c r="H81" s="35" t="s">
        <v>559</v>
      </c>
      <c r="I81" s="35" t="s">
        <v>41</v>
      </c>
      <c r="J81" s="35" t="s">
        <v>34</v>
      </c>
      <c r="K81" s="35" t="s">
        <v>35</v>
      </c>
      <c r="L81" s="35" t="s">
        <v>96</v>
      </c>
      <c r="M81" s="39">
        <v>31.0</v>
      </c>
      <c r="N81" s="40">
        <v>46149.0</v>
      </c>
      <c r="O81" s="42" t="b">
        <v>1</v>
      </c>
      <c r="P81" s="44">
        <v>46148.0</v>
      </c>
      <c r="Q81" s="34"/>
      <c r="R81" s="34"/>
      <c r="S81" s="34"/>
      <c r="T81" s="34"/>
    </row>
    <row r="82" ht="15.75" customHeight="1">
      <c r="B82" s="33">
        <v>46148.0</v>
      </c>
      <c r="C82" s="35">
        <v>15034.0</v>
      </c>
      <c r="D82" s="35">
        <v>20.0</v>
      </c>
      <c r="E82" s="37">
        <v>79.9</v>
      </c>
      <c r="F82" s="38">
        <f t="shared" si="1"/>
        <v>1598</v>
      </c>
      <c r="G82" s="35" t="s">
        <v>569</v>
      </c>
      <c r="H82" s="35" t="s">
        <v>571</v>
      </c>
      <c r="I82" s="35" t="s">
        <v>41</v>
      </c>
      <c r="J82" s="35" t="s">
        <v>34</v>
      </c>
      <c r="K82" s="35" t="s">
        <v>35</v>
      </c>
      <c r="L82" s="35" t="s">
        <v>96</v>
      </c>
      <c r="M82" s="39">
        <v>31.0</v>
      </c>
      <c r="N82" s="40">
        <v>46149.0</v>
      </c>
      <c r="O82" s="42" t="b">
        <v>1</v>
      </c>
      <c r="P82" s="44">
        <v>46148.0</v>
      </c>
      <c r="Q82" s="34"/>
      <c r="R82" s="34"/>
      <c r="S82" s="34"/>
      <c r="T82" s="35"/>
    </row>
    <row r="83" ht="15.75" customHeight="1">
      <c r="B83" s="33">
        <v>46148.0</v>
      </c>
      <c r="C83" s="35">
        <v>15034.0</v>
      </c>
      <c r="D83" s="35">
        <v>10.0</v>
      </c>
      <c r="E83" s="37">
        <v>79.9</v>
      </c>
      <c r="F83" s="38">
        <f t="shared" si="1"/>
        <v>799</v>
      </c>
      <c r="G83" s="35" t="s">
        <v>574</v>
      </c>
      <c r="H83" s="35" t="s">
        <v>576</v>
      </c>
      <c r="I83" s="35" t="s">
        <v>41</v>
      </c>
      <c r="J83" s="35" t="s">
        <v>34</v>
      </c>
      <c r="K83" s="35" t="s">
        <v>35</v>
      </c>
      <c r="L83" s="35" t="s">
        <v>96</v>
      </c>
      <c r="M83" s="39">
        <v>31.0</v>
      </c>
      <c r="N83" s="40">
        <v>46149.0</v>
      </c>
      <c r="O83" s="42" t="b">
        <v>1</v>
      </c>
      <c r="P83" s="44">
        <v>46148.0</v>
      </c>
      <c r="Q83" s="34"/>
      <c r="R83" s="34"/>
      <c r="S83" s="34"/>
      <c r="T83" s="34"/>
    </row>
    <row r="84" ht="15.75" customHeight="1">
      <c r="B84" s="33">
        <v>46148.0</v>
      </c>
      <c r="C84" s="35">
        <v>15034.0</v>
      </c>
      <c r="D84" s="35">
        <v>2.0</v>
      </c>
      <c r="E84" s="37">
        <v>349.9</v>
      </c>
      <c r="F84" s="38">
        <f t="shared" si="1"/>
        <v>699.8</v>
      </c>
      <c r="G84" s="35" t="s">
        <v>420</v>
      </c>
      <c r="H84" s="35" t="s">
        <v>190</v>
      </c>
      <c r="I84" s="35" t="s">
        <v>41</v>
      </c>
      <c r="J84" s="35" t="s">
        <v>34</v>
      </c>
      <c r="K84" s="35" t="s">
        <v>35</v>
      </c>
      <c r="L84" s="35" t="s">
        <v>96</v>
      </c>
      <c r="M84" s="39">
        <v>31.0</v>
      </c>
      <c r="N84" s="44">
        <v>46149.0</v>
      </c>
      <c r="O84" s="42" t="b">
        <v>1</v>
      </c>
      <c r="P84" s="44">
        <v>46148.0</v>
      </c>
      <c r="Q84" s="33">
        <v>46150.0</v>
      </c>
      <c r="R84" s="34"/>
      <c r="S84" s="34"/>
      <c r="T84" s="34"/>
    </row>
    <row r="85" ht="15.75" customHeight="1">
      <c r="B85" s="33">
        <v>46148.0</v>
      </c>
      <c r="C85" s="46" t="s">
        <v>582</v>
      </c>
      <c r="D85" s="35">
        <v>50.0</v>
      </c>
      <c r="E85" s="37">
        <v>360.0</v>
      </c>
      <c r="F85" s="38">
        <f t="shared" si="1"/>
        <v>18000</v>
      </c>
      <c r="G85" s="35" t="s">
        <v>586</v>
      </c>
      <c r="H85" s="35" t="s">
        <v>587</v>
      </c>
      <c r="I85" s="35" t="s">
        <v>41</v>
      </c>
      <c r="J85" s="35" t="s">
        <v>40</v>
      </c>
      <c r="K85" s="35" t="s">
        <v>35</v>
      </c>
      <c r="L85" s="35" t="s">
        <v>87</v>
      </c>
      <c r="M85" s="39">
        <v>31.0</v>
      </c>
      <c r="N85" s="40">
        <v>46149.0</v>
      </c>
      <c r="O85" s="42" t="b">
        <v>1</v>
      </c>
      <c r="P85" s="44">
        <v>46149.0</v>
      </c>
      <c r="Q85" s="34"/>
      <c r="R85" s="34"/>
      <c r="S85" s="34"/>
      <c r="T85" s="34"/>
    </row>
    <row r="86" ht="15.75" customHeight="1">
      <c r="B86" s="33">
        <v>46148.0</v>
      </c>
      <c r="C86" s="46" t="s">
        <v>582</v>
      </c>
      <c r="D86" s="35">
        <v>50.0</v>
      </c>
      <c r="E86" s="37">
        <v>90.0</v>
      </c>
      <c r="F86" s="38">
        <f t="shared" si="1"/>
        <v>4500</v>
      </c>
      <c r="G86" s="35" t="s">
        <v>592</v>
      </c>
      <c r="H86" s="35" t="s">
        <v>593</v>
      </c>
      <c r="I86" s="35" t="s">
        <v>41</v>
      </c>
      <c r="J86" s="35" t="s">
        <v>40</v>
      </c>
      <c r="K86" s="35" t="s">
        <v>35</v>
      </c>
      <c r="L86" s="35" t="s">
        <v>87</v>
      </c>
      <c r="M86" s="39">
        <v>31.0</v>
      </c>
      <c r="N86" s="44">
        <v>46149.0</v>
      </c>
      <c r="O86" s="42" t="b">
        <v>1</v>
      </c>
      <c r="P86" s="44">
        <v>46149.0</v>
      </c>
      <c r="Q86" s="34"/>
      <c r="R86" s="34"/>
      <c r="S86" s="34"/>
      <c r="T86" s="34"/>
    </row>
    <row r="87" ht="15.75" customHeight="1">
      <c r="B87" s="33">
        <v>46148.0</v>
      </c>
      <c r="C87" s="46" t="s">
        <v>582</v>
      </c>
      <c r="D87" s="35">
        <v>50.0</v>
      </c>
      <c r="E87" s="37">
        <v>162.0</v>
      </c>
      <c r="F87" s="38">
        <f t="shared" si="1"/>
        <v>8100</v>
      </c>
      <c r="G87" s="35" t="s">
        <v>599</v>
      </c>
      <c r="H87" s="35" t="s">
        <v>600</v>
      </c>
      <c r="I87" s="35" t="s">
        <v>41</v>
      </c>
      <c r="J87" s="35" t="s">
        <v>40</v>
      </c>
      <c r="K87" s="35" t="s">
        <v>35</v>
      </c>
      <c r="L87" s="35" t="s">
        <v>87</v>
      </c>
      <c r="M87" s="39">
        <v>31.0</v>
      </c>
      <c r="N87" s="40">
        <v>46149.0</v>
      </c>
      <c r="O87" s="42" t="b">
        <v>1</v>
      </c>
      <c r="P87" s="44">
        <v>46149.0</v>
      </c>
      <c r="Q87" s="34"/>
      <c r="R87" s="34"/>
      <c r="S87" s="34"/>
      <c r="T87" s="34"/>
    </row>
    <row r="88" ht="15.75" customHeight="1">
      <c r="B88" s="33">
        <v>46148.0</v>
      </c>
      <c r="C88" s="46" t="s">
        <v>606</v>
      </c>
      <c r="D88" s="35">
        <v>100.0</v>
      </c>
      <c r="E88" s="37">
        <v>310.0</v>
      </c>
      <c r="F88" s="38">
        <f t="shared" si="1"/>
        <v>31000</v>
      </c>
      <c r="G88" s="35" t="s">
        <v>607</v>
      </c>
      <c r="H88" s="35" t="s">
        <v>506</v>
      </c>
      <c r="I88" s="35" t="s">
        <v>41</v>
      </c>
      <c r="J88" s="35" t="s">
        <v>40</v>
      </c>
      <c r="K88" s="35" t="s">
        <v>35</v>
      </c>
      <c r="L88" s="35" t="s">
        <v>87</v>
      </c>
      <c r="M88" s="39">
        <v>31.0</v>
      </c>
      <c r="N88" s="40">
        <v>46150.0</v>
      </c>
      <c r="O88" s="42" t="b">
        <v>1</v>
      </c>
      <c r="P88" s="44">
        <v>46150.0</v>
      </c>
      <c r="Q88" s="34"/>
      <c r="R88" s="34"/>
      <c r="S88" s="34"/>
      <c r="T88" s="34"/>
    </row>
    <row r="89" ht="15.0" customHeight="1">
      <c r="B89" s="33">
        <v>46148.0</v>
      </c>
      <c r="C89" s="46" t="s">
        <v>614</v>
      </c>
      <c r="D89" s="35">
        <v>1.0</v>
      </c>
      <c r="E89" s="37">
        <v>32.4</v>
      </c>
      <c r="F89" s="38">
        <f t="shared" si="1"/>
        <v>32.4</v>
      </c>
      <c r="G89" s="35" t="s">
        <v>615</v>
      </c>
      <c r="H89" s="35" t="s">
        <v>616</v>
      </c>
      <c r="I89" s="35" t="s">
        <v>157</v>
      </c>
      <c r="J89" s="35" t="s">
        <v>183</v>
      </c>
      <c r="K89" s="35" t="s">
        <v>35</v>
      </c>
      <c r="L89" s="35" t="s">
        <v>241</v>
      </c>
      <c r="M89" s="39">
        <v>1.0</v>
      </c>
      <c r="N89" s="44">
        <v>46148.0</v>
      </c>
      <c r="O89" s="42" t="b">
        <v>1</v>
      </c>
      <c r="P89" s="44">
        <v>46153.0</v>
      </c>
      <c r="Q89" s="34"/>
      <c r="R89" s="34"/>
      <c r="S89" s="34"/>
      <c r="T89" s="35"/>
    </row>
    <row r="90" ht="15.75" customHeight="1">
      <c r="B90" s="33">
        <v>46148.0</v>
      </c>
      <c r="C90" s="46" t="s">
        <v>614</v>
      </c>
      <c r="D90" s="35">
        <v>19.0</v>
      </c>
      <c r="E90" s="37">
        <v>32.4</v>
      </c>
      <c r="F90" s="38">
        <f t="shared" si="1"/>
        <v>615.6</v>
      </c>
      <c r="G90" s="35" t="s">
        <v>615</v>
      </c>
      <c r="H90" s="35" t="s">
        <v>616</v>
      </c>
      <c r="I90" s="35" t="s">
        <v>157</v>
      </c>
      <c r="J90" s="35" t="s">
        <v>40</v>
      </c>
      <c r="K90" s="35" t="s">
        <v>35</v>
      </c>
      <c r="L90" s="35" t="s">
        <v>241</v>
      </c>
      <c r="M90" s="39">
        <v>1.0</v>
      </c>
      <c r="N90" s="44">
        <v>46148.0</v>
      </c>
      <c r="O90" s="42" t="b">
        <v>1</v>
      </c>
      <c r="P90" s="44">
        <v>46153.0</v>
      </c>
      <c r="Q90" s="34"/>
      <c r="R90" s="34"/>
      <c r="S90" s="34"/>
      <c r="T90" s="35"/>
    </row>
    <row r="91" ht="15.75" customHeight="1">
      <c r="B91" s="33">
        <v>46148.0</v>
      </c>
      <c r="C91" s="46" t="s">
        <v>614</v>
      </c>
      <c r="D91" s="35">
        <v>10.0</v>
      </c>
      <c r="E91" s="37">
        <v>32.4</v>
      </c>
      <c r="F91" s="38">
        <f t="shared" si="1"/>
        <v>324</v>
      </c>
      <c r="G91" s="35" t="s">
        <v>615</v>
      </c>
      <c r="H91" s="35" t="s">
        <v>616</v>
      </c>
      <c r="I91" s="35" t="s">
        <v>41</v>
      </c>
      <c r="J91" s="35" t="s">
        <v>34</v>
      </c>
      <c r="K91" s="35" t="s">
        <v>35</v>
      </c>
      <c r="L91" s="35" t="s">
        <v>241</v>
      </c>
      <c r="M91" s="39">
        <v>1.0</v>
      </c>
      <c r="N91" s="40">
        <v>46148.0</v>
      </c>
      <c r="O91" s="42" t="b">
        <v>1</v>
      </c>
      <c r="P91" s="44">
        <v>46153.0</v>
      </c>
      <c r="Q91" s="34"/>
      <c r="R91" s="34"/>
      <c r="S91" s="34"/>
      <c r="T91" s="34"/>
    </row>
    <row r="92" ht="15.75" customHeight="1">
      <c r="B92" s="33">
        <v>46148.0</v>
      </c>
      <c r="C92" s="46" t="s">
        <v>614</v>
      </c>
      <c r="D92" s="35">
        <v>5.0</v>
      </c>
      <c r="E92" s="37">
        <v>54.0</v>
      </c>
      <c r="F92" s="38">
        <f t="shared" si="1"/>
        <v>270</v>
      </c>
      <c r="G92" s="35" t="s">
        <v>615</v>
      </c>
      <c r="H92" s="35" t="s">
        <v>627</v>
      </c>
      <c r="I92" s="35" t="s">
        <v>41</v>
      </c>
      <c r="J92" s="35" t="s">
        <v>34</v>
      </c>
      <c r="K92" s="35" t="s">
        <v>35</v>
      </c>
      <c r="L92" s="35" t="s">
        <v>241</v>
      </c>
      <c r="M92" s="39">
        <v>1.0</v>
      </c>
      <c r="N92" s="40">
        <v>46148.0</v>
      </c>
      <c r="O92" s="42" t="b">
        <v>1</v>
      </c>
      <c r="P92" s="44">
        <v>46153.0</v>
      </c>
      <c r="Q92" s="34"/>
      <c r="R92" s="34"/>
      <c r="S92" s="34"/>
      <c r="T92" s="34"/>
    </row>
    <row r="93" ht="15.75" customHeight="1">
      <c r="B93" s="33">
        <v>46148.0</v>
      </c>
      <c r="C93" s="46" t="s">
        <v>614</v>
      </c>
      <c r="D93" s="35">
        <v>25.0</v>
      </c>
      <c r="E93" s="37">
        <v>54.0</v>
      </c>
      <c r="F93" s="38">
        <f t="shared" si="1"/>
        <v>1350</v>
      </c>
      <c r="G93" s="35" t="s">
        <v>615</v>
      </c>
      <c r="H93" s="35" t="s">
        <v>627</v>
      </c>
      <c r="I93" s="35" t="s">
        <v>41</v>
      </c>
      <c r="J93" s="35" t="s">
        <v>40</v>
      </c>
      <c r="K93" s="35" t="s">
        <v>35</v>
      </c>
      <c r="L93" s="35" t="s">
        <v>241</v>
      </c>
      <c r="M93" s="39">
        <v>1.0</v>
      </c>
      <c r="N93" s="40">
        <v>46148.0</v>
      </c>
      <c r="O93" s="42" t="b">
        <v>1</v>
      </c>
      <c r="P93" s="44">
        <v>46153.0</v>
      </c>
      <c r="Q93" s="34"/>
      <c r="R93" s="34"/>
      <c r="S93" s="34"/>
      <c r="T93" s="34"/>
    </row>
    <row r="94" ht="15.75" customHeight="1">
      <c r="B94" s="33">
        <v>46148.0</v>
      </c>
      <c r="C94" s="46" t="s">
        <v>614</v>
      </c>
      <c r="D94" s="35">
        <v>20.0</v>
      </c>
      <c r="E94" s="37">
        <v>54.0</v>
      </c>
      <c r="F94" s="38">
        <f t="shared" si="1"/>
        <v>1080</v>
      </c>
      <c r="G94" s="35" t="s">
        <v>615</v>
      </c>
      <c r="H94" s="35" t="s">
        <v>646</v>
      </c>
      <c r="I94" s="35" t="s">
        <v>41</v>
      </c>
      <c r="J94" s="35" t="s">
        <v>40</v>
      </c>
      <c r="K94" s="35" t="s">
        <v>35</v>
      </c>
      <c r="L94" s="35" t="s">
        <v>241</v>
      </c>
      <c r="M94" s="39">
        <v>1.0</v>
      </c>
      <c r="N94" s="40">
        <v>46148.0</v>
      </c>
      <c r="O94" s="42" t="b">
        <v>1</v>
      </c>
      <c r="P94" s="44">
        <v>46153.0</v>
      </c>
      <c r="Q94" s="34"/>
      <c r="R94" s="34"/>
      <c r="S94" s="34"/>
      <c r="T94" s="34"/>
    </row>
    <row r="95" ht="15.75" customHeight="1">
      <c r="B95" s="33">
        <v>46148.0</v>
      </c>
      <c r="C95" s="46" t="s">
        <v>614</v>
      </c>
      <c r="D95" s="35">
        <v>10.0</v>
      </c>
      <c r="E95" s="37">
        <v>54.0</v>
      </c>
      <c r="F95" s="38">
        <f t="shared" si="1"/>
        <v>540</v>
      </c>
      <c r="G95" s="35" t="s">
        <v>615</v>
      </c>
      <c r="H95" s="35" t="s">
        <v>646</v>
      </c>
      <c r="I95" s="35" t="s">
        <v>41</v>
      </c>
      <c r="J95" s="35" t="s">
        <v>34</v>
      </c>
      <c r="K95" s="35" t="s">
        <v>35</v>
      </c>
      <c r="L95" s="35" t="s">
        <v>241</v>
      </c>
      <c r="M95" s="39">
        <v>1.0</v>
      </c>
      <c r="N95" s="40">
        <v>46148.0</v>
      </c>
      <c r="O95" s="42" t="b">
        <v>1</v>
      </c>
      <c r="P95" s="44">
        <v>46153.0</v>
      </c>
      <c r="Q95" s="34"/>
      <c r="R95" s="34"/>
      <c r="S95" s="34"/>
      <c r="T95" s="34"/>
    </row>
    <row r="96" ht="15.75" customHeight="1">
      <c r="B96" s="33">
        <v>46148.0</v>
      </c>
      <c r="C96" s="46" t="s">
        <v>614</v>
      </c>
      <c r="D96" s="35">
        <v>15.0</v>
      </c>
      <c r="E96" s="37">
        <v>43.2</v>
      </c>
      <c r="F96" s="38">
        <f t="shared" si="1"/>
        <v>648</v>
      </c>
      <c r="G96" s="35" t="s">
        <v>615</v>
      </c>
      <c r="H96" s="35" t="s">
        <v>661</v>
      </c>
      <c r="I96" s="35" t="s">
        <v>41</v>
      </c>
      <c r="J96" s="35" t="s">
        <v>40</v>
      </c>
      <c r="K96" s="35" t="s">
        <v>35</v>
      </c>
      <c r="L96" s="35" t="s">
        <v>241</v>
      </c>
      <c r="M96" s="39">
        <v>1.0</v>
      </c>
      <c r="N96" s="40">
        <v>46148.0</v>
      </c>
      <c r="O96" s="42" t="b">
        <v>1</v>
      </c>
      <c r="P96" s="44">
        <v>46153.0</v>
      </c>
      <c r="Q96" s="34"/>
      <c r="R96" s="34"/>
      <c r="S96" s="34"/>
      <c r="T96" s="34"/>
    </row>
    <row r="97" ht="15.75" customHeight="1">
      <c r="B97" s="33">
        <v>46148.0</v>
      </c>
      <c r="C97" s="46" t="s">
        <v>614</v>
      </c>
      <c r="D97" s="35">
        <v>10.0</v>
      </c>
      <c r="E97" s="37">
        <v>43.2</v>
      </c>
      <c r="F97" s="38">
        <f t="shared" si="1"/>
        <v>432</v>
      </c>
      <c r="G97" s="35" t="s">
        <v>615</v>
      </c>
      <c r="H97" s="35" t="s">
        <v>661</v>
      </c>
      <c r="I97" s="35" t="s">
        <v>41</v>
      </c>
      <c r="J97" s="35" t="s">
        <v>34</v>
      </c>
      <c r="K97" s="35" t="s">
        <v>35</v>
      </c>
      <c r="L97" s="35" t="s">
        <v>241</v>
      </c>
      <c r="M97" s="39">
        <v>1.0</v>
      </c>
      <c r="N97" s="40">
        <v>46148.0</v>
      </c>
      <c r="O97" s="42" t="b">
        <v>1</v>
      </c>
      <c r="P97" s="44">
        <v>46153.0</v>
      </c>
      <c r="Q97" s="34"/>
      <c r="R97" s="34"/>
      <c r="S97" s="34"/>
      <c r="T97" s="35"/>
    </row>
    <row r="98" ht="15.75" customHeight="1">
      <c r="B98" s="33">
        <v>46148.0</v>
      </c>
      <c r="C98" s="35">
        <v>916832.0</v>
      </c>
      <c r="D98" s="35">
        <v>40.0</v>
      </c>
      <c r="E98" s="37">
        <v>125.66</v>
      </c>
      <c r="F98" s="38">
        <f t="shared" si="1"/>
        <v>5026.4</v>
      </c>
      <c r="G98" s="35" t="s">
        <v>672</v>
      </c>
      <c r="H98" s="35">
        <v>72566.0</v>
      </c>
      <c r="I98" s="35" t="s">
        <v>673</v>
      </c>
      <c r="J98" s="35" t="s">
        <v>175</v>
      </c>
      <c r="K98" s="35" t="s">
        <v>35</v>
      </c>
      <c r="L98" s="35" t="s">
        <v>74</v>
      </c>
      <c r="M98" s="39">
        <v>31.0</v>
      </c>
      <c r="N98" s="40">
        <v>46153.0</v>
      </c>
      <c r="O98" s="42" t="b">
        <v>1</v>
      </c>
      <c r="P98" s="44">
        <v>46153.0</v>
      </c>
      <c r="Q98" s="34"/>
      <c r="R98" s="34"/>
      <c r="S98" s="34"/>
      <c r="T98" s="34"/>
    </row>
    <row r="99" ht="15.75" customHeight="1">
      <c r="B99" s="33">
        <v>46148.0</v>
      </c>
      <c r="C99" s="35">
        <v>10887.0</v>
      </c>
      <c r="D99" s="35">
        <v>100.0</v>
      </c>
      <c r="E99" s="37">
        <v>19.8</v>
      </c>
      <c r="F99" s="38">
        <f t="shared" si="1"/>
        <v>1980</v>
      </c>
      <c r="G99" s="35" t="s">
        <v>679</v>
      </c>
      <c r="H99" s="35" t="s">
        <v>680</v>
      </c>
      <c r="I99" s="35" t="s">
        <v>300</v>
      </c>
      <c r="J99" s="35" t="s">
        <v>34</v>
      </c>
      <c r="K99" s="35" t="s">
        <v>35</v>
      </c>
      <c r="L99" s="35" t="s">
        <v>279</v>
      </c>
      <c r="M99" s="39">
        <v>31.0</v>
      </c>
      <c r="N99" s="40">
        <v>46148.0</v>
      </c>
      <c r="O99" s="42" t="b">
        <v>1</v>
      </c>
      <c r="P99" s="36"/>
      <c r="Q99" s="34"/>
      <c r="R99" s="34"/>
      <c r="S99" s="34"/>
      <c r="T99" s="34"/>
    </row>
    <row r="100" ht="15.75" customHeight="1">
      <c r="B100" s="33">
        <v>46148.0</v>
      </c>
      <c r="C100" s="35">
        <v>916839.0</v>
      </c>
      <c r="D100" s="35">
        <v>1000.0</v>
      </c>
      <c r="E100" s="37">
        <v>71.0</v>
      </c>
      <c r="F100" s="38">
        <f t="shared" si="1"/>
        <v>71000</v>
      </c>
      <c r="G100" s="35" t="s">
        <v>684</v>
      </c>
      <c r="H100" s="35">
        <v>65576.0</v>
      </c>
      <c r="I100" s="35" t="s">
        <v>41</v>
      </c>
      <c r="J100" s="35" t="s">
        <v>40</v>
      </c>
      <c r="K100" s="35" t="s">
        <v>35</v>
      </c>
      <c r="L100" s="35" t="s">
        <v>74</v>
      </c>
      <c r="M100" s="39">
        <v>31.0</v>
      </c>
      <c r="N100" s="40">
        <v>46156.0</v>
      </c>
      <c r="O100" s="42" t="b">
        <v>1</v>
      </c>
      <c r="P100" s="44">
        <v>46156.0</v>
      </c>
      <c r="Q100" s="34"/>
      <c r="R100" s="34"/>
      <c r="S100" s="34"/>
      <c r="T100" s="34"/>
    </row>
    <row r="101" ht="15.75" customHeight="1">
      <c r="B101" s="33">
        <v>46148.0</v>
      </c>
      <c r="C101" s="58">
        <v>788590.0</v>
      </c>
      <c r="D101" s="35">
        <v>500.0</v>
      </c>
      <c r="E101" s="37">
        <v>220.88</v>
      </c>
      <c r="F101" s="38">
        <f t="shared" si="1"/>
        <v>110440</v>
      </c>
      <c r="G101" s="35" t="s">
        <v>691</v>
      </c>
      <c r="H101" s="46" t="s">
        <v>693</v>
      </c>
      <c r="I101" s="35" t="s">
        <v>41</v>
      </c>
      <c r="J101" s="35" t="s">
        <v>34</v>
      </c>
      <c r="K101" s="35" t="s">
        <v>35</v>
      </c>
      <c r="L101" s="35" t="s">
        <v>68</v>
      </c>
      <c r="M101" s="39">
        <v>31.0</v>
      </c>
      <c r="N101" s="44">
        <v>46154.0</v>
      </c>
      <c r="O101" s="42" t="b">
        <v>1</v>
      </c>
      <c r="P101" s="44">
        <v>46157.0</v>
      </c>
      <c r="Q101" s="34"/>
      <c r="R101" s="34"/>
      <c r="S101" s="34"/>
      <c r="T101" s="34"/>
    </row>
    <row r="102" ht="15.75" customHeight="1">
      <c r="B102" s="33">
        <v>46148.0</v>
      </c>
      <c r="C102" s="58">
        <v>788590.0</v>
      </c>
      <c r="D102" s="35">
        <v>1000.0</v>
      </c>
      <c r="E102" s="37">
        <v>99.0</v>
      </c>
      <c r="F102" s="38">
        <f t="shared" si="1"/>
        <v>99000</v>
      </c>
      <c r="G102" s="35" t="s">
        <v>697</v>
      </c>
      <c r="H102" s="46" t="s">
        <v>699</v>
      </c>
      <c r="I102" s="35" t="s">
        <v>41</v>
      </c>
      <c r="J102" s="35" t="s">
        <v>34</v>
      </c>
      <c r="K102" s="35" t="s">
        <v>35</v>
      </c>
      <c r="L102" s="35" t="s">
        <v>68</v>
      </c>
      <c r="M102" s="39">
        <v>31.0</v>
      </c>
      <c r="N102" s="44">
        <v>46154.0</v>
      </c>
      <c r="O102" s="42" t="b">
        <v>1</v>
      </c>
      <c r="P102" s="36"/>
      <c r="Q102" s="34"/>
      <c r="R102" s="34"/>
      <c r="S102" s="34"/>
      <c r="T102" s="34"/>
    </row>
    <row r="103" ht="15.75" customHeight="1">
      <c r="B103" s="33">
        <v>46148.0</v>
      </c>
      <c r="C103" s="35" t="s">
        <v>35</v>
      </c>
      <c r="D103" s="35">
        <v>100.0</v>
      </c>
      <c r="E103" s="37">
        <v>549.95</v>
      </c>
      <c r="F103" s="38">
        <f t="shared" si="1"/>
        <v>54995</v>
      </c>
      <c r="G103" s="35" t="s">
        <v>706</v>
      </c>
      <c r="H103" s="35" t="s">
        <v>709</v>
      </c>
      <c r="I103" s="35" t="s">
        <v>59</v>
      </c>
      <c r="J103" s="35" t="s">
        <v>34</v>
      </c>
      <c r="K103" s="35" t="s">
        <v>35</v>
      </c>
      <c r="L103" s="35" t="s">
        <v>711</v>
      </c>
      <c r="M103" s="39">
        <v>31.0</v>
      </c>
      <c r="N103" s="44">
        <v>46150.0</v>
      </c>
      <c r="O103" s="42" t="b">
        <v>1</v>
      </c>
      <c r="P103" s="44">
        <v>46150.0</v>
      </c>
      <c r="Q103" s="34"/>
      <c r="R103" s="34"/>
      <c r="S103" s="34"/>
      <c r="T103" s="34"/>
    </row>
    <row r="104" ht="15.75" customHeight="1">
      <c r="B104" s="33">
        <v>46148.0</v>
      </c>
      <c r="C104" s="35" t="s">
        <v>35</v>
      </c>
      <c r="D104" s="35">
        <v>100.0</v>
      </c>
      <c r="E104" s="37">
        <v>566.44</v>
      </c>
      <c r="F104" s="38">
        <f t="shared" si="1"/>
        <v>56644</v>
      </c>
      <c r="G104" s="35" t="s">
        <v>706</v>
      </c>
      <c r="H104" s="35" t="s">
        <v>709</v>
      </c>
      <c r="I104" s="35" t="s">
        <v>32</v>
      </c>
      <c r="J104" s="35" t="s">
        <v>34</v>
      </c>
      <c r="K104" s="35" t="s">
        <v>35</v>
      </c>
      <c r="L104" s="35" t="s">
        <v>711</v>
      </c>
      <c r="M104" s="39">
        <v>31.0</v>
      </c>
      <c r="N104" s="44">
        <v>46161.0</v>
      </c>
      <c r="O104" s="42" t="b">
        <v>1</v>
      </c>
      <c r="P104" s="44">
        <v>46161.0</v>
      </c>
      <c r="Q104" s="34"/>
      <c r="R104" s="34"/>
      <c r="S104" s="34"/>
      <c r="T104" s="34"/>
    </row>
    <row r="105" ht="15.75" customHeight="1">
      <c r="B105" s="33">
        <v>46148.0</v>
      </c>
      <c r="C105" s="58">
        <v>788987.0</v>
      </c>
      <c r="D105" s="35">
        <v>7.0</v>
      </c>
      <c r="E105" s="37">
        <v>654.19</v>
      </c>
      <c r="F105" s="38">
        <f t="shared" si="1"/>
        <v>4579.33</v>
      </c>
      <c r="G105" s="35" t="s">
        <v>721</v>
      </c>
      <c r="H105" s="35" t="s">
        <v>723</v>
      </c>
      <c r="I105" s="35" t="s">
        <v>77</v>
      </c>
      <c r="J105" s="35" t="s">
        <v>79</v>
      </c>
      <c r="K105" s="35" t="s">
        <v>35</v>
      </c>
      <c r="L105" s="35" t="s">
        <v>68</v>
      </c>
      <c r="M105" s="39">
        <v>31.0</v>
      </c>
      <c r="N105" s="52">
        <v>46156.0</v>
      </c>
      <c r="O105" s="42" t="b">
        <v>1</v>
      </c>
      <c r="P105" s="45"/>
      <c r="Q105" s="34"/>
      <c r="R105" s="34"/>
      <c r="S105" s="34"/>
      <c r="T105" s="34"/>
    </row>
    <row r="106" ht="15.75" customHeight="1">
      <c r="B106" s="33">
        <v>46148.0</v>
      </c>
      <c r="C106" s="58">
        <v>788987.0</v>
      </c>
      <c r="D106" s="35">
        <v>10.0</v>
      </c>
      <c r="E106" s="37">
        <v>1043.53</v>
      </c>
      <c r="F106" s="38">
        <f t="shared" si="1"/>
        <v>10435.3</v>
      </c>
      <c r="G106" s="35" t="s">
        <v>728</v>
      </c>
      <c r="H106" s="35" t="s">
        <v>723</v>
      </c>
      <c r="I106" s="35" t="s">
        <v>77</v>
      </c>
      <c r="J106" s="35" t="s">
        <v>79</v>
      </c>
      <c r="K106" s="35" t="s">
        <v>35</v>
      </c>
      <c r="L106" s="35" t="s">
        <v>68</v>
      </c>
      <c r="M106" s="39">
        <v>31.0</v>
      </c>
      <c r="N106" s="52">
        <v>46156.0</v>
      </c>
      <c r="O106" s="42" t="b">
        <v>1</v>
      </c>
      <c r="P106" s="45"/>
      <c r="Q106" s="34"/>
      <c r="R106" s="34"/>
      <c r="S106" s="34"/>
      <c r="T106" s="34"/>
    </row>
    <row r="107" ht="15.75" customHeight="1">
      <c r="B107" s="33">
        <v>46148.0</v>
      </c>
      <c r="C107" s="58">
        <v>788987.0</v>
      </c>
      <c r="D107" s="35">
        <v>40.0</v>
      </c>
      <c r="E107" s="37">
        <v>276.1168</v>
      </c>
      <c r="F107" s="38">
        <f t="shared" si="1"/>
        <v>11044.672</v>
      </c>
      <c r="G107" s="35" t="s">
        <v>730</v>
      </c>
      <c r="H107" s="35" t="s">
        <v>580</v>
      </c>
      <c r="I107" s="35" t="s">
        <v>77</v>
      </c>
      <c r="J107" s="35" t="s">
        <v>79</v>
      </c>
      <c r="K107" s="35" t="s">
        <v>35</v>
      </c>
      <c r="L107" s="35" t="s">
        <v>68</v>
      </c>
      <c r="M107" s="39">
        <v>31.0</v>
      </c>
      <c r="N107" s="52">
        <v>46156.0</v>
      </c>
      <c r="O107" s="42" t="b">
        <v>1</v>
      </c>
      <c r="P107" s="45"/>
      <c r="Q107" s="34"/>
      <c r="R107" s="34"/>
      <c r="S107" s="34"/>
      <c r="T107" s="34"/>
    </row>
    <row r="108" ht="15.75" customHeight="1">
      <c r="B108" s="33">
        <v>46149.0</v>
      </c>
      <c r="C108" s="35">
        <v>1025.0</v>
      </c>
      <c r="D108" s="35">
        <v>40.0</v>
      </c>
      <c r="E108" s="37">
        <v>115.0</v>
      </c>
      <c r="F108" s="38">
        <f t="shared" si="1"/>
        <v>4600</v>
      </c>
      <c r="G108" s="35" t="s">
        <v>481</v>
      </c>
      <c r="H108" s="35" t="s">
        <v>128</v>
      </c>
      <c r="I108" s="35" t="s">
        <v>59</v>
      </c>
      <c r="J108" s="35" t="s">
        <v>34</v>
      </c>
      <c r="K108" s="35" t="s">
        <v>35</v>
      </c>
      <c r="L108" s="35" t="s">
        <v>132</v>
      </c>
      <c r="M108" s="39">
        <v>31.0</v>
      </c>
      <c r="N108" s="40">
        <v>46149.0</v>
      </c>
      <c r="O108" s="42" t="b">
        <v>1</v>
      </c>
      <c r="P108" s="44">
        <v>46149.0</v>
      </c>
      <c r="Q108" s="34"/>
      <c r="R108" s="34"/>
      <c r="S108" s="34"/>
      <c r="T108" s="34"/>
    </row>
    <row r="109" ht="15.75" customHeight="1">
      <c r="B109" s="33">
        <v>46149.0</v>
      </c>
      <c r="C109" s="46" t="s">
        <v>738</v>
      </c>
      <c r="D109" s="35">
        <v>20.0</v>
      </c>
      <c r="E109" s="37">
        <v>189.0</v>
      </c>
      <c r="F109" s="38">
        <f t="shared" si="1"/>
        <v>3780</v>
      </c>
      <c r="G109" s="35" t="s">
        <v>742</v>
      </c>
      <c r="H109" s="35" t="s">
        <v>745</v>
      </c>
      <c r="I109" s="35" t="s">
        <v>59</v>
      </c>
      <c r="J109" s="35" t="s">
        <v>34</v>
      </c>
      <c r="K109" s="35" t="s">
        <v>35</v>
      </c>
      <c r="L109" s="35" t="s">
        <v>87</v>
      </c>
      <c r="M109" s="39">
        <v>31.0</v>
      </c>
      <c r="N109" s="40">
        <v>46153.0</v>
      </c>
      <c r="O109" s="42" t="b">
        <v>1</v>
      </c>
      <c r="P109" s="44">
        <v>46150.0</v>
      </c>
      <c r="Q109" s="34"/>
      <c r="R109" s="34"/>
      <c r="S109" s="34"/>
      <c r="T109" s="34"/>
    </row>
    <row r="110" ht="15.75" customHeight="1">
      <c r="B110" s="44">
        <v>46149.0</v>
      </c>
      <c r="C110" s="35">
        <v>15279.0</v>
      </c>
      <c r="D110" s="35">
        <v>20.0</v>
      </c>
      <c r="E110" s="37">
        <v>379.9</v>
      </c>
      <c r="F110" s="38">
        <f t="shared" si="1"/>
        <v>7598</v>
      </c>
      <c r="G110" s="35" t="s">
        <v>528</v>
      </c>
      <c r="H110" s="35" t="s">
        <v>530</v>
      </c>
      <c r="I110" s="35" t="s">
        <v>174</v>
      </c>
      <c r="J110" s="35" t="s">
        <v>175</v>
      </c>
      <c r="K110" s="35" t="s">
        <v>35</v>
      </c>
      <c r="L110" s="35" t="s">
        <v>96</v>
      </c>
      <c r="M110" s="39">
        <v>31.0</v>
      </c>
      <c r="N110" s="40">
        <v>46150.0</v>
      </c>
      <c r="O110" s="42" t="b">
        <v>1</v>
      </c>
      <c r="P110" s="44">
        <v>46153.0</v>
      </c>
      <c r="Q110" s="34"/>
      <c r="R110" s="34"/>
      <c r="S110" s="34"/>
      <c r="T110" s="34"/>
    </row>
    <row r="111" ht="15.75" customHeight="1">
      <c r="B111" s="44">
        <v>46149.0</v>
      </c>
      <c r="C111" s="35">
        <v>15279.0</v>
      </c>
      <c r="D111" s="35">
        <v>20.0</v>
      </c>
      <c r="E111" s="37">
        <v>0.0</v>
      </c>
      <c r="F111" s="38">
        <f t="shared" si="1"/>
        <v>0</v>
      </c>
      <c r="G111" s="35" t="s">
        <v>535</v>
      </c>
      <c r="H111" s="35" t="s">
        <v>172</v>
      </c>
      <c r="I111" s="35" t="s">
        <v>174</v>
      </c>
      <c r="J111" s="35" t="s">
        <v>175</v>
      </c>
      <c r="K111" s="35" t="s">
        <v>35</v>
      </c>
      <c r="L111" s="35" t="s">
        <v>96</v>
      </c>
      <c r="M111" s="39">
        <v>31.0</v>
      </c>
      <c r="N111" s="40">
        <v>46150.0</v>
      </c>
      <c r="O111" s="42" t="b">
        <v>1</v>
      </c>
      <c r="P111" s="44">
        <v>46153.0</v>
      </c>
      <c r="Q111" s="34"/>
      <c r="R111" s="34"/>
      <c r="S111" s="34"/>
      <c r="T111" s="34"/>
    </row>
    <row r="112" ht="15.75" customHeight="1">
      <c r="B112" s="33">
        <v>46149.0</v>
      </c>
      <c r="C112" s="46" t="s">
        <v>761</v>
      </c>
      <c r="D112" s="35">
        <v>500.0</v>
      </c>
      <c r="E112" s="37">
        <v>6.0</v>
      </c>
      <c r="F112" s="38">
        <f t="shared" si="1"/>
        <v>3000</v>
      </c>
      <c r="G112" s="35" t="s">
        <v>764</v>
      </c>
      <c r="H112" s="35" t="s">
        <v>765</v>
      </c>
      <c r="I112" s="35" t="s">
        <v>32</v>
      </c>
      <c r="J112" s="35" t="s">
        <v>34</v>
      </c>
      <c r="K112" s="35" t="s">
        <v>35</v>
      </c>
      <c r="L112" s="35" t="s">
        <v>160</v>
      </c>
      <c r="M112" s="39">
        <v>1.0</v>
      </c>
      <c r="N112" s="44">
        <v>46150.0</v>
      </c>
      <c r="O112" s="42" t="b">
        <v>1</v>
      </c>
      <c r="P112" s="44">
        <v>46153.0</v>
      </c>
      <c r="Q112" s="34"/>
      <c r="R112" s="34"/>
      <c r="S112" s="34"/>
      <c r="T112" s="34"/>
    </row>
    <row r="113" ht="15.75" customHeight="1">
      <c r="B113" s="33">
        <v>46149.0</v>
      </c>
      <c r="C113" s="35">
        <v>917019.0</v>
      </c>
      <c r="D113" s="35">
        <v>500.0</v>
      </c>
      <c r="E113" s="37">
        <v>149.9</v>
      </c>
      <c r="F113" s="38">
        <f t="shared" si="1"/>
        <v>74950</v>
      </c>
      <c r="G113" s="35" t="s">
        <v>772</v>
      </c>
      <c r="H113" s="35">
        <v>61152.0</v>
      </c>
      <c r="I113" s="35" t="s">
        <v>41</v>
      </c>
      <c r="J113" s="35" t="s">
        <v>40</v>
      </c>
      <c r="K113" s="35" t="s">
        <v>35</v>
      </c>
      <c r="L113" s="35" t="s">
        <v>74</v>
      </c>
      <c r="M113" s="39">
        <v>31.0</v>
      </c>
      <c r="N113" s="44">
        <v>46156.0</v>
      </c>
      <c r="O113" s="42" t="b">
        <v>1</v>
      </c>
      <c r="P113" s="44">
        <v>46161.0</v>
      </c>
      <c r="Q113" s="34"/>
      <c r="R113" s="34"/>
      <c r="S113" s="34"/>
      <c r="T113" s="34"/>
    </row>
    <row r="114" ht="15.75" customHeight="1">
      <c r="B114" s="33">
        <v>46149.0</v>
      </c>
      <c r="C114" s="35">
        <v>917019.0</v>
      </c>
      <c r="D114" s="35">
        <v>500.0</v>
      </c>
      <c r="E114" s="37">
        <v>149.9</v>
      </c>
      <c r="F114" s="38">
        <f t="shared" si="1"/>
        <v>74950</v>
      </c>
      <c r="G114" s="35" t="s">
        <v>778</v>
      </c>
      <c r="H114" s="35">
        <v>61857.0</v>
      </c>
      <c r="I114" s="35" t="s">
        <v>41</v>
      </c>
      <c r="J114" s="35" t="s">
        <v>40</v>
      </c>
      <c r="K114" s="35" t="s">
        <v>35</v>
      </c>
      <c r="L114" s="35" t="s">
        <v>74</v>
      </c>
      <c r="M114" s="39">
        <v>31.0</v>
      </c>
      <c r="N114" s="44">
        <v>46156.0</v>
      </c>
      <c r="O114" s="42" t="b">
        <v>1</v>
      </c>
      <c r="P114" s="44">
        <v>46161.0</v>
      </c>
      <c r="Q114" s="34"/>
      <c r="R114" s="34"/>
      <c r="S114" s="34"/>
      <c r="T114" s="34"/>
    </row>
    <row r="115" ht="15.75" customHeight="1">
      <c r="B115" s="33">
        <v>46149.0</v>
      </c>
      <c r="C115" s="58">
        <v>3637.0</v>
      </c>
      <c r="D115" s="35">
        <v>1.0</v>
      </c>
      <c r="E115" s="37">
        <v>335.81</v>
      </c>
      <c r="F115" s="38">
        <f t="shared" si="1"/>
        <v>335.81</v>
      </c>
      <c r="G115" s="35" t="s">
        <v>784</v>
      </c>
      <c r="H115" s="35" t="s">
        <v>785</v>
      </c>
      <c r="I115" s="35" t="s">
        <v>174</v>
      </c>
      <c r="J115" s="35" t="s">
        <v>175</v>
      </c>
      <c r="K115" s="35" t="s">
        <v>35</v>
      </c>
      <c r="L115" s="35" t="s">
        <v>787</v>
      </c>
      <c r="M115" s="39">
        <v>1.0</v>
      </c>
      <c r="N115" s="40">
        <v>46153.0</v>
      </c>
      <c r="O115" s="42" t="b">
        <v>1</v>
      </c>
      <c r="P115" s="44">
        <v>46153.0</v>
      </c>
      <c r="Q115" s="34"/>
      <c r="R115" s="34"/>
      <c r="S115" s="34"/>
      <c r="T115" s="34"/>
    </row>
    <row r="116" ht="15.75" customHeight="1">
      <c r="B116" s="33">
        <v>46149.0</v>
      </c>
      <c r="C116" s="58">
        <v>3635.0</v>
      </c>
      <c r="D116" s="35">
        <v>2.0</v>
      </c>
      <c r="E116" s="37">
        <v>335.81</v>
      </c>
      <c r="F116" s="38">
        <f t="shared" si="1"/>
        <v>671.62</v>
      </c>
      <c r="G116" s="35" t="s">
        <v>784</v>
      </c>
      <c r="H116" s="35" t="s">
        <v>785</v>
      </c>
      <c r="I116" s="35" t="s">
        <v>174</v>
      </c>
      <c r="J116" s="35" t="s">
        <v>175</v>
      </c>
      <c r="K116" s="35" t="s">
        <v>35</v>
      </c>
      <c r="L116" s="35" t="s">
        <v>787</v>
      </c>
      <c r="M116" s="39">
        <v>1.0</v>
      </c>
      <c r="N116" s="40">
        <v>46153.0</v>
      </c>
      <c r="O116" s="42" t="b">
        <v>1</v>
      </c>
      <c r="P116" s="44">
        <v>46153.0</v>
      </c>
      <c r="Q116" s="34"/>
      <c r="R116" s="34"/>
      <c r="S116" s="34"/>
      <c r="T116" s="34"/>
    </row>
    <row r="117" ht="15.75" customHeight="1">
      <c r="B117" s="33">
        <v>46149.0</v>
      </c>
      <c r="C117" s="58">
        <v>30977.0</v>
      </c>
      <c r="D117" s="35">
        <v>2.0</v>
      </c>
      <c r="E117" s="37">
        <v>23.64</v>
      </c>
      <c r="F117" s="38">
        <f t="shared" si="1"/>
        <v>47.28</v>
      </c>
      <c r="G117" s="35" t="s">
        <v>793</v>
      </c>
      <c r="H117" s="35" t="s">
        <v>795</v>
      </c>
      <c r="I117" s="35" t="s">
        <v>174</v>
      </c>
      <c r="J117" s="35" t="s">
        <v>175</v>
      </c>
      <c r="K117" s="35" t="s">
        <v>35</v>
      </c>
      <c r="L117" s="35" t="s">
        <v>798</v>
      </c>
      <c r="M117" s="39">
        <v>1.0</v>
      </c>
      <c r="N117" s="40">
        <v>46153.0</v>
      </c>
      <c r="O117" s="42" t="b">
        <v>1</v>
      </c>
      <c r="P117" s="44">
        <v>46153.0</v>
      </c>
      <c r="Q117" s="34"/>
      <c r="R117" s="34"/>
      <c r="S117" s="34"/>
      <c r="T117" s="34"/>
    </row>
    <row r="118" ht="15.75" customHeight="1">
      <c r="B118" s="33">
        <v>46149.0</v>
      </c>
      <c r="C118" s="58">
        <v>326614.0</v>
      </c>
      <c r="D118" s="35">
        <v>1.0</v>
      </c>
      <c r="E118" s="37">
        <v>3516.5</v>
      </c>
      <c r="F118" s="38">
        <f t="shared" si="1"/>
        <v>3516.5</v>
      </c>
      <c r="G118" s="35" t="s">
        <v>805</v>
      </c>
      <c r="H118" s="35" t="s">
        <v>807</v>
      </c>
      <c r="I118" s="35" t="s">
        <v>174</v>
      </c>
      <c r="J118" s="35" t="s">
        <v>175</v>
      </c>
      <c r="K118" s="35" t="s">
        <v>35</v>
      </c>
      <c r="L118" s="35" t="s">
        <v>808</v>
      </c>
      <c r="M118" s="39">
        <v>1.0</v>
      </c>
      <c r="N118" s="40">
        <v>46154.0</v>
      </c>
      <c r="O118" s="42" t="b">
        <v>1</v>
      </c>
      <c r="P118" s="44">
        <v>46154.0</v>
      </c>
      <c r="Q118" s="34"/>
      <c r="R118" s="34"/>
      <c r="S118" s="34"/>
      <c r="T118" s="34"/>
    </row>
    <row r="119" ht="15.75" customHeight="1">
      <c r="B119" s="33">
        <v>46149.0</v>
      </c>
      <c r="C119" s="58">
        <v>326614.0</v>
      </c>
      <c r="D119" s="35">
        <v>1.0</v>
      </c>
      <c r="E119" s="37">
        <v>3516.5</v>
      </c>
      <c r="F119" s="38">
        <f t="shared" si="1"/>
        <v>3516.5</v>
      </c>
      <c r="G119" s="35" t="s">
        <v>805</v>
      </c>
      <c r="H119" s="35" t="s">
        <v>807</v>
      </c>
      <c r="I119" s="35" t="s">
        <v>174</v>
      </c>
      <c r="J119" s="35" t="s">
        <v>175</v>
      </c>
      <c r="K119" s="35" t="s">
        <v>35</v>
      </c>
      <c r="L119" s="35" t="s">
        <v>808</v>
      </c>
      <c r="M119" s="39">
        <v>1.0</v>
      </c>
      <c r="N119" s="44">
        <v>46154.0</v>
      </c>
      <c r="O119" s="42" t="b">
        <v>1</v>
      </c>
      <c r="P119" s="44">
        <v>46154.0</v>
      </c>
      <c r="Q119" s="34"/>
      <c r="R119" s="34"/>
      <c r="S119" s="34"/>
      <c r="T119" s="34"/>
    </row>
    <row r="120" ht="15.75" customHeight="1">
      <c r="B120" s="33">
        <v>46149.0</v>
      </c>
      <c r="C120" s="58">
        <v>326614.0</v>
      </c>
      <c r="D120" s="35">
        <v>1.0</v>
      </c>
      <c r="E120" s="37">
        <v>3516.5</v>
      </c>
      <c r="F120" s="38">
        <f t="shared" si="1"/>
        <v>3516.5</v>
      </c>
      <c r="G120" s="35" t="s">
        <v>805</v>
      </c>
      <c r="H120" s="35" t="s">
        <v>807</v>
      </c>
      <c r="I120" s="35" t="s">
        <v>174</v>
      </c>
      <c r="J120" s="35" t="s">
        <v>175</v>
      </c>
      <c r="K120" s="35" t="s">
        <v>35</v>
      </c>
      <c r="L120" s="35" t="s">
        <v>808</v>
      </c>
      <c r="M120" s="39">
        <v>1.0</v>
      </c>
      <c r="N120" s="44">
        <v>46154.0</v>
      </c>
      <c r="O120" s="42" t="b">
        <v>1</v>
      </c>
      <c r="P120" s="44">
        <v>46154.0</v>
      </c>
      <c r="Q120" s="34"/>
      <c r="R120" s="34"/>
      <c r="S120" s="34"/>
      <c r="T120" s="34"/>
    </row>
    <row r="121" ht="15.75" customHeight="1">
      <c r="B121" s="33">
        <v>46149.0</v>
      </c>
      <c r="C121" s="58">
        <v>326614.0</v>
      </c>
      <c r="D121" s="35">
        <v>1.0</v>
      </c>
      <c r="E121" s="37">
        <v>3516.5</v>
      </c>
      <c r="F121" s="38">
        <f t="shared" si="1"/>
        <v>3516.5</v>
      </c>
      <c r="G121" s="35" t="s">
        <v>805</v>
      </c>
      <c r="H121" s="35" t="s">
        <v>807</v>
      </c>
      <c r="I121" s="35" t="s">
        <v>174</v>
      </c>
      <c r="J121" s="35" t="s">
        <v>175</v>
      </c>
      <c r="K121" s="35" t="s">
        <v>35</v>
      </c>
      <c r="L121" s="35" t="s">
        <v>808</v>
      </c>
      <c r="M121" s="39">
        <v>1.0</v>
      </c>
      <c r="N121" s="44">
        <v>46154.0</v>
      </c>
      <c r="O121" s="42" t="b">
        <v>1</v>
      </c>
      <c r="P121" s="44">
        <v>46154.0</v>
      </c>
      <c r="Q121" s="34"/>
      <c r="R121" s="34"/>
      <c r="S121" s="34"/>
      <c r="T121" s="34"/>
    </row>
    <row r="122" ht="15.75" customHeight="1">
      <c r="B122" s="33">
        <v>46150.0</v>
      </c>
      <c r="C122" s="46" t="s">
        <v>820</v>
      </c>
      <c r="D122" s="35">
        <v>22.0</v>
      </c>
      <c r="E122" s="37">
        <v>135.0</v>
      </c>
      <c r="F122" s="38">
        <f t="shared" si="1"/>
        <v>2970</v>
      </c>
      <c r="G122" s="35" t="s">
        <v>821</v>
      </c>
      <c r="H122" s="35" t="s">
        <v>744</v>
      </c>
      <c r="I122" s="35" t="s">
        <v>240</v>
      </c>
      <c r="J122" s="35" t="s">
        <v>40</v>
      </c>
      <c r="K122" s="35" t="s">
        <v>35</v>
      </c>
      <c r="L122" s="35" t="s">
        <v>62</v>
      </c>
      <c r="M122" s="39">
        <v>1.0</v>
      </c>
      <c r="N122" s="44">
        <v>46150.0</v>
      </c>
      <c r="O122" s="42" t="b">
        <v>1</v>
      </c>
      <c r="P122" s="44">
        <v>46153.0</v>
      </c>
      <c r="Q122" s="34"/>
      <c r="R122" s="34"/>
      <c r="S122" s="34"/>
      <c r="T122" s="34"/>
    </row>
    <row r="123" ht="15.75" customHeight="1">
      <c r="B123" s="33">
        <v>46150.0</v>
      </c>
      <c r="C123" s="46" t="s">
        <v>820</v>
      </c>
      <c r="D123" s="35">
        <v>10.0</v>
      </c>
      <c r="E123" s="37">
        <v>135.0</v>
      </c>
      <c r="F123" s="38">
        <f t="shared" si="1"/>
        <v>1350</v>
      </c>
      <c r="G123" s="35" t="s">
        <v>821</v>
      </c>
      <c r="H123" s="35" t="s">
        <v>744</v>
      </c>
      <c r="I123" s="35" t="s">
        <v>240</v>
      </c>
      <c r="J123" s="35" t="s">
        <v>34</v>
      </c>
      <c r="K123" s="35" t="s">
        <v>35</v>
      </c>
      <c r="L123" s="35" t="s">
        <v>62</v>
      </c>
      <c r="M123" s="39">
        <v>1.0</v>
      </c>
      <c r="N123" s="44">
        <v>46150.0</v>
      </c>
      <c r="O123" s="42" t="b">
        <v>1</v>
      </c>
      <c r="P123" s="44">
        <v>46153.0</v>
      </c>
      <c r="Q123" s="34"/>
      <c r="R123" s="34"/>
      <c r="S123" s="34"/>
      <c r="T123" s="34"/>
    </row>
    <row r="124" ht="15.75" customHeight="1">
      <c r="B124" s="33">
        <v>46150.0</v>
      </c>
      <c r="C124" s="35">
        <v>15390.0</v>
      </c>
      <c r="D124" s="35">
        <v>200.0</v>
      </c>
      <c r="E124" s="37">
        <v>8.99</v>
      </c>
      <c r="F124" s="38">
        <f t="shared" si="1"/>
        <v>1798</v>
      </c>
      <c r="G124" s="35" t="s">
        <v>497</v>
      </c>
      <c r="H124" s="35" t="s">
        <v>498</v>
      </c>
      <c r="I124" s="35" t="s">
        <v>32</v>
      </c>
      <c r="J124" s="35" t="s">
        <v>34</v>
      </c>
      <c r="K124" s="35" t="s">
        <v>35</v>
      </c>
      <c r="L124" s="35" t="s">
        <v>96</v>
      </c>
      <c r="M124" s="39">
        <v>31.0</v>
      </c>
      <c r="N124" s="40">
        <v>46155.0</v>
      </c>
      <c r="O124" s="42" t="b">
        <v>1</v>
      </c>
      <c r="P124" s="44">
        <v>46160.0</v>
      </c>
      <c r="Q124" s="34"/>
      <c r="R124" s="34"/>
      <c r="S124" s="34"/>
      <c r="T124" s="34"/>
    </row>
    <row r="125" ht="15.75" customHeight="1">
      <c r="B125" s="33">
        <v>46150.0</v>
      </c>
      <c r="C125" s="35">
        <v>15390.0</v>
      </c>
      <c r="D125" s="35">
        <v>800.0</v>
      </c>
      <c r="E125" s="37">
        <v>11.3</v>
      </c>
      <c r="F125" s="38">
        <f t="shared" si="1"/>
        <v>9040</v>
      </c>
      <c r="G125" s="35" t="s">
        <v>491</v>
      </c>
      <c r="H125" s="35" t="s">
        <v>494</v>
      </c>
      <c r="I125" s="35" t="s">
        <v>32</v>
      </c>
      <c r="J125" s="35" t="s">
        <v>34</v>
      </c>
      <c r="K125" s="35" t="s">
        <v>35</v>
      </c>
      <c r="L125" s="35" t="s">
        <v>96</v>
      </c>
      <c r="M125" s="39">
        <v>31.0</v>
      </c>
      <c r="N125" s="40">
        <v>46155.0</v>
      </c>
      <c r="O125" s="42" t="b">
        <v>1</v>
      </c>
      <c r="P125" s="44">
        <v>46160.0</v>
      </c>
      <c r="Q125" s="34"/>
      <c r="R125" s="34"/>
      <c r="S125" s="34"/>
      <c r="T125" s="34"/>
    </row>
    <row r="126" ht="15.75" customHeight="1">
      <c r="B126" s="33">
        <v>46150.0</v>
      </c>
      <c r="C126" s="46" t="s">
        <v>844</v>
      </c>
      <c r="D126" s="35">
        <v>60.0</v>
      </c>
      <c r="E126" s="37">
        <v>207.0</v>
      </c>
      <c r="F126" s="38">
        <f t="shared" si="1"/>
        <v>12420</v>
      </c>
      <c r="G126" s="35" t="s">
        <v>849</v>
      </c>
      <c r="H126" s="35" t="s">
        <v>851</v>
      </c>
      <c r="I126" s="35" t="s">
        <v>59</v>
      </c>
      <c r="J126" s="35" t="s">
        <v>34</v>
      </c>
      <c r="K126" s="35" t="s">
        <v>35</v>
      </c>
      <c r="L126" s="35" t="s">
        <v>46</v>
      </c>
      <c r="M126" s="39">
        <v>31.0</v>
      </c>
      <c r="N126" s="40">
        <v>46150.0</v>
      </c>
      <c r="O126" s="42" t="b">
        <v>1</v>
      </c>
      <c r="P126" s="44">
        <v>46150.0</v>
      </c>
      <c r="Q126" s="34"/>
      <c r="R126" s="34"/>
      <c r="S126" s="34"/>
      <c r="T126" s="34"/>
    </row>
    <row r="127" ht="15.75" customHeight="1">
      <c r="B127" s="33">
        <v>46150.0</v>
      </c>
      <c r="C127" s="35">
        <v>1127.0</v>
      </c>
      <c r="D127" s="35">
        <v>50.0</v>
      </c>
      <c r="E127" s="37">
        <v>690.0</v>
      </c>
      <c r="F127" s="38">
        <f t="shared" si="1"/>
        <v>34500</v>
      </c>
      <c r="G127" s="35" t="s">
        <v>856</v>
      </c>
      <c r="H127" s="35" t="s">
        <v>35</v>
      </c>
      <c r="I127" s="35" t="s">
        <v>41</v>
      </c>
      <c r="J127" s="35" t="s">
        <v>34</v>
      </c>
      <c r="K127" s="35" t="s">
        <v>35</v>
      </c>
      <c r="L127" s="35" t="s">
        <v>468</v>
      </c>
      <c r="M127" s="39">
        <v>31.0</v>
      </c>
      <c r="N127" s="40">
        <v>46156.0</v>
      </c>
      <c r="O127" s="42" t="b">
        <v>1</v>
      </c>
      <c r="P127" s="44">
        <v>46156.0</v>
      </c>
      <c r="Q127" s="34"/>
      <c r="R127" s="34"/>
      <c r="S127" s="34"/>
      <c r="T127" s="34"/>
    </row>
    <row r="128" ht="15.75" customHeight="1">
      <c r="B128" s="33">
        <v>46150.0</v>
      </c>
      <c r="C128" s="35">
        <v>50782.0</v>
      </c>
      <c r="D128" s="35">
        <v>50.0</v>
      </c>
      <c r="E128" s="37">
        <v>270.0</v>
      </c>
      <c r="F128" s="38">
        <f t="shared" si="1"/>
        <v>13500</v>
      </c>
      <c r="G128" s="35" t="s">
        <v>865</v>
      </c>
      <c r="H128" s="35" t="s">
        <v>866</v>
      </c>
      <c r="I128" s="35" t="s">
        <v>673</v>
      </c>
      <c r="J128" s="35" t="s">
        <v>175</v>
      </c>
      <c r="K128" s="35" t="s">
        <v>35</v>
      </c>
      <c r="L128" s="35" t="s">
        <v>868</v>
      </c>
      <c r="M128" s="39">
        <v>31.0</v>
      </c>
      <c r="N128" s="40">
        <v>46157.0</v>
      </c>
      <c r="O128" s="42" t="b">
        <v>1</v>
      </c>
      <c r="P128" s="44">
        <v>46157.0</v>
      </c>
      <c r="Q128" s="34"/>
      <c r="R128" s="34"/>
      <c r="S128" s="34"/>
      <c r="T128" s="34"/>
    </row>
    <row r="129" ht="15.75" customHeight="1">
      <c r="B129" s="33">
        <v>46150.0</v>
      </c>
      <c r="C129" s="58">
        <v>15639.0</v>
      </c>
      <c r="D129" s="35">
        <v>1000.0</v>
      </c>
      <c r="E129" s="37">
        <v>118.0</v>
      </c>
      <c r="F129" s="38">
        <f t="shared" si="1"/>
        <v>118000</v>
      </c>
      <c r="G129" s="35" t="s">
        <v>874</v>
      </c>
      <c r="H129" s="35" t="s">
        <v>876</v>
      </c>
      <c r="I129" s="35" t="s">
        <v>41</v>
      </c>
      <c r="J129" s="35" t="s">
        <v>40</v>
      </c>
      <c r="K129" s="35" t="s">
        <v>35</v>
      </c>
      <c r="L129" s="35" t="s">
        <v>877</v>
      </c>
      <c r="M129" s="39">
        <v>31.0</v>
      </c>
      <c r="N129" s="40">
        <v>46084.0</v>
      </c>
      <c r="O129" s="42" t="b">
        <v>1</v>
      </c>
      <c r="P129" s="44">
        <v>46176.0</v>
      </c>
      <c r="Q129" s="34"/>
      <c r="R129" s="34"/>
      <c r="S129" s="34"/>
      <c r="T129" s="34"/>
    </row>
    <row r="130" ht="15.75" customHeight="1">
      <c r="B130" s="33">
        <v>46150.0</v>
      </c>
      <c r="C130" s="58">
        <v>15639.0</v>
      </c>
      <c r="D130" s="35">
        <v>2000.0</v>
      </c>
      <c r="E130" s="37">
        <v>159.0</v>
      </c>
      <c r="F130" s="38">
        <f t="shared" si="1"/>
        <v>318000</v>
      </c>
      <c r="G130" s="35" t="s">
        <v>883</v>
      </c>
      <c r="H130" s="35" t="s">
        <v>884</v>
      </c>
      <c r="I130" s="35" t="s">
        <v>41</v>
      </c>
      <c r="J130" s="35" t="s">
        <v>40</v>
      </c>
      <c r="K130" s="35" t="s">
        <v>35</v>
      </c>
      <c r="L130" s="35" t="s">
        <v>877</v>
      </c>
      <c r="M130" s="39">
        <v>31.0</v>
      </c>
      <c r="N130" s="51" t="str">
        <f t="shared" ref="N130:N131" si="3">IF(B130&lt;TODAY()-2,"ATRASADO","EM DIA")</f>
        <v>ATRASADO</v>
      </c>
      <c r="O130" s="42" t="b">
        <v>0</v>
      </c>
      <c r="P130" s="45"/>
      <c r="Q130" s="34"/>
      <c r="R130" s="34"/>
      <c r="S130" s="34"/>
      <c r="T130" s="34"/>
    </row>
    <row r="131" ht="15.75" customHeight="1">
      <c r="B131" s="33">
        <v>46150.0</v>
      </c>
      <c r="C131" s="58">
        <v>15639.0</v>
      </c>
      <c r="D131" s="35">
        <v>1000.0</v>
      </c>
      <c r="E131" s="37">
        <v>345.0</v>
      </c>
      <c r="F131" s="38">
        <f t="shared" si="1"/>
        <v>345000</v>
      </c>
      <c r="G131" s="35" t="s">
        <v>895</v>
      </c>
      <c r="H131" s="35" t="s">
        <v>896</v>
      </c>
      <c r="I131" s="35" t="s">
        <v>41</v>
      </c>
      <c r="J131" s="35" t="s">
        <v>40</v>
      </c>
      <c r="K131" s="35" t="s">
        <v>35</v>
      </c>
      <c r="L131" s="35" t="s">
        <v>877</v>
      </c>
      <c r="M131" s="39">
        <v>31.0</v>
      </c>
      <c r="N131" s="51" t="str">
        <f t="shared" si="3"/>
        <v>ATRASADO</v>
      </c>
      <c r="O131" s="42" t="b">
        <v>1</v>
      </c>
      <c r="P131" s="44">
        <v>46188.0</v>
      </c>
      <c r="Q131" s="34"/>
      <c r="R131" s="34"/>
      <c r="S131" s="34"/>
      <c r="T131" s="34"/>
    </row>
    <row r="132" ht="15.75" customHeight="1">
      <c r="B132" s="33">
        <v>46150.0</v>
      </c>
      <c r="C132" s="35">
        <v>917157.0</v>
      </c>
      <c r="D132" s="35">
        <v>300.0</v>
      </c>
      <c r="E132" s="37">
        <v>149.9</v>
      </c>
      <c r="F132" s="38">
        <f t="shared" si="1"/>
        <v>44970</v>
      </c>
      <c r="G132" s="35" t="s">
        <v>901</v>
      </c>
      <c r="H132" s="35">
        <v>61857.0</v>
      </c>
      <c r="I132" s="35" t="s">
        <v>41</v>
      </c>
      <c r="J132" s="35" t="s">
        <v>40</v>
      </c>
      <c r="K132" s="35" t="s">
        <v>35</v>
      </c>
      <c r="L132" s="35" t="s">
        <v>74</v>
      </c>
      <c r="M132" s="39">
        <v>31.0</v>
      </c>
      <c r="N132" s="40">
        <v>46156.0</v>
      </c>
      <c r="O132" s="42" t="b">
        <v>1</v>
      </c>
      <c r="P132" s="44">
        <v>46161.0</v>
      </c>
      <c r="Q132" s="34"/>
      <c r="R132" s="34"/>
      <c r="S132" s="34"/>
      <c r="T132" s="34"/>
    </row>
    <row r="133" ht="15.75" customHeight="1">
      <c r="B133" s="33">
        <v>46153.0</v>
      </c>
      <c r="C133" s="46" t="s">
        <v>905</v>
      </c>
      <c r="D133" s="35">
        <v>30.0</v>
      </c>
      <c r="E133" s="37">
        <v>36.0</v>
      </c>
      <c r="F133" s="38">
        <f t="shared" si="1"/>
        <v>1080</v>
      </c>
      <c r="G133" s="35" t="s">
        <v>615</v>
      </c>
      <c r="H133" s="35" t="s">
        <v>908</v>
      </c>
      <c r="I133" s="35" t="s">
        <v>59</v>
      </c>
      <c r="J133" s="35" t="s">
        <v>34</v>
      </c>
      <c r="K133" s="35" t="s">
        <v>35</v>
      </c>
      <c r="L133" s="35" t="s">
        <v>241</v>
      </c>
      <c r="M133" s="39">
        <v>31.0</v>
      </c>
      <c r="N133" s="40">
        <v>46153.0</v>
      </c>
      <c r="O133" s="42" t="b">
        <v>1</v>
      </c>
      <c r="P133" s="44">
        <v>46153.0</v>
      </c>
      <c r="Q133" s="34"/>
      <c r="R133" s="34"/>
      <c r="S133" s="34"/>
      <c r="T133" s="34"/>
    </row>
    <row r="134" ht="15.75" customHeight="1">
      <c r="B134" s="33">
        <v>46153.0</v>
      </c>
      <c r="C134" s="46" t="s">
        <v>905</v>
      </c>
      <c r="D134" s="35">
        <v>50.0</v>
      </c>
      <c r="E134" s="37">
        <v>38.7</v>
      </c>
      <c r="F134" s="38">
        <f t="shared" si="1"/>
        <v>1935</v>
      </c>
      <c r="G134" s="35" t="s">
        <v>615</v>
      </c>
      <c r="H134" s="35" t="s">
        <v>661</v>
      </c>
      <c r="I134" s="35" t="s">
        <v>59</v>
      </c>
      <c r="J134" s="35" t="s">
        <v>34</v>
      </c>
      <c r="K134" s="35" t="s">
        <v>35</v>
      </c>
      <c r="L134" s="35" t="s">
        <v>241</v>
      </c>
      <c r="M134" s="39">
        <v>31.0</v>
      </c>
      <c r="N134" s="40">
        <v>46153.0</v>
      </c>
      <c r="O134" s="42" t="b">
        <v>1</v>
      </c>
      <c r="P134" s="44">
        <v>46153.0</v>
      </c>
      <c r="Q134" s="34"/>
      <c r="R134" s="34"/>
      <c r="S134" s="34"/>
      <c r="T134" s="34"/>
    </row>
    <row r="135" ht="15.75" customHeight="1">
      <c r="B135" s="33">
        <v>46153.0</v>
      </c>
      <c r="C135" s="46" t="s">
        <v>905</v>
      </c>
      <c r="D135" s="35">
        <v>6.0</v>
      </c>
      <c r="E135" s="37">
        <v>103.5</v>
      </c>
      <c r="F135" s="38">
        <f t="shared" si="1"/>
        <v>621</v>
      </c>
      <c r="G135" s="35" t="s">
        <v>919</v>
      </c>
      <c r="H135" s="35" t="s">
        <v>921</v>
      </c>
      <c r="I135" s="35" t="s">
        <v>59</v>
      </c>
      <c r="J135" s="35" t="s">
        <v>34</v>
      </c>
      <c r="K135" s="35" t="s">
        <v>35</v>
      </c>
      <c r="L135" s="35" t="s">
        <v>241</v>
      </c>
      <c r="M135" s="39">
        <v>31.0</v>
      </c>
      <c r="N135" s="40">
        <v>46153.0</v>
      </c>
      <c r="O135" s="42" t="b">
        <v>1</v>
      </c>
      <c r="P135" s="44">
        <v>46153.0</v>
      </c>
      <c r="Q135" s="34"/>
      <c r="R135" s="34"/>
      <c r="S135" s="34"/>
      <c r="T135" s="34"/>
    </row>
    <row r="136" ht="15.75" customHeight="1">
      <c r="B136" s="33">
        <v>46153.0</v>
      </c>
      <c r="C136" s="46" t="s">
        <v>905</v>
      </c>
      <c r="D136" s="35">
        <v>24.0</v>
      </c>
      <c r="E136" s="37">
        <v>24.3</v>
      </c>
      <c r="F136" s="38">
        <f t="shared" si="1"/>
        <v>583.2</v>
      </c>
      <c r="G136" s="35" t="s">
        <v>927</v>
      </c>
      <c r="H136" s="35" t="s">
        <v>928</v>
      </c>
      <c r="I136" s="35" t="s">
        <v>59</v>
      </c>
      <c r="J136" s="35" t="s">
        <v>34</v>
      </c>
      <c r="K136" s="35" t="s">
        <v>35</v>
      </c>
      <c r="L136" s="35" t="s">
        <v>241</v>
      </c>
      <c r="M136" s="39">
        <v>31.0</v>
      </c>
      <c r="N136" s="40">
        <v>46153.0</v>
      </c>
      <c r="O136" s="42" t="b">
        <v>1</v>
      </c>
      <c r="P136" s="44">
        <v>46153.0</v>
      </c>
      <c r="Q136" s="34"/>
      <c r="R136" s="34"/>
      <c r="S136" s="34"/>
      <c r="T136" s="34"/>
    </row>
    <row r="137" ht="15.75" customHeight="1">
      <c r="B137" s="33">
        <v>46153.0</v>
      </c>
      <c r="C137" s="46" t="s">
        <v>905</v>
      </c>
      <c r="D137" s="35">
        <v>50.0</v>
      </c>
      <c r="E137" s="37">
        <v>25.0</v>
      </c>
      <c r="F137" s="38">
        <f t="shared" si="1"/>
        <v>1250</v>
      </c>
      <c r="G137" s="35" t="s">
        <v>931</v>
      </c>
      <c r="H137" s="35" t="s">
        <v>932</v>
      </c>
      <c r="I137" s="35" t="s">
        <v>59</v>
      </c>
      <c r="J137" s="35" t="s">
        <v>34</v>
      </c>
      <c r="K137" s="35" t="s">
        <v>35</v>
      </c>
      <c r="L137" s="35" t="s">
        <v>241</v>
      </c>
      <c r="M137" s="39">
        <v>31.0</v>
      </c>
      <c r="N137" s="40">
        <v>46153.0</v>
      </c>
      <c r="O137" s="42" t="b">
        <v>1</v>
      </c>
      <c r="P137" s="44">
        <v>46153.0</v>
      </c>
      <c r="Q137" s="34"/>
      <c r="R137" s="34"/>
      <c r="S137" s="34"/>
      <c r="T137" s="34"/>
    </row>
    <row r="138" ht="15.75" customHeight="1">
      <c r="B138" s="33">
        <v>46153.0</v>
      </c>
      <c r="C138" s="46" t="s">
        <v>935</v>
      </c>
      <c r="D138" s="35">
        <v>500.0</v>
      </c>
      <c r="E138" s="37">
        <v>32.0</v>
      </c>
      <c r="F138" s="38">
        <f t="shared" si="1"/>
        <v>16000</v>
      </c>
      <c r="G138" s="35" t="s">
        <v>433</v>
      </c>
      <c r="H138" s="35" t="s">
        <v>434</v>
      </c>
      <c r="I138" s="35" t="s">
        <v>32</v>
      </c>
      <c r="J138" s="35" t="s">
        <v>40</v>
      </c>
      <c r="K138" s="35" t="s">
        <v>35</v>
      </c>
      <c r="L138" s="35" t="s">
        <v>87</v>
      </c>
      <c r="M138" s="39">
        <v>1.0</v>
      </c>
      <c r="N138" s="40">
        <v>46153.0</v>
      </c>
      <c r="O138" s="42" t="b">
        <v>1</v>
      </c>
      <c r="P138" s="44">
        <v>46156.0</v>
      </c>
      <c r="Q138" s="34"/>
      <c r="R138" s="34"/>
      <c r="S138" s="34"/>
      <c r="T138" s="34"/>
    </row>
    <row r="139" ht="15.75" customHeight="1">
      <c r="B139" s="33">
        <v>46153.0</v>
      </c>
      <c r="C139" s="35">
        <v>15587.0</v>
      </c>
      <c r="D139" s="35">
        <v>10.0</v>
      </c>
      <c r="E139" s="37">
        <v>179.9</v>
      </c>
      <c r="F139" s="38">
        <f t="shared" si="1"/>
        <v>1799</v>
      </c>
      <c r="G139" s="35" t="s">
        <v>942</v>
      </c>
      <c r="H139" s="35" t="s">
        <v>944</v>
      </c>
      <c r="I139" s="35" t="s">
        <v>32</v>
      </c>
      <c r="J139" s="35" t="s">
        <v>34</v>
      </c>
      <c r="K139" s="35" t="s">
        <v>35</v>
      </c>
      <c r="L139" s="35" t="s">
        <v>96</v>
      </c>
      <c r="M139" s="39">
        <v>1.0</v>
      </c>
      <c r="N139" s="40">
        <v>46155.0</v>
      </c>
      <c r="O139" s="42" t="b">
        <v>1</v>
      </c>
      <c r="P139" s="44">
        <v>46160.0</v>
      </c>
      <c r="Q139" s="34"/>
      <c r="R139" s="34"/>
      <c r="S139" s="34"/>
      <c r="T139" s="34"/>
    </row>
    <row r="140" ht="15.75" customHeight="1">
      <c r="B140" s="33">
        <v>46153.0</v>
      </c>
      <c r="C140" s="58">
        <v>6902.0</v>
      </c>
      <c r="D140" s="35">
        <v>6.0</v>
      </c>
      <c r="E140" s="37">
        <v>650.0</v>
      </c>
      <c r="F140" s="38">
        <f t="shared" si="1"/>
        <v>3900</v>
      </c>
      <c r="G140" s="35" t="s">
        <v>946</v>
      </c>
      <c r="H140" s="35" t="s">
        <v>949</v>
      </c>
      <c r="I140" s="35" t="s">
        <v>157</v>
      </c>
      <c r="J140" s="35" t="s">
        <v>34</v>
      </c>
      <c r="K140" s="35" t="s">
        <v>35</v>
      </c>
      <c r="L140" s="35" t="s">
        <v>868</v>
      </c>
      <c r="M140" s="39">
        <v>31.0</v>
      </c>
      <c r="N140" s="44">
        <v>46155.0</v>
      </c>
      <c r="O140" s="42" t="b">
        <v>1</v>
      </c>
      <c r="P140" s="44">
        <v>46156.0</v>
      </c>
      <c r="Q140" s="34"/>
      <c r="R140" s="34"/>
      <c r="S140" s="34"/>
      <c r="T140" s="34"/>
    </row>
    <row r="141" ht="15.75" customHeight="1">
      <c r="B141" s="33">
        <v>46153.0</v>
      </c>
      <c r="C141" s="35">
        <v>8146.0</v>
      </c>
      <c r="D141" s="35">
        <v>27.0</v>
      </c>
      <c r="E141" s="37">
        <v>102.0</v>
      </c>
      <c r="F141" s="38">
        <f t="shared" si="1"/>
        <v>2754</v>
      </c>
      <c r="G141" s="35" t="s">
        <v>953</v>
      </c>
      <c r="H141" s="35" t="s">
        <v>954</v>
      </c>
      <c r="I141" s="35" t="s">
        <v>32</v>
      </c>
      <c r="J141" s="35" t="s">
        <v>34</v>
      </c>
      <c r="K141" s="35" t="s">
        <v>35</v>
      </c>
      <c r="L141" s="35" t="s">
        <v>955</v>
      </c>
      <c r="M141" s="39">
        <v>31.0</v>
      </c>
      <c r="N141" s="40">
        <v>46154.0</v>
      </c>
      <c r="O141" s="42" t="b">
        <v>1</v>
      </c>
      <c r="P141" s="44">
        <v>46156.0</v>
      </c>
      <c r="Q141" s="34"/>
      <c r="R141" s="34"/>
      <c r="S141" s="34"/>
      <c r="T141" s="34"/>
    </row>
    <row r="142" ht="15.75" customHeight="1">
      <c r="B142" s="33">
        <v>46153.0</v>
      </c>
      <c r="C142" s="35">
        <v>8146.0</v>
      </c>
      <c r="D142" s="35">
        <v>3.0</v>
      </c>
      <c r="E142" s="37">
        <v>102.0</v>
      </c>
      <c r="F142" s="38">
        <f t="shared" si="1"/>
        <v>306</v>
      </c>
      <c r="G142" s="35" t="s">
        <v>959</v>
      </c>
      <c r="H142" s="35" t="s">
        <v>961</v>
      </c>
      <c r="I142" s="35" t="s">
        <v>32</v>
      </c>
      <c r="J142" s="35" t="s">
        <v>34</v>
      </c>
      <c r="K142" s="35" t="s">
        <v>35</v>
      </c>
      <c r="L142" s="35" t="s">
        <v>955</v>
      </c>
      <c r="M142" s="39">
        <v>31.0</v>
      </c>
      <c r="N142" s="40">
        <v>46154.0</v>
      </c>
      <c r="O142" s="42" t="b">
        <v>1</v>
      </c>
      <c r="P142" s="44">
        <v>46156.0</v>
      </c>
      <c r="Q142" s="34"/>
      <c r="R142" s="34"/>
      <c r="S142" s="34"/>
      <c r="T142" s="34"/>
    </row>
    <row r="143" ht="15.75" customHeight="1">
      <c r="B143" s="33">
        <v>46153.0</v>
      </c>
      <c r="C143" s="35">
        <v>15334.0</v>
      </c>
      <c r="D143" s="35">
        <v>250.0</v>
      </c>
      <c r="E143" s="37">
        <v>17.21</v>
      </c>
      <c r="F143" s="38">
        <f t="shared" si="1"/>
        <v>4302.5</v>
      </c>
      <c r="G143" s="35" t="s">
        <v>973</v>
      </c>
      <c r="H143" s="35" t="s">
        <v>974</v>
      </c>
      <c r="I143" s="35" t="s">
        <v>41</v>
      </c>
      <c r="J143" s="35" t="s">
        <v>34</v>
      </c>
      <c r="K143" s="35" t="s">
        <v>35</v>
      </c>
      <c r="L143" s="35" t="s">
        <v>210</v>
      </c>
      <c r="M143" s="39">
        <v>31.0</v>
      </c>
      <c r="N143" s="44">
        <v>46155.0</v>
      </c>
      <c r="O143" s="42" t="b">
        <v>1</v>
      </c>
      <c r="P143" s="44">
        <v>46155.0</v>
      </c>
      <c r="Q143" s="34"/>
      <c r="R143" s="34"/>
      <c r="S143" s="34"/>
      <c r="T143" s="34"/>
    </row>
    <row r="144" ht="15.75" customHeight="1">
      <c r="B144" s="33">
        <v>46153.0</v>
      </c>
      <c r="C144" s="35">
        <v>15334.0</v>
      </c>
      <c r="D144" s="35">
        <v>50.0</v>
      </c>
      <c r="E144" s="37">
        <v>10.04</v>
      </c>
      <c r="F144" s="38">
        <f t="shared" si="1"/>
        <v>502</v>
      </c>
      <c r="G144" s="35" t="s">
        <v>980</v>
      </c>
      <c r="H144" s="35" t="s">
        <v>981</v>
      </c>
      <c r="I144" s="35" t="s">
        <v>41</v>
      </c>
      <c r="J144" s="35" t="s">
        <v>34</v>
      </c>
      <c r="K144" s="35" t="s">
        <v>35</v>
      </c>
      <c r="L144" s="35" t="s">
        <v>210</v>
      </c>
      <c r="M144" s="39">
        <v>31.0</v>
      </c>
      <c r="N144" s="40">
        <v>46155.0</v>
      </c>
      <c r="O144" s="42" t="b">
        <v>1</v>
      </c>
      <c r="P144" s="44">
        <v>46155.0</v>
      </c>
      <c r="Q144" s="34"/>
      <c r="R144" s="34"/>
      <c r="S144" s="34"/>
      <c r="T144" s="34"/>
    </row>
    <row r="145" ht="15.75" customHeight="1">
      <c r="B145" s="33">
        <v>46153.0</v>
      </c>
      <c r="C145" s="35">
        <v>15334.0</v>
      </c>
      <c r="D145" s="35">
        <v>200.0</v>
      </c>
      <c r="E145" s="37">
        <v>2.7</v>
      </c>
      <c r="F145" s="38">
        <f t="shared" si="1"/>
        <v>540</v>
      </c>
      <c r="G145" s="35" t="s">
        <v>992</v>
      </c>
      <c r="H145" s="35" t="s">
        <v>994</v>
      </c>
      <c r="I145" s="35" t="s">
        <v>41</v>
      </c>
      <c r="J145" s="35" t="s">
        <v>34</v>
      </c>
      <c r="K145" s="35" t="s">
        <v>35</v>
      </c>
      <c r="L145" s="35" t="s">
        <v>210</v>
      </c>
      <c r="M145" s="39">
        <v>31.0</v>
      </c>
      <c r="N145" s="40">
        <v>46155.0</v>
      </c>
      <c r="O145" s="42" t="b">
        <v>1</v>
      </c>
      <c r="P145" s="44">
        <v>46155.0</v>
      </c>
      <c r="Q145" s="34"/>
      <c r="R145" s="34"/>
      <c r="S145" s="34"/>
      <c r="T145" s="34"/>
    </row>
    <row r="146" ht="15.75" customHeight="1">
      <c r="B146" s="33">
        <v>46153.0</v>
      </c>
      <c r="C146" s="35">
        <v>15334.0</v>
      </c>
      <c r="D146" s="35">
        <v>200.0</v>
      </c>
      <c r="E146" s="37">
        <v>4.46</v>
      </c>
      <c r="F146" s="38">
        <f t="shared" si="1"/>
        <v>892</v>
      </c>
      <c r="G146" s="35" t="s">
        <v>1000</v>
      </c>
      <c r="H146" s="35" t="s">
        <v>1001</v>
      </c>
      <c r="I146" s="35" t="s">
        <v>41</v>
      </c>
      <c r="J146" s="35" t="s">
        <v>34</v>
      </c>
      <c r="K146" s="35" t="s">
        <v>35</v>
      </c>
      <c r="L146" s="35" t="s">
        <v>210</v>
      </c>
      <c r="M146" s="39">
        <v>31.0</v>
      </c>
      <c r="N146" s="44">
        <v>46155.0</v>
      </c>
      <c r="O146" s="42" t="b">
        <v>1</v>
      </c>
      <c r="P146" s="44">
        <v>46155.0</v>
      </c>
      <c r="Q146" s="34"/>
      <c r="R146" s="34"/>
      <c r="S146" s="34"/>
      <c r="T146" s="34"/>
    </row>
    <row r="147" ht="15.75" customHeight="1">
      <c r="B147" s="33">
        <v>46153.0</v>
      </c>
      <c r="C147" s="35">
        <v>15334.0</v>
      </c>
      <c r="D147" s="35">
        <v>50.0</v>
      </c>
      <c r="E147" s="37">
        <v>13.95</v>
      </c>
      <c r="F147" s="38">
        <f t="shared" si="1"/>
        <v>697.5</v>
      </c>
      <c r="G147" s="35" t="s">
        <v>1004</v>
      </c>
      <c r="H147" s="35" t="s">
        <v>1005</v>
      </c>
      <c r="I147" s="35" t="s">
        <v>41</v>
      </c>
      <c r="J147" s="35" t="s">
        <v>34</v>
      </c>
      <c r="K147" s="35" t="s">
        <v>35</v>
      </c>
      <c r="L147" s="35" t="s">
        <v>210</v>
      </c>
      <c r="M147" s="39">
        <v>31.0</v>
      </c>
      <c r="N147" s="40">
        <v>46155.0</v>
      </c>
      <c r="O147" s="42" t="b">
        <v>1</v>
      </c>
      <c r="P147" s="44">
        <v>46155.0</v>
      </c>
      <c r="Q147" s="34"/>
      <c r="R147" s="34"/>
      <c r="S147" s="34"/>
      <c r="T147" s="34"/>
    </row>
    <row r="148" ht="15.75" customHeight="1">
      <c r="B148" s="33">
        <v>46153.0</v>
      </c>
      <c r="C148" s="35">
        <v>15334.0</v>
      </c>
      <c r="D148" s="35">
        <v>24.0</v>
      </c>
      <c r="E148" s="37">
        <v>54.87</v>
      </c>
      <c r="F148" s="38">
        <f t="shared" si="1"/>
        <v>1316.88</v>
      </c>
      <c r="G148" s="35" t="s">
        <v>1006</v>
      </c>
      <c r="H148" s="35" t="s">
        <v>1008</v>
      </c>
      <c r="I148" s="35" t="s">
        <v>41</v>
      </c>
      <c r="J148" s="35" t="s">
        <v>34</v>
      </c>
      <c r="K148" s="35" t="s">
        <v>35</v>
      </c>
      <c r="L148" s="35" t="s">
        <v>210</v>
      </c>
      <c r="M148" s="39">
        <v>31.0</v>
      </c>
      <c r="N148" s="40">
        <v>46155.0</v>
      </c>
      <c r="O148" s="42" t="b">
        <v>1</v>
      </c>
      <c r="P148" s="44">
        <v>46155.0</v>
      </c>
      <c r="Q148" s="34"/>
      <c r="R148" s="34"/>
      <c r="S148" s="34"/>
      <c r="T148" s="34"/>
    </row>
    <row r="149" ht="15.75" customHeight="1">
      <c r="B149" s="33">
        <v>46153.0</v>
      </c>
      <c r="C149" s="35">
        <v>15334.0</v>
      </c>
      <c r="D149" s="35">
        <v>100.0</v>
      </c>
      <c r="E149" s="37">
        <v>70.5</v>
      </c>
      <c r="F149" s="38">
        <f t="shared" si="1"/>
        <v>7050</v>
      </c>
      <c r="G149" s="35" t="s">
        <v>1014</v>
      </c>
      <c r="H149" s="35" t="s">
        <v>1016</v>
      </c>
      <c r="I149" s="35" t="s">
        <v>41</v>
      </c>
      <c r="J149" s="35" t="s">
        <v>34</v>
      </c>
      <c r="K149" s="35" t="s">
        <v>35</v>
      </c>
      <c r="L149" s="35" t="s">
        <v>210</v>
      </c>
      <c r="M149" s="39">
        <v>31.0</v>
      </c>
      <c r="N149" s="40">
        <v>46155.0</v>
      </c>
      <c r="O149" s="42" t="b">
        <v>1</v>
      </c>
      <c r="P149" s="44">
        <v>46155.0</v>
      </c>
      <c r="Q149" s="34"/>
      <c r="R149" s="34"/>
      <c r="S149" s="34"/>
      <c r="T149" s="34"/>
    </row>
    <row r="150" ht="15.75" customHeight="1">
      <c r="B150" s="33">
        <v>46153.0</v>
      </c>
      <c r="C150" s="35">
        <v>15334.0</v>
      </c>
      <c r="D150" s="35">
        <v>100.0</v>
      </c>
      <c r="E150" s="37">
        <v>5.58</v>
      </c>
      <c r="F150" s="38">
        <f t="shared" si="1"/>
        <v>558</v>
      </c>
      <c r="G150" s="35" t="s">
        <v>1024</v>
      </c>
      <c r="H150" s="35" t="s">
        <v>1025</v>
      </c>
      <c r="I150" s="35" t="s">
        <v>41</v>
      </c>
      <c r="J150" s="35" t="s">
        <v>34</v>
      </c>
      <c r="K150" s="35" t="s">
        <v>35</v>
      </c>
      <c r="L150" s="35" t="s">
        <v>210</v>
      </c>
      <c r="M150" s="39">
        <v>31.0</v>
      </c>
      <c r="N150" s="44">
        <v>46155.0</v>
      </c>
      <c r="O150" s="42" t="b">
        <v>1</v>
      </c>
      <c r="P150" s="44">
        <v>46155.0</v>
      </c>
      <c r="Q150" s="34"/>
      <c r="R150" s="34"/>
      <c r="S150" s="34"/>
      <c r="T150" s="34"/>
    </row>
    <row r="151" ht="15.75" customHeight="1">
      <c r="B151" s="33">
        <v>46153.0</v>
      </c>
      <c r="C151" s="35">
        <v>15334.0</v>
      </c>
      <c r="D151" s="35">
        <v>200.0</v>
      </c>
      <c r="E151" s="37">
        <v>5.21</v>
      </c>
      <c r="F151" s="38">
        <f t="shared" si="1"/>
        <v>1042</v>
      </c>
      <c r="G151" s="35" t="s">
        <v>615</v>
      </c>
      <c r="H151" s="35" t="s">
        <v>1030</v>
      </c>
      <c r="I151" s="35" t="s">
        <v>41</v>
      </c>
      <c r="J151" s="35" t="s">
        <v>34</v>
      </c>
      <c r="K151" s="35" t="s">
        <v>35</v>
      </c>
      <c r="L151" s="35" t="s">
        <v>210</v>
      </c>
      <c r="M151" s="39">
        <v>31.0</v>
      </c>
      <c r="N151" s="44">
        <v>46155.0</v>
      </c>
      <c r="O151" s="42" t="b">
        <v>1</v>
      </c>
      <c r="P151" s="44">
        <v>46155.0</v>
      </c>
      <c r="Q151" s="34"/>
      <c r="R151" s="34"/>
      <c r="S151" s="34"/>
      <c r="T151" s="34"/>
    </row>
    <row r="152" ht="15.75" customHeight="1">
      <c r="B152" s="33">
        <v>46153.0</v>
      </c>
      <c r="C152" s="35">
        <v>15334.0</v>
      </c>
      <c r="D152" s="35">
        <v>200.0</v>
      </c>
      <c r="E152" s="37">
        <v>5.39</v>
      </c>
      <c r="F152" s="38">
        <f t="shared" si="1"/>
        <v>1078</v>
      </c>
      <c r="G152" s="35" t="s">
        <v>1038</v>
      </c>
      <c r="H152" s="35" t="s">
        <v>1039</v>
      </c>
      <c r="I152" s="35" t="s">
        <v>41</v>
      </c>
      <c r="J152" s="35" t="s">
        <v>34</v>
      </c>
      <c r="K152" s="35" t="s">
        <v>35</v>
      </c>
      <c r="L152" s="35" t="s">
        <v>210</v>
      </c>
      <c r="M152" s="39">
        <v>31.0</v>
      </c>
      <c r="N152" s="40">
        <v>46155.0</v>
      </c>
      <c r="O152" s="42" t="b">
        <v>1</v>
      </c>
      <c r="P152" s="44">
        <v>46155.0</v>
      </c>
      <c r="Q152" s="34"/>
      <c r="R152" s="34"/>
      <c r="S152" s="34"/>
      <c r="T152" s="34"/>
    </row>
    <row r="153" ht="15.75" customHeight="1">
      <c r="B153" s="33">
        <v>46153.0</v>
      </c>
      <c r="C153" s="35" t="s">
        <v>35</v>
      </c>
      <c r="D153" s="35">
        <v>40.0</v>
      </c>
      <c r="E153" s="37">
        <v>78.0</v>
      </c>
      <c r="F153" s="38">
        <f t="shared" si="1"/>
        <v>3120</v>
      </c>
      <c r="G153" s="35" t="s">
        <v>1047</v>
      </c>
      <c r="H153" s="35" t="s">
        <v>139</v>
      </c>
      <c r="I153" s="35" t="s">
        <v>77</v>
      </c>
      <c r="J153" s="35" t="s">
        <v>79</v>
      </c>
      <c r="K153" s="35" t="s">
        <v>35</v>
      </c>
      <c r="L153" s="35" t="s">
        <v>1050</v>
      </c>
      <c r="M153" s="39">
        <v>31.0</v>
      </c>
      <c r="N153" s="40">
        <v>46154.0</v>
      </c>
      <c r="O153" s="42" t="b">
        <v>1</v>
      </c>
      <c r="P153" s="36"/>
      <c r="Q153" s="34"/>
      <c r="R153" s="34"/>
      <c r="S153" s="34"/>
      <c r="T153" s="34"/>
    </row>
    <row r="154" ht="15.75" customHeight="1">
      <c r="B154" s="33">
        <v>46153.0</v>
      </c>
      <c r="C154" s="58">
        <v>789399.0</v>
      </c>
      <c r="D154" s="35">
        <v>300.0</v>
      </c>
      <c r="E154" s="37">
        <v>84.997</v>
      </c>
      <c r="F154" s="38">
        <f t="shared" si="1"/>
        <v>25499.1</v>
      </c>
      <c r="G154" s="35" t="s">
        <v>1055</v>
      </c>
      <c r="H154" s="35" t="s">
        <v>123</v>
      </c>
      <c r="I154" s="35" t="s">
        <v>77</v>
      </c>
      <c r="J154" s="35" t="s">
        <v>79</v>
      </c>
      <c r="K154" s="35" t="s">
        <v>35</v>
      </c>
      <c r="L154" s="35" t="s">
        <v>68</v>
      </c>
      <c r="M154" s="39">
        <v>1.0</v>
      </c>
      <c r="N154" s="40">
        <v>46162.0</v>
      </c>
      <c r="O154" s="42" t="b">
        <v>0</v>
      </c>
      <c r="P154" s="44">
        <v>46162.0</v>
      </c>
      <c r="Q154" s="34"/>
      <c r="R154" s="34"/>
      <c r="S154" s="34"/>
      <c r="T154" s="34"/>
    </row>
    <row r="155" ht="15.75" customHeight="1">
      <c r="B155" s="33">
        <v>46153.0</v>
      </c>
      <c r="C155" s="58">
        <v>789399.0</v>
      </c>
      <c r="D155" s="35">
        <v>300.0</v>
      </c>
      <c r="E155" s="37">
        <v>89.0</v>
      </c>
      <c r="F155" s="38">
        <f t="shared" si="1"/>
        <v>26700</v>
      </c>
      <c r="G155" s="35" t="s">
        <v>1058</v>
      </c>
      <c r="H155" s="35" t="s">
        <v>153</v>
      </c>
      <c r="I155" s="35" t="s">
        <v>77</v>
      </c>
      <c r="J155" s="35" t="s">
        <v>79</v>
      </c>
      <c r="K155" s="35" t="s">
        <v>35</v>
      </c>
      <c r="L155" s="35" t="s">
        <v>68</v>
      </c>
      <c r="M155" s="39">
        <v>1.0</v>
      </c>
      <c r="N155" s="40">
        <v>46162.0</v>
      </c>
      <c r="O155" s="42" t="b">
        <v>0</v>
      </c>
      <c r="P155" s="36"/>
      <c r="Q155" s="34"/>
      <c r="R155" s="34"/>
      <c r="S155" s="34"/>
      <c r="T155" s="34"/>
    </row>
    <row r="156" ht="15.75" customHeight="1">
      <c r="B156" s="33">
        <v>46153.0</v>
      </c>
      <c r="C156" s="58">
        <v>789399.0</v>
      </c>
      <c r="D156" s="35">
        <v>1000.0</v>
      </c>
      <c r="E156" s="37">
        <v>25.0</v>
      </c>
      <c r="F156" s="38">
        <f t="shared" si="1"/>
        <v>25000</v>
      </c>
      <c r="G156" s="35" t="s">
        <v>1066</v>
      </c>
      <c r="H156" s="35" t="s">
        <v>1068</v>
      </c>
      <c r="I156" s="35" t="s">
        <v>41</v>
      </c>
      <c r="J156" s="35" t="s">
        <v>40</v>
      </c>
      <c r="K156" s="35" t="s">
        <v>35</v>
      </c>
      <c r="L156" s="35" t="s">
        <v>68</v>
      </c>
      <c r="M156" s="39">
        <v>1.0</v>
      </c>
      <c r="N156" s="40">
        <v>46163.0</v>
      </c>
      <c r="O156" s="42" t="b">
        <v>1</v>
      </c>
      <c r="P156" s="44">
        <v>46167.0</v>
      </c>
      <c r="Q156" s="34"/>
      <c r="R156" s="34"/>
      <c r="S156" s="34"/>
      <c r="T156" s="34"/>
    </row>
    <row r="157" ht="15.75" customHeight="1">
      <c r="B157" s="33">
        <v>46153.0</v>
      </c>
      <c r="C157" s="46" t="s">
        <v>1072</v>
      </c>
      <c r="D157" s="35">
        <v>10.0</v>
      </c>
      <c r="E157" s="37">
        <v>89.0</v>
      </c>
      <c r="F157" s="38">
        <f t="shared" si="1"/>
        <v>890</v>
      </c>
      <c r="G157" s="35" t="s">
        <v>1076</v>
      </c>
      <c r="H157" s="35" t="s">
        <v>1077</v>
      </c>
      <c r="I157" s="35" t="s">
        <v>240</v>
      </c>
      <c r="J157" s="35" t="s">
        <v>40</v>
      </c>
      <c r="K157" s="35" t="s">
        <v>35</v>
      </c>
      <c r="L157" s="35" t="s">
        <v>340</v>
      </c>
      <c r="M157" s="39">
        <v>31.0</v>
      </c>
      <c r="N157" s="40">
        <v>46162.0</v>
      </c>
      <c r="O157" s="42" t="b">
        <v>1</v>
      </c>
      <c r="P157" s="44">
        <v>46162.0</v>
      </c>
      <c r="Q157" s="34"/>
      <c r="R157" s="34"/>
      <c r="S157" s="34"/>
      <c r="T157" s="34"/>
    </row>
    <row r="158" ht="15.75" customHeight="1">
      <c r="B158" s="33">
        <v>46154.0</v>
      </c>
      <c r="C158" s="46" t="s">
        <v>1083</v>
      </c>
      <c r="D158" s="35">
        <v>200.0</v>
      </c>
      <c r="E158" s="37">
        <v>25.0</v>
      </c>
      <c r="F158" s="38">
        <f t="shared" si="1"/>
        <v>5000</v>
      </c>
      <c r="G158" s="35" t="s">
        <v>931</v>
      </c>
      <c r="H158" s="35" t="s">
        <v>932</v>
      </c>
      <c r="I158" s="35" t="s">
        <v>59</v>
      </c>
      <c r="J158" s="35" t="s">
        <v>34</v>
      </c>
      <c r="K158" s="35" t="s">
        <v>35</v>
      </c>
      <c r="L158" s="35" t="s">
        <v>241</v>
      </c>
      <c r="M158" s="39">
        <v>31.0</v>
      </c>
      <c r="N158" s="40">
        <v>46154.0</v>
      </c>
      <c r="O158" s="42" t="b">
        <v>1</v>
      </c>
      <c r="P158" s="44">
        <v>46154.0</v>
      </c>
      <c r="Q158" s="34"/>
      <c r="R158" s="34"/>
      <c r="S158" s="34"/>
      <c r="T158" s="34"/>
    </row>
    <row r="159" ht="15.75" customHeight="1">
      <c r="B159" s="33">
        <v>46154.0</v>
      </c>
      <c r="C159" s="35">
        <v>516057.0</v>
      </c>
      <c r="D159" s="35">
        <v>500.0</v>
      </c>
      <c r="E159" s="37">
        <v>6.0</v>
      </c>
      <c r="F159" s="38">
        <f t="shared" si="1"/>
        <v>3000</v>
      </c>
      <c r="G159" s="35" t="s">
        <v>764</v>
      </c>
      <c r="H159" s="35" t="s">
        <v>765</v>
      </c>
      <c r="I159" s="35" t="s">
        <v>240</v>
      </c>
      <c r="J159" s="35" t="s">
        <v>40</v>
      </c>
      <c r="K159" s="35" t="s">
        <v>35</v>
      </c>
      <c r="L159" s="35" t="s">
        <v>160</v>
      </c>
      <c r="M159" s="39">
        <v>1.0</v>
      </c>
      <c r="N159" s="40">
        <v>46154.0</v>
      </c>
      <c r="O159" s="42" t="b">
        <v>1</v>
      </c>
      <c r="P159" s="44">
        <v>46156.0</v>
      </c>
      <c r="Q159" s="34"/>
      <c r="R159" s="34"/>
      <c r="S159" s="34"/>
      <c r="T159" s="34"/>
    </row>
    <row r="160" ht="15.75" customHeight="1">
      <c r="B160" s="33">
        <v>46154.0</v>
      </c>
      <c r="C160" s="46" t="s">
        <v>1095</v>
      </c>
      <c r="D160" s="35">
        <v>60.0</v>
      </c>
      <c r="E160" s="37">
        <v>207.0</v>
      </c>
      <c r="F160" s="38">
        <f t="shared" si="1"/>
        <v>12420</v>
      </c>
      <c r="G160" s="35" t="s">
        <v>1097</v>
      </c>
      <c r="H160" s="35" t="s">
        <v>851</v>
      </c>
      <c r="I160" s="35" t="s">
        <v>59</v>
      </c>
      <c r="J160" s="35" t="s">
        <v>34</v>
      </c>
      <c r="K160" s="35" t="s">
        <v>35</v>
      </c>
      <c r="L160" s="35" t="s">
        <v>46</v>
      </c>
      <c r="M160" s="39">
        <v>31.0</v>
      </c>
      <c r="N160" s="40">
        <v>46154.0</v>
      </c>
      <c r="O160" s="42" t="b">
        <v>1</v>
      </c>
      <c r="P160" s="44">
        <v>46154.0</v>
      </c>
      <c r="Q160" s="34"/>
      <c r="R160" s="34"/>
      <c r="S160" s="34"/>
      <c r="T160" s="34"/>
    </row>
    <row r="161" ht="15.75" customHeight="1">
      <c r="B161" s="33">
        <v>46154.0</v>
      </c>
      <c r="C161" s="35" t="s">
        <v>35</v>
      </c>
      <c r="D161" s="35">
        <v>30.0</v>
      </c>
      <c r="E161" s="37">
        <v>250.0</v>
      </c>
      <c r="F161" s="38">
        <f t="shared" si="1"/>
        <v>7500</v>
      </c>
      <c r="G161" s="35" t="s">
        <v>1104</v>
      </c>
      <c r="H161" s="35" t="s">
        <v>227</v>
      </c>
      <c r="I161" s="35" t="s">
        <v>240</v>
      </c>
      <c r="J161" s="35" t="s">
        <v>34</v>
      </c>
      <c r="K161" s="35" t="s">
        <v>35</v>
      </c>
      <c r="L161" s="35" t="s">
        <v>314</v>
      </c>
      <c r="M161" s="39">
        <v>31.0</v>
      </c>
      <c r="N161" s="44">
        <v>46155.0</v>
      </c>
      <c r="O161" s="42" t="b">
        <v>1</v>
      </c>
      <c r="P161" s="35" t="s">
        <v>1119</v>
      </c>
      <c r="Q161" s="34"/>
      <c r="R161" s="34"/>
      <c r="S161" s="34"/>
      <c r="T161" s="34"/>
    </row>
    <row r="162" ht="15.75" customHeight="1">
      <c r="B162" s="33">
        <v>46154.0</v>
      </c>
      <c r="C162" s="35">
        <v>1026.0</v>
      </c>
      <c r="D162" s="35">
        <v>7.0</v>
      </c>
      <c r="E162" s="37">
        <v>215.0</v>
      </c>
      <c r="F162" s="38">
        <f t="shared" si="1"/>
        <v>1505</v>
      </c>
      <c r="G162" s="35" t="s">
        <v>1124</v>
      </c>
      <c r="H162" s="35" t="s">
        <v>1125</v>
      </c>
      <c r="I162" s="35" t="s">
        <v>240</v>
      </c>
      <c r="J162" s="35" t="s">
        <v>34</v>
      </c>
      <c r="K162" s="35" t="s">
        <v>35</v>
      </c>
      <c r="L162" s="35" t="s">
        <v>132</v>
      </c>
      <c r="M162" s="39">
        <v>31.0</v>
      </c>
      <c r="N162" s="40">
        <v>46154.0</v>
      </c>
      <c r="O162" s="42" t="b">
        <v>1</v>
      </c>
      <c r="P162" s="44">
        <v>46156.0</v>
      </c>
      <c r="Q162" s="34"/>
      <c r="R162" s="34"/>
      <c r="S162" s="34"/>
      <c r="T162" s="34"/>
    </row>
    <row r="163" ht="15.75" customHeight="1">
      <c r="B163" s="33">
        <v>46154.0</v>
      </c>
      <c r="C163" s="35">
        <v>1026.0</v>
      </c>
      <c r="D163" s="35">
        <v>50.0</v>
      </c>
      <c r="E163" s="37">
        <v>180.0</v>
      </c>
      <c r="F163" s="38">
        <f t="shared" si="1"/>
        <v>9000</v>
      </c>
      <c r="G163" s="35" t="s">
        <v>1130</v>
      </c>
      <c r="H163" s="35" t="s">
        <v>1131</v>
      </c>
      <c r="I163" s="35" t="s">
        <v>240</v>
      </c>
      <c r="J163" s="35" t="s">
        <v>34</v>
      </c>
      <c r="K163" s="35" t="s">
        <v>35</v>
      </c>
      <c r="L163" s="35" t="s">
        <v>132</v>
      </c>
      <c r="M163" s="39">
        <v>31.0</v>
      </c>
      <c r="N163" s="40">
        <v>46154.0</v>
      </c>
      <c r="O163" s="42" t="b">
        <v>1</v>
      </c>
      <c r="P163" s="44">
        <v>46156.0</v>
      </c>
      <c r="Q163" s="34"/>
      <c r="R163" s="34"/>
      <c r="S163" s="34"/>
      <c r="T163" s="34"/>
    </row>
    <row r="164" ht="15.75" customHeight="1">
      <c r="B164" s="33">
        <v>46154.0</v>
      </c>
      <c r="C164" s="35">
        <v>293.0</v>
      </c>
      <c r="D164" s="35">
        <v>50.0</v>
      </c>
      <c r="E164" s="37">
        <v>245.0</v>
      </c>
      <c r="F164" s="38">
        <f t="shared" si="1"/>
        <v>12250</v>
      </c>
      <c r="G164" s="35" t="s">
        <v>1136</v>
      </c>
      <c r="H164" s="35" t="s">
        <v>1138</v>
      </c>
      <c r="I164" s="35" t="s">
        <v>32</v>
      </c>
      <c r="J164" s="35" t="s">
        <v>34</v>
      </c>
      <c r="K164" s="35" t="s">
        <v>35</v>
      </c>
      <c r="L164" s="35" t="s">
        <v>515</v>
      </c>
      <c r="M164" s="39">
        <v>31.0</v>
      </c>
      <c r="N164" s="40">
        <v>46164.0</v>
      </c>
      <c r="O164" s="42" t="b">
        <v>1</v>
      </c>
      <c r="P164" s="44">
        <v>46164.0</v>
      </c>
      <c r="Q164" s="34"/>
      <c r="R164" s="34"/>
      <c r="S164" s="34"/>
      <c r="T164" s="34"/>
    </row>
    <row r="165" ht="15.75" customHeight="1">
      <c r="B165" s="33">
        <v>46154.0</v>
      </c>
      <c r="C165" s="35">
        <v>293.0</v>
      </c>
      <c r="D165" s="35">
        <v>15.0</v>
      </c>
      <c r="E165" s="37">
        <v>399.0</v>
      </c>
      <c r="F165" s="38">
        <f t="shared" si="1"/>
        <v>5985</v>
      </c>
      <c r="G165" s="35" t="s">
        <v>579</v>
      </c>
      <c r="H165" s="35" t="s">
        <v>1143</v>
      </c>
      <c r="I165" s="35" t="s">
        <v>32</v>
      </c>
      <c r="J165" s="35" t="s">
        <v>34</v>
      </c>
      <c r="K165" s="35" t="s">
        <v>35</v>
      </c>
      <c r="L165" s="35" t="s">
        <v>515</v>
      </c>
      <c r="M165" s="39">
        <v>31.0</v>
      </c>
      <c r="N165" s="40">
        <v>46164.0</v>
      </c>
      <c r="O165" s="42" t="b">
        <v>1</v>
      </c>
      <c r="P165" s="44">
        <v>46164.0</v>
      </c>
      <c r="Q165" s="34"/>
      <c r="R165" s="34"/>
      <c r="S165" s="34"/>
      <c r="T165" s="34"/>
    </row>
    <row r="166" ht="15.75" customHeight="1">
      <c r="B166" s="33">
        <v>46154.0</v>
      </c>
      <c r="C166" s="46" t="s">
        <v>1146</v>
      </c>
      <c r="D166" s="35">
        <v>1000.0</v>
      </c>
      <c r="E166" s="37">
        <v>78.0</v>
      </c>
      <c r="F166" s="38">
        <f t="shared" si="1"/>
        <v>78000</v>
      </c>
      <c r="G166" s="35" t="s">
        <v>1148</v>
      </c>
      <c r="H166" s="35" t="s">
        <v>1151</v>
      </c>
      <c r="I166" s="35" t="s">
        <v>41</v>
      </c>
      <c r="J166" s="35" t="s">
        <v>40</v>
      </c>
      <c r="K166" s="35" t="s">
        <v>35</v>
      </c>
      <c r="L166" s="35" t="s">
        <v>87</v>
      </c>
      <c r="M166" s="39">
        <v>31.0</v>
      </c>
      <c r="N166" s="40">
        <v>46154.0</v>
      </c>
      <c r="O166" s="42" t="b">
        <v>1</v>
      </c>
      <c r="P166" s="44">
        <v>46156.0</v>
      </c>
      <c r="Q166" s="34"/>
      <c r="R166" s="34"/>
      <c r="S166" s="34"/>
      <c r="T166" s="34"/>
    </row>
    <row r="167" ht="15.75" customHeight="1">
      <c r="B167" s="33">
        <v>46154.0</v>
      </c>
      <c r="C167" s="46" t="s">
        <v>1154</v>
      </c>
      <c r="D167" s="35">
        <v>400.0</v>
      </c>
      <c r="E167" s="37">
        <v>300.0</v>
      </c>
      <c r="F167" s="38">
        <f t="shared" si="1"/>
        <v>120000</v>
      </c>
      <c r="G167" s="35" t="s">
        <v>1157</v>
      </c>
      <c r="H167" s="35" t="s">
        <v>1158</v>
      </c>
      <c r="I167" s="35" t="s">
        <v>32</v>
      </c>
      <c r="J167" s="35" t="s">
        <v>34</v>
      </c>
      <c r="K167" s="35" t="s">
        <v>35</v>
      </c>
      <c r="L167" s="35" t="s">
        <v>87</v>
      </c>
      <c r="M167" s="39">
        <v>31.0</v>
      </c>
      <c r="N167" s="40">
        <v>46161.0</v>
      </c>
      <c r="O167" s="42" t="b">
        <v>1</v>
      </c>
      <c r="P167" s="44">
        <v>46162.0</v>
      </c>
      <c r="Q167" s="34"/>
      <c r="R167" s="34"/>
      <c r="S167" s="34"/>
      <c r="T167" s="34"/>
    </row>
    <row r="168" ht="15.75" customHeight="1">
      <c r="B168" s="33">
        <v>46154.0</v>
      </c>
      <c r="C168" s="46" t="s">
        <v>1163</v>
      </c>
      <c r="D168" s="35">
        <v>1.0</v>
      </c>
      <c r="E168" s="37">
        <v>269.0</v>
      </c>
      <c r="F168" s="38">
        <f t="shared" si="1"/>
        <v>269</v>
      </c>
      <c r="G168" s="35" t="s">
        <v>1164</v>
      </c>
      <c r="H168" s="35" t="s">
        <v>1165</v>
      </c>
      <c r="I168" s="35" t="s">
        <v>240</v>
      </c>
      <c r="J168" s="35" t="s">
        <v>34</v>
      </c>
      <c r="K168" s="35" t="s">
        <v>35</v>
      </c>
      <c r="L168" s="35" t="s">
        <v>87</v>
      </c>
      <c r="M168" s="39">
        <v>31.0</v>
      </c>
      <c r="N168" s="40">
        <v>46161.0</v>
      </c>
      <c r="O168" s="42" t="b">
        <v>1</v>
      </c>
      <c r="P168" s="44">
        <v>46162.0</v>
      </c>
      <c r="Q168" s="34"/>
      <c r="R168" s="34"/>
      <c r="S168" s="34"/>
      <c r="T168" s="34"/>
    </row>
    <row r="169" ht="15.75" customHeight="1">
      <c r="B169" s="33">
        <v>46154.0</v>
      </c>
      <c r="C169" s="35">
        <v>1027.0</v>
      </c>
      <c r="D169" s="35">
        <v>50.0</v>
      </c>
      <c r="E169" s="37">
        <v>180.0</v>
      </c>
      <c r="F169" s="38">
        <f t="shared" si="1"/>
        <v>9000</v>
      </c>
      <c r="G169" s="35" t="s">
        <v>1130</v>
      </c>
      <c r="H169" s="35" t="s">
        <v>1131</v>
      </c>
      <c r="I169" s="35" t="s">
        <v>240</v>
      </c>
      <c r="J169" s="35" t="s">
        <v>34</v>
      </c>
      <c r="K169" s="35" t="s">
        <v>35</v>
      </c>
      <c r="L169" s="35" t="s">
        <v>132</v>
      </c>
      <c r="M169" s="39">
        <v>31.0</v>
      </c>
      <c r="N169" s="40">
        <v>46154.0</v>
      </c>
      <c r="O169" s="42" t="b">
        <v>1</v>
      </c>
      <c r="P169" s="44">
        <v>46156.0</v>
      </c>
      <c r="Q169" s="34"/>
      <c r="R169" s="34"/>
      <c r="S169" s="34"/>
      <c r="T169" s="34"/>
    </row>
    <row r="170" ht="15.75" customHeight="1">
      <c r="B170" s="33">
        <v>46154.0</v>
      </c>
      <c r="C170" s="35">
        <v>1027.0</v>
      </c>
      <c r="D170" s="35">
        <v>100.0</v>
      </c>
      <c r="E170" s="37">
        <v>180.0</v>
      </c>
      <c r="F170" s="38">
        <f t="shared" si="1"/>
        <v>18000</v>
      </c>
      <c r="G170" s="35" t="s">
        <v>1130</v>
      </c>
      <c r="H170" s="35" t="s">
        <v>1131</v>
      </c>
      <c r="I170" s="35" t="s">
        <v>41</v>
      </c>
      <c r="J170" s="35" t="s">
        <v>34</v>
      </c>
      <c r="K170" s="35" t="s">
        <v>35</v>
      </c>
      <c r="L170" s="35" t="s">
        <v>132</v>
      </c>
      <c r="M170" s="39">
        <v>31.0</v>
      </c>
      <c r="N170" s="40">
        <v>46154.0</v>
      </c>
      <c r="O170" s="42" t="b">
        <v>1</v>
      </c>
      <c r="P170" s="44">
        <v>46155.0</v>
      </c>
      <c r="Q170" s="34"/>
      <c r="R170" s="34"/>
      <c r="S170" s="34"/>
      <c r="T170" s="34"/>
    </row>
    <row r="171" ht="15.75" customHeight="1">
      <c r="B171" s="33">
        <v>46154.0</v>
      </c>
      <c r="C171" s="46" t="s">
        <v>1182</v>
      </c>
      <c r="D171" s="35">
        <v>20.0</v>
      </c>
      <c r="E171" s="37">
        <v>195.3</v>
      </c>
      <c r="F171" s="38">
        <f t="shared" si="1"/>
        <v>3906</v>
      </c>
      <c r="G171" s="35" t="s">
        <v>1184</v>
      </c>
      <c r="H171" s="35" t="s">
        <v>1185</v>
      </c>
      <c r="I171" s="35" t="s">
        <v>240</v>
      </c>
      <c r="J171" s="35" t="s">
        <v>34</v>
      </c>
      <c r="K171" s="35" t="s">
        <v>35</v>
      </c>
      <c r="L171" s="35" t="s">
        <v>1189</v>
      </c>
      <c r="M171" s="39">
        <v>1.0</v>
      </c>
      <c r="N171" s="40">
        <v>46155.0</v>
      </c>
      <c r="O171" s="42" t="b">
        <v>1</v>
      </c>
      <c r="P171" s="44">
        <v>46157.0</v>
      </c>
      <c r="Q171" s="34"/>
      <c r="R171" s="34"/>
      <c r="S171" s="34"/>
      <c r="T171" s="34"/>
    </row>
    <row r="172" ht="15.75" customHeight="1">
      <c r="B172" s="33">
        <v>46154.0</v>
      </c>
      <c r="C172" s="46" t="s">
        <v>1182</v>
      </c>
      <c r="D172" s="35">
        <v>20.0</v>
      </c>
      <c r="E172" s="37">
        <v>12.834</v>
      </c>
      <c r="F172" s="38">
        <f t="shared" si="1"/>
        <v>256.68</v>
      </c>
      <c r="G172" s="35" t="s">
        <v>1195</v>
      </c>
      <c r="H172" s="35" t="s">
        <v>1197</v>
      </c>
      <c r="I172" s="35" t="s">
        <v>240</v>
      </c>
      <c r="J172" s="35" t="s">
        <v>34</v>
      </c>
      <c r="K172" s="35" t="s">
        <v>35</v>
      </c>
      <c r="L172" s="35" t="s">
        <v>1189</v>
      </c>
      <c r="M172" s="39">
        <v>1.0</v>
      </c>
      <c r="N172" s="40">
        <v>46155.0</v>
      </c>
      <c r="O172" s="42" t="b">
        <v>1</v>
      </c>
      <c r="P172" s="44">
        <v>46157.0</v>
      </c>
      <c r="Q172" s="34"/>
      <c r="R172" s="34"/>
      <c r="S172" s="34"/>
      <c r="T172" s="34"/>
    </row>
    <row r="173" ht="15.75" customHeight="1">
      <c r="B173" s="33">
        <v>46154.0</v>
      </c>
      <c r="C173" s="46" t="s">
        <v>1182</v>
      </c>
      <c r="D173" s="35">
        <v>80.0</v>
      </c>
      <c r="E173" s="37">
        <v>12.834</v>
      </c>
      <c r="F173" s="38">
        <f t="shared" si="1"/>
        <v>1026.72</v>
      </c>
      <c r="G173" s="35" t="s">
        <v>1195</v>
      </c>
      <c r="H173" s="35" t="s">
        <v>1197</v>
      </c>
      <c r="I173" s="35" t="s">
        <v>240</v>
      </c>
      <c r="J173" s="35" t="s">
        <v>40</v>
      </c>
      <c r="K173" s="35" t="s">
        <v>35</v>
      </c>
      <c r="L173" s="35" t="s">
        <v>1189</v>
      </c>
      <c r="M173" s="39">
        <v>1.0</v>
      </c>
      <c r="N173" s="44">
        <v>46155.0</v>
      </c>
      <c r="O173" s="42" t="b">
        <v>1</v>
      </c>
      <c r="P173" s="44">
        <v>46157.0</v>
      </c>
      <c r="Q173" s="34"/>
      <c r="R173" s="34"/>
      <c r="S173" s="34"/>
      <c r="T173" s="34"/>
    </row>
    <row r="174" ht="15.75" customHeight="1">
      <c r="B174" s="33">
        <v>46154.0</v>
      </c>
      <c r="C174" s="35">
        <v>917515.0</v>
      </c>
      <c r="D174" s="35">
        <v>50.0</v>
      </c>
      <c r="E174" s="37">
        <v>325.0</v>
      </c>
      <c r="F174" s="38">
        <f t="shared" si="1"/>
        <v>16250</v>
      </c>
      <c r="G174" s="35" t="s">
        <v>1205</v>
      </c>
      <c r="H174" s="35">
        <v>61715.0</v>
      </c>
      <c r="I174" s="35" t="s">
        <v>673</v>
      </c>
      <c r="J174" s="35" t="s">
        <v>175</v>
      </c>
      <c r="K174" s="35" t="s">
        <v>35</v>
      </c>
      <c r="L174" s="35" t="s">
        <v>74</v>
      </c>
      <c r="M174" s="39">
        <v>31.0</v>
      </c>
      <c r="N174" s="44">
        <v>46156.0</v>
      </c>
      <c r="O174" s="42" t="b">
        <v>1</v>
      </c>
      <c r="P174" s="44">
        <v>46161.0</v>
      </c>
      <c r="Q174" s="34"/>
      <c r="R174" s="34"/>
      <c r="S174" s="34"/>
      <c r="T174" s="34"/>
    </row>
    <row r="175" ht="15.75" customHeight="1">
      <c r="B175" s="33">
        <v>46154.0</v>
      </c>
      <c r="C175" s="35" t="s">
        <v>35</v>
      </c>
      <c r="D175" s="35">
        <v>176.0</v>
      </c>
      <c r="E175" s="37">
        <v>486.17</v>
      </c>
      <c r="F175" s="38">
        <f t="shared" si="1"/>
        <v>85565.92</v>
      </c>
      <c r="G175" s="35" t="s">
        <v>1211</v>
      </c>
      <c r="H175" s="35" t="s">
        <v>312</v>
      </c>
      <c r="I175" s="35" t="s">
        <v>32</v>
      </c>
      <c r="J175" s="35" t="s">
        <v>34</v>
      </c>
      <c r="K175" s="35" t="s">
        <v>35</v>
      </c>
      <c r="L175" s="35" t="s">
        <v>365</v>
      </c>
      <c r="M175" s="39">
        <v>31.0</v>
      </c>
      <c r="N175" s="40">
        <v>46162.0</v>
      </c>
      <c r="O175" s="42" t="b">
        <v>1</v>
      </c>
      <c r="P175" s="44">
        <v>46162.0</v>
      </c>
      <c r="Q175" s="34"/>
      <c r="R175" s="34"/>
      <c r="S175" s="34"/>
      <c r="T175" s="34"/>
    </row>
    <row r="176" ht="15.75" customHeight="1">
      <c r="B176" s="33">
        <v>46154.0</v>
      </c>
      <c r="C176" s="46" t="s">
        <v>1215</v>
      </c>
      <c r="D176" s="35">
        <v>10.0</v>
      </c>
      <c r="E176" s="37">
        <v>2200.0</v>
      </c>
      <c r="F176" s="38">
        <f t="shared" si="1"/>
        <v>22000</v>
      </c>
      <c r="G176" s="35" t="s">
        <v>1219</v>
      </c>
      <c r="H176" s="46" t="s">
        <v>1220</v>
      </c>
      <c r="I176" s="35" t="s">
        <v>39</v>
      </c>
      <c r="J176" s="35" t="s">
        <v>35</v>
      </c>
      <c r="K176" s="35" t="s">
        <v>35</v>
      </c>
      <c r="L176" s="35" t="s">
        <v>1223</v>
      </c>
      <c r="M176" s="39">
        <v>31.0</v>
      </c>
      <c r="N176" s="66">
        <v>46160.0</v>
      </c>
      <c r="O176" s="42" t="b">
        <v>0</v>
      </c>
      <c r="P176" s="36"/>
      <c r="Q176" s="34"/>
      <c r="R176" s="34"/>
      <c r="S176" s="34"/>
      <c r="T176" s="34"/>
    </row>
    <row r="177" ht="15.75" customHeight="1">
      <c r="B177" s="33">
        <v>46154.0</v>
      </c>
      <c r="C177" s="46" t="s">
        <v>1215</v>
      </c>
      <c r="D177" s="35">
        <v>5.0</v>
      </c>
      <c r="E177" s="37">
        <v>1955.1</v>
      </c>
      <c r="F177" s="38">
        <f t="shared" si="1"/>
        <v>9775.5</v>
      </c>
      <c r="G177" s="35" t="s">
        <v>1230</v>
      </c>
      <c r="H177" s="46" t="s">
        <v>1231</v>
      </c>
      <c r="I177" s="35" t="s">
        <v>39</v>
      </c>
      <c r="J177" s="35" t="s">
        <v>35</v>
      </c>
      <c r="K177" s="35" t="s">
        <v>35</v>
      </c>
      <c r="L177" s="35" t="s">
        <v>1223</v>
      </c>
      <c r="M177" s="39">
        <v>31.0</v>
      </c>
      <c r="N177" s="66">
        <v>46160.0</v>
      </c>
      <c r="O177" s="42" t="b">
        <v>0</v>
      </c>
      <c r="P177" s="36"/>
      <c r="Q177" s="34"/>
      <c r="R177" s="34"/>
      <c r="S177" s="34"/>
      <c r="T177" s="34"/>
    </row>
    <row r="178" ht="15.75" customHeight="1">
      <c r="B178" s="33">
        <v>46154.0</v>
      </c>
      <c r="C178" s="46" t="s">
        <v>1215</v>
      </c>
      <c r="D178" s="35">
        <v>2.0</v>
      </c>
      <c r="E178" s="37">
        <v>1949.91</v>
      </c>
      <c r="F178" s="38">
        <f t="shared" si="1"/>
        <v>3899.82</v>
      </c>
      <c r="G178" s="35" t="s">
        <v>1238</v>
      </c>
      <c r="H178" s="46" t="s">
        <v>1239</v>
      </c>
      <c r="I178" s="35" t="s">
        <v>39</v>
      </c>
      <c r="J178" s="35" t="s">
        <v>35</v>
      </c>
      <c r="K178" s="35" t="s">
        <v>35</v>
      </c>
      <c r="L178" s="35" t="s">
        <v>1223</v>
      </c>
      <c r="M178" s="39">
        <v>31.0</v>
      </c>
      <c r="N178" s="66">
        <v>46160.0</v>
      </c>
      <c r="O178" s="42" t="b">
        <v>0</v>
      </c>
      <c r="P178" s="36"/>
      <c r="Q178" s="34"/>
      <c r="R178" s="34"/>
      <c r="S178" s="34"/>
      <c r="T178" s="34"/>
    </row>
    <row r="179" ht="15.75" customHeight="1">
      <c r="B179" s="33">
        <v>46154.0</v>
      </c>
      <c r="C179" s="46" t="s">
        <v>1215</v>
      </c>
      <c r="D179" s="35">
        <v>3.0</v>
      </c>
      <c r="E179" s="37">
        <v>850.0</v>
      </c>
      <c r="F179" s="38">
        <f t="shared" si="1"/>
        <v>2550</v>
      </c>
      <c r="G179" s="35" t="s">
        <v>1246</v>
      </c>
      <c r="H179" s="46" t="s">
        <v>1247</v>
      </c>
      <c r="I179" s="35" t="s">
        <v>39</v>
      </c>
      <c r="J179" s="35" t="s">
        <v>35</v>
      </c>
      <c r="K179" s="35" t="s">
        <v>35</v>
      </c>
      <c r="L179" s="35" t="s">
        <v>1223</v>
      </c>
      <c r="M179" s="39">
        <v>31.0</v>
      </c>
      <c r="N179" s="66">
        <v>46160.0</v>
      </c>
      <c r="O179" s="42" t="b">
        <v>0</v>
      </c>
      <c r="P179" s="36"/>
      <c r="Q179" s="34"/>
      <c r="R179" s="34"/>
      <c r="S179" s="34"/>
      <c r="T179" s="34"/>
    </row>
    <row r="180" ht="15.75" customHeight="1">
      <c r="B180" s="33">
        <v>46154.0</v>
      </c>
      <c r="C180" s="46" t="s">
        <v>1215</v>
      </c>
      <c r="D180" s="35">
        <v>4.0</v>
      </c>
      <c r="E180" s="37">
        <v>1699.07</v>
      </c>
      <c r="F180" s="38">
        <f t="shared" si="1"/>
        <v>6796.28</v>
      </c>
      <c r="G180" s="35" t="s">
        <v>1254</v>
      </c>
      <c r="H180" s="46" t="s">
        <v>1256</v>
      </c>
      <c r="I180" s="35" t="s">
        <v>39</v>
      </c>
      <c r="J180" s="35" t="s">
        <v>35</v>
      </c>
      <c r="K180" s="35" t="s">
        <v>35</v>
      </c>
      <c r="L180" s="35" t="s">
        <v>1223</v>
      </c>
      <c r="M180" s="39">
        <v>31.0</v>
      </c>
      <c r="N180" s="66">
        <v>46160.0</v>
      </c>
      <c r="O180" s="42" t="b">
        <v>0</v>
      </c>
      <c r="P180" s="45"/>
      <c r="Q180" s="34"/>
      <c r="R180" s="34"/>
      <c r="S180" s="34"/>
      <c r="T180" s="35"/>
    </row>
    <row r="181" ht="15.75" customHeight="1">
      <c r="B181" s="33">
        <v>46155.0</v>
      </c>
      <c r="C181" s="35">
        <v>1028.0</v>
      </c>
      <c r="D181" s="35">
        <v>40.0</v>
      </c>
      <c r="E181" s="37">
        <v>180.0</v>
      </c>
      <c r="F181" s="38">
        <f t="shared" si="1"/>
        <v>7200</v>
      </c>
      <c r="G181" s="35" t="s">
        <v>1130</v>
      </c>
      <c r="H181" s="35" t="s">
        <v>1131</v>
      </c>
      <c r="I181" s="35" t="s">
        <v>59</v>
      </c>
      <c r="J181" s="35" t="s">
        <v>34</v>
      </c>
      <c r="K181" s="35" t="s">
        <v>35</v>
      </c>
      <c r="L181" s="35" t="s">
        <v>132</v>
      </c>
      <c r="M181" s="39">
        <v>31.0</v>
      </c>
      <c r="N181" s="40">
        <v>46155.0</v>
      </c>
      <c r="O181" s="42" t="b">
        <v>1</v>
      </c>
      <c r="P181" s="44">
        <v>46155.0</v>
      </c>
      <c r="Q181" s="34"/>
      <c r="R181" s="34"/>
      <c r="S181" s="34"/>
      <c r="T181" s="34"/>
    </row>
    <row r="182" ht="15.75" customHeight="1">
      <c r="B182" s="33">
        <v>46155.0</v>
      </c>
      <c r="C182" s="35">
        <v>1028.0</v>
      </c>
      <c r="D182" s="35">
        <v>15.0</v>
      </c>
      <c r="E182" s="37">
        <v>152.0</v>
      </c>
      <c r="F182" s="38">
        <f t="shared" si="1"/>
        <v>2280</v>
      </c>
      <c r="G182" s="35" t="s">
        <v>135</v>
      </c>
      <c r="H182" s="35" t="s">
        <v>137</v>
      </c>
      <c r="I182" s="35" t="s">
        <v>59</v>
      </c>
      <c r="J182" s="35" t="s">
        <v>34</v>
      </c>
      <c r="K182" s="35" t="s">
        <v>35</v>
      </c>
      <c r="L182" s="35" t="s">
        <v>132</v>
      </c>
      <c r="M182" s="39">
        <v>31.0</v>
      </c>
      <c r="N182" s="40">
        <v>46155.0</v>
      </c>
      <c r="O182" s="42" t="b">
        <v>1</v>
      </c>
      <c r="P182" s="44">
        <v>46155.0</v>
      </c>
      <c r="Q182" s="34"/>
      <c r="R182" s="34"/>
      <c r="S182" s="34"/>
      <c r="T182" s="34"/>
    </row>
    <row r="183" ht="15.75" customHeight="1">
      <c r="B183" s="33">
        <v>46155.0</v>
      </c>
      <c r="C183" s="35" t="s">
        <v>35</v>
      </c>
      <c r="D183" s="35">
        <v>200.0</v>
      </c>
      <c r="E183" s="37">
        <v>120.0</v>
      </c>
      <c r="F183" s="38">
        <f t="shared" si="1"/>
        <v>24000</v>
      </c>
      <c r="G183" s="35" t="s">
        <v>1271</v>
      </c>
      <c r="H183" s="35" t="s">
        <v>874</v>
      </c>
      <c r="I183" s="35" t="s">
        <v>59</v>
      </c>
      <c r="J183" s="35" t="s">
        <v>34</v>
      </c>
      <c r="K183" s="35" t="s">
        <v>35</v>
      </c>
      <c r="L183" s="35" t="s">
        <v>585</v>
      </c>
      <c r="M183" s="39">
        <v>31.0</v>
      </c>
      <c r="N183" s="40">
        <v>46155.0</v>
      </c>
      <c r="O183" s="42" t="b">
        <v>1</v>
      </c>
      <c r="P183" s="44">
        <v>46155.0</v>
      </c>
      <c r="Q183" s="34"/>
      <c r="R183" s="34"/>
      <c r="S183" s="34"/>
      <c r="T183" s="34"/>
    </row>
    <row r="184" ht="15.75" customHeight="1">
      <c r="B184" s="33">
        <v>46155.0</v>
      </c>
      <c r="C184" s="35" t="s">
        <v>35</v>
      </c>
      <c r="D184" s="35">
        <v>400.0</v>
      </c>
      <c r="E184" s="37">
        <v>120.0</v>
      </c>
      <c r="F184" s="38">
        <f t="shared" si="1"/>
        <v>48000</v>
      </c>
      <c r="G184" s="35" t="s">
        <v>299</v>
      </c>
      <c r="H184" s="35" t="s">
        <v>299</v>
      </c>
      <c r="I184" s="35" t="s">
        <v>59</v>
      </c>
      <c r="J184" s="35" t="s">
        <v>34</v>
      </c>
      <c r="K184" s="35" t="s">
        <v>35</v>
      </c>
      <c r="L184" s="35" t="s">
        <v>67</v>
      </c>
      <c r="M184" s="39">
        <v>31.0</v>
      </c>
      <c r="N184" s="40">
        <v>46155.0</v>
      </c>
      <c r="O184" s="42" t="b">
        <v>1</v>
      </c>
      <c r="P184" s="44">
        <v>46155.0</v>
      </c>
      <c r="Q184" s="34"/>
      <c r="R184" s="34"/>
      <c r="S184" s="34"/>
      <c r="T184" s="34"/>
    </row>
    <row r="185" ht="15.75" customHeight="1">
      <c r="B185" s="33">
        <v>46155.0</v>
      </c>
      <c r="C185" s="35" t="s">
        <v>35</v>
      </c>
      <c r="D185" s="35">
        <v>50.0</v>
      </c>
      <c r="E185" s="37">
        <v>500.0</v>
      </c>
      <c r="F185" s="38">
        <f t="shared" si="1"/>
        <v>25000</v>
      </c>
      <c r="G185" s="35" t="s">
        <v>312</v>
      </c>
      <c r="H185" s="35" t="s">
        <v>312</v>
      </c>
      <c r="I185" s="35" t="s">
        <v>59</v>
      </c>
      <c r="J185" s="35" t="s">
        <v>34</v>
      </c>
      <c r="K185" s="35" t="s">
        <v>35</v>
      </c>
      <c r="L185" s="35" t="s">
        <v>67</v>
      </c>
      <c r="M185" s="39">
        <v>31.0</v>
      </c>
      <c r="N185" s="40">
        <v>46155.0</v>
      </c>
      <c r="O185" s="42" t="b">
        <v>1</v>
      </c>
      <c r="P185" s="44">
        <v>46155.0</v>
      </c>
      <c r="Q185" s="34"/>
      <c r="R185" s="34"/>
      <c r="S185" s="34"/>
      <c r="T185" s="34"/>
    </row>
    <row r="186" ht="15.75" customHeight="1">
      <c r="B186" s="33">
        <v>46155.0</v>
      </c>
      <c r="C186" s="35">
        <v>663.0</v>
      </c>
      <c r="D186" s="35">
        <v>500.0</v>
      </c>
      <c r="E186" s="37">
        <v>90.0</v>
      </c>
      <c r="F186" s="38">
        <f t="shared" si="1"/>
        <v>45000</v>
      </c>
      <c r="G186" s="35" t="s">
        <v>959</v>
      </c>
      <c r="H186" s="35" t="s">
        <v>961</v>
      </c>
      <c r="I186" s="35" t="s">
        <v>32</v>
      </c>
      <c r="J186" s="35" t="s">
        <v>34</v>
      </c>
      <c r="K186" s="35" t="s">
        <v>35</v>
      </c>
      <c r="L186" s="35" t="s">
        <v>140</v>
      </c>
      <c r="M186" s="39">
        <v>31.0</v>
      </c>
      <c r="N186" s="40">
        <v>46156.0</v>
      </c>
      <c r="O186" s="42" t="b">
        <v>1</v>
      </c>
      <c r="P186" s="45"/>
      <c r="Q186" s="34"/>
      <c r="R186" s="34"/>
      <c r="S186" s="34"/>
      <c r="T186" s="34"/>
    </row>
    <row r="187" ht="15.75" customHeight="1">
      <c r="B187" s="33">
        <v>46155.0</v>
      </c>
      <c r="C187" s="35" t="s">
        <v>35</v>
      </c>
      <c r="D187" s="35">
        <v>400.0</v>
      </c>
      <c r="E187" s="37">
        <v>100.0</v>
      </c>
      <c r="F187" s="38">
        <f t="shared" si="1"/>
        <v>40000</v>
      </c>
      <c r="G187" s="35" t="s">
        <v>1292</v>
      </c>
      <c r="H187" s="35" t="s">
        <v>139</v>
      </c>
      <c r="I187" s="35" t="s">
        <v>32</v>
      </c>
      <c r="J187" s="35" t="s">
        <v>34</v>
      </c>
      <c r="K187" s="35" t="s">
        <v>35</v>
      </c>
      <c r="L187" s="35" t="s">
        <v>314</v>
      </c>
      <c r="M187" s="39">
        <v>31.0</v>
      </c>
      <c r="N187" s="40">
        <v>46160.0</v>
      </c>
      <c r="O187" s="42" t="b">
        <v>1</v>
      </c>
      <c r="P187" s="44">
        <v>46160.0</v>
      </c>
      <c r="Q187" s="34"/>
      <c r="R187" s="34"/>
      <c r="S187" s="34"/>
      <c r="T187" s="34"/>
    </row>
    <row r="188" ht="15.75" customHeight="1">
      <c r="B188" s="33">
        <v>46155.0</v>
      </c>
      <c r="C188" s="35" t="s">
        <v>35</v>
      </c>
      <c r="D188" s="35">
        <v>400.0</v>
      </c>
      <c r="E188" s="37">
        <v>250.0</v>
      </c>
      <c r="F188" s="38">
        <f t="shared" si="1"/>
        <v>100000</v>
      </c>
      <c r="G188" s="35" t="s">
        <v>1299</v>
      </c>
      <c r="H188" s="35" t="s">
        <v>227</v>
      </c>
      <c r="I188" s="35" t="s">
        <v>32</v>
      </c>
      <c r="J188" s="35" t="s">
        <v>34</v>
      </c>
      <c r="K188" s="35" t="s">
        <v>35</v>
      </c>
      <c r="L188" s="35" t="s">
        <v>314</v>
      </c>
      <c r="M188" s="39">
        <v>31.0</v>
      </c>
      <c r="N188" s="40">
        <v>46160.0</v>
      </c>
      <c r="O188" s="42" t="b">
        <v>1</v>
      </c>
      <c r="P188" s="44">
        <v>46160.0</v>
      </c>
      <c r="Q188" s="34"/>
      <c r="R188" s="34"/>
      <c r="S188" s="34"/>
      <c r="T188" s="34"/>
    </row>
    <row r="189" ht="15.75" customHeight="1">
      <c r="B189" s="33">
        <v>46155.0</v>
      </c>
      <c r="C189" s="35" t="s">
        <v>35</v>
      </c>
      <c r="D189" s="35">
        <v>50.0</v>
      </c>
      <c r="E189" s="37">
        <v>100.9</v>
      </c>
      <c r="F189" s="38">
        <f t="shared" si="1"/>
        <v>5045</v>
      </c>
      <c r="G189" s="35" t="s">
        <v>1306</v>
      </c>
      <c r="H189" s="35" t="s">
        <v>1307</v>
      </c>
      <c r="I189" s="35" t="s">
        <v>32</v>
      </c>
      <c r="J189" s="35" t="s">
        <v>34</v>
      </c>
      <c r="K189" s="35" t="s">
        <v>35</v>
      </c>
      <c r="L189" s="35" t="s">
        <v>1308</v>
      </c>
      <c r="M189" s="39">
        <v>31.0</v>
      </c>
      <c r="N189" s="41">
        <v>46169.0</v>
      </c>
      <c r="O189" s="42" t="b">
        <v>1</v>
      </c>
      <c r="P189" s="44">
        <v>46170.0</v>
      </c>
      <c r="Q189" s="34"/>
      <c r="R189" s="34"/>
      <c r="S189" s="34"/>
      <c r="T189" s="34"/>
    </row>
    <row r="190" ht="15.75" customHeight="1">
      <c r="B190" s="33">
        <v>46155.0</v>
      </c>
      <c r="C190" s="35" t="s">
        <v>35</v>
      </c>
      <c r="D190" s="35">
        <v>50.0</v>
      </c>
      <c r="E190" s="37">
        <v>100.9</v>
      </c>
      <c r="F190" s="38">
        <f t="shared" si="1"/>
        <v>5045</v>
      </c>
      <c r="G190" s="35" t="s">
        <v>1306</v>
      </c>
      <c r="H190" s="35" t="s">
        <v>1307</v>
      </c>
      <c r="I190" s="35" t="s">
        <v>32</v>
      </c>
      <c r="J190" s="35" t="s">
        <v>40</v>
      </c>
      <c r="K190" s="35" t="s">
        <v>35</v>
      </c>
      <c r="L190" s="35" t="s">
        <v>1308</v>
      </c>
      <c r="M190" s="39">
        <v>31.0</v>
      </c>
      <c r="N190" s="41">
        <v>46169.0</v>
      </c>
      <c r="O190" s="42" t="b">
        <v>1</v>
      </c>
      <c r="P190" s="44">
        <v>46170.0</v>
      </c>
      <c r="Q190" s="34"/>
      <c r="R190" s="34"/>
      <c r="S190" s="34"/>
      <c r="T190" s="34"/>
    </row>
    <row r="191" ht="15.75" customHeight="1">
      <c r="B191" s="33">
        <v>46155.0</v>
      </c>
      <c r="C191" s="35" t="s">
        <v>35</v>
      </c>
      <c r="D191" s="35">
        <v>200.0</v>
      </c>
      <c r="E191" s="37">
        <v>54.62</v>
      </c>
      <c r="F191" s="38">
        <f t="shared" si="1"/>
        <v>10924</v>
      </c>
      <c r="G191" s="35" t="s">
        <v>1232</v>
      </c>
      <c r="H191" s="35" t="s">
        <v>604</v>
      </c>
      <c r="I191" s="35" t="s">
        <v>41</v>
      </c>
      <c r="J191" s="35" t="s">
        <v>40</v>
      </c>
      <c r="K191" s="35" t="s">
        <v>35</v>
      </c>
      <c r="L191" s="35" t="s">
        <v>1308</v>
      </c>
      <c r="M191" s="39">
        <v>31.0</v>
      </c>
      <c r="N191" s="41">
        <v>46169.0</v>
      </c>
      <c r="O191" s="42" t="b">
        <v>1</v>
      </c>
      <c r="P191" s="44">
        <v>46170.0</v>
      </c>
      <c r="Q191" s="34"/>
      <c r="R191" s="34"/>
      <c r="S191" s="34"/>
      <c r="T191" s="34"/>
    </row>
    <row r="192" ht="15.75" customHeight="1">
      <c r="B192" s="33">
        <v>46155.0</v>
      </c>
      <c r="C192" s="35" t="s">
        <v>35</v>
      </c>
      <c r="D192" s="35">
        <v>50.0</v>
      </c>
      <c r="E192" s="37">
        <v>49.23</v>
      </c>
      <c r="F192" s="38">
        <f t="shared" si="1"/>
        <v>2461.5</v>
      </c>
      <c r="G192" s="35" t="s">
        <v>1321</v>
      </c>
      <c r="H192" s="35" t="s">
        <v>1323</v>
      </c>
      <c r="I192" s="35" t="s">
        <v>41</v>
      </c>
      <c r="J192" s="35" t="s">
        <v>40</v>
      </c>
      <c r="K192" s="35" t="s">
        <v>35</v>
      </c>
      <c r="L192" s="35" t="s">
        <v>1308</v>
      </c>
      <c r="M192" s="39">
        <v>31.0</v>
      </c>
      <c r="N192" s="41">
        <v>46169.0</v>
      </c>
      <c r="O192" s="42" t="b">
        <v>1</v>
      </c>
      <c r="P192" s="44">
        <v>46170.0</v>
      </c>
      <c r="Q192" s="34"/>
      <c r="R192" s="34"/>
      <c r="S192" s="34"/>
      <c r="T192" s="34"/>
    </row>
    <row r="193" ht="15.75" customHeight="1">
      <c r="B193" s="33">
        <v>46155.0</v>
      </c>
      <c r="C193" s="35">
        <v>15949.0</v>
      </c>
      <c r="D193" s="35">
        <v>4.0</v>
      </c>
      <c r="E193" s="37">
        <v>499.9</v>
      </c>
      <c r="F193" s="38">
        <f t="shared" si="1"/>
        <v>1999.6</v>
      </c>
      <c r="G193" s="35" t="s">
        <v>736</v>
      </c>
      <c r="H193" s="35" t="s">
        <v>737</v>
      </c>
      <c r="I193" s="35" t="s">
        <v>240</v>
      </c>
      <c r="J193" s="35" t="s">
        <v>1036</v>
      </c>
      <c r="K193" s="35" t="s">
        <v>1334</v>
      </c>
      <c r="L193" s="35" t="s">
        <v>96</v>
      </c>
      <c r="M193" s="39">
        <v>31.0</v>
      </c>
      <c r="N193" s="40">
        <v>46155.0</v>
      </c>
      <c r="O193" s="42" t="b">
        <v>1</v>
      </c>
      <c r="P193" s="44">
        <v>46160.0</v>
      </c>
      <c r="Q193" s="34"/>
      <c r="R193" s="34"/>
      <c r="S193" s="34"/>
      <c r="T193" s="34"/>
    </row>
    <row r="194" ht="15.75" customHeight="1">
      <c r="B194" s="33">
        <v>46155.0</v>
      </c>
      <c r="C194" s="35">
        <v>15949.0</v>
      </c>
      <c r="D194" s="35">
        <v>5.0</v>
      </c>
      <c r="E194" s="37">
        <v>109.9</v>
      </c>
      <c r="F194" s="38">
        <f t="shared" si="1"/>
        <v>549.5</v>
      </c>
      <c r="G194" s="35" t="s">
        <v>1338</v>
      </c>
      <c r="H194" s="35" t="s">
        <v>1340</v>
      </c>
      <c r="I194" s="35" t="s">
        <v>240</v>
      </c>
      <c r="J194" s="35" t="s">
        <v>1036</v>
      </c>
      <c r="K194" s="35" t="s">
        <v>1334</v>
      </c>
      <c r="L194" s="35" t="s">
        <v>96</v>
      </c>
      <c r="M194" s="39">
        <v>31.0</v>
      </c>
      <c r="N194" s="40">
        <v>46155.0</v>
      </c>
      <c r="O194" s="42" t="b">
        <v>1</v>
      </c>
      <c r="P194" s="44">
        <v>46160.0</v>
      </c>
      <c r="Q194" s="34"/>
      <c r="R194" s="34"/>
      <c r="S194" s="34"/>
      <c r="T194" s="34"/>
    </row>
    <row r="195" ht="15.75" customHeight="1">
      <c r="B195" s="33">
        <v>46155.0</v>
      </c>
      <c r="C195" s="35">
        <v>15949.0</v>
      </c>
      <c r="D195" s="35">
        <v>36.0</v>
      </c>
      <c r="E195" s="37">
        <v>12.9</v>
      </c>
      <c r="F195" s="38">
        <f t="shared" si="1"/>
        <v>464.4</v>
      </c>
      <c r="G195" s="35" t="s">
        <v>1347</v>
      </c>
      <c r="H195" s="35" t="s">
        <v>1348</v>
      </c>
      <c r="I195" s="35" t="s">
        <v>240</v>
      </c>
      <c r="J195" s="35" t="s">
        <v>1036</v>
      </c>
      <c r="K195" s="35" t="s">
        <v>1334</v>
      </c>
      <c r="L195" s="35" t="s">
        <v>96</v>
      </c>
      <c r="M195" s="39">
        <v>31.0</v>
      </c>
      <c r="N195" s="44">
        <v>46155.0</v>
      </c>
      <c r="O195" s="42" t="b">
        <v>1</v>
      </c>
      <c r="P195" s="44">
        <v>46160.0</v>
      </c>
      <c r="Q195" s="34"/>
      <c r="R195" s="34"/>
      <c r="S195" s="34"/>
      <c r="T195" s="34"/>
    </row>
    <row r="196" ht="15.0" customHeight="1">
      <c r="B196" s="33">
        <v>46155.0</v>
      </c>
      <c r="C196" s="35">
        <v>15949.0</v>
      </c>
      <c r="D196" s="35">
        <v>60.0</v>
      </c>
      <c r="E196" s="37">
        <v>12.9</v>
      </c>
      <c r="F196" s="38">
        <f t="shared" si="1"/>
        <v>774</v>
      </c>
      <c r="G196" s="35" t="s">
        <v>1354</v>
      </c>
      <c r="H196" s="35" t="s">
        <v>1355</v>
      </c>
      <c r="I196" s="35" t="s">
        <v>240</v>
      </c>
      <c r="J196" s="35" t="s">
        <v>1036</v>
      </c>
      <c r="K196" s="35" t="s">
        <v>1334</v>
      </c>
      <c r="L196" s="35" t="s">
        <v>96</v>
      </c>
      <c r="M196" s="39">
        <v>31.0</v>
      </c>
      <c r="N196" s="44">
        <v>46155.0</v>
      </c>
      <c r="O196" s="42" t="b">
        <v>1</v>
      </c>
      <c r="P196" s="44">
        <v>46160.0</v>
      </c>
      <c r="Q196" s="34"/>
      <c r="R196" s="34"/>
      <c r="S196" s="34"/>
      <c r="T196" s="34"/>
    </row>
    <row r="197" ht="15.75" customHeight="1">
      <c r="B197" s="33">
        <v>46155.0</v>
      </c>
      <c r="C197" s="35">
        <v>15949.0</v>
      </c>
      <c r="D197" s="35">
        <v>10.0</v>
      </c>
      <c r="E197" s="37">
        <v>89.9</v>
      </c>
      <c r="F197" s="38">
        <f t="shared" si="1"/>
        <v>899</v>
      </c>
      <c r="G197" s="35" t="s">
        <v>207</v>
      </c>
      <c r="H197" s="35" t="s">
        <v>208</v>
      </c>
      <c r="I197" s="35" t="s">
        <v>240</v>
      </c>
      <c r="J197" s="35" t="s">
        <v>1036</v>
      </c>
      <c r="K197" s="35" t="s">
        <v>1334</v>
      </c>
      <c r="L197" s="35" t="s">
        <v>96</v>
      </c>
      <c r="M197" s="39">
        <v>31.0</v>
      </c>
      <c r="N197" s="44">
        <v>46155.0</v>
      </c>
      <c r="O197" s="42" t="b">
        <v>1</v>
      </c>
      <c r="P197" s="44">
        <v>46160.0</v>
      </c>
      <c r="Q197" s="34"/>
      <c r="R197" s="34"/>
      <c r="S197" s="34"/>
      <c r="T197" s="34"/>
    </row>
    <row r="198" ht="15.75" customHeight="1">
      <c r="B198" s="33">
        <v>46155.0</v>
      </c>
      <c r="C198" s="35">
        <v>15949.0</v>
      </c>
      <c r="D198" s="35">
        <v>10.0</v>
      </c>
      <c r="E198" s="37">
        <v>79.9</v>
      </c>
      <c r="F198" s="38">
        <f t="shared" si="1"/>
        <v>799</v>
      </c>
      <c r="G198" s="35" t="s">
        <v>1366</v>
      </c>
      <c r="H198" s="35" t="s">
        <v>1368</v>
      </c>
      <c r="I198" s="35" t="s">
        <v>240</v>
      </c>
      <c r="J198" s="35" t="s">
        <v>1036</v>
      </c>
      <c r="K198" s="35" t="s">
        <v>1334</v>
      </c>
      <c r="L198" s="35" t="s">
        <v>96</v>
      </c>
      <c r="M198" s="39">
        <v>31.0</v>
      </c>
      <c r="N198" s="44">
        <v>46155.0</v>
      </c>
      <c r="O198" s="42" t="b">
        <v>1</v>
      </c>
      <c r="P198" s="44">
        <v>46160.0</v>
      </c>
      <c r="Q198" s="34"/>
      <c r="R198" s="34"/>
      <c r="S198" s="34"/>
      <c r="T198" s="34"/>
    </row>
    <row r="199" ht="15.75" customHeight="1">
      <c r="B199" s="33">
        <v>46155.0</v>
      </c>
      <c r="C199" s="35">
        <v>15949.0</v>
      </c>
      <c r="D199" s="35">
        <v>10.0</v>
      </c>
      <c r="E199" s="37">
        <v>99.9</v>
      </c>
      <c r="F199" s="38">
        <f t="shared" si="1"/>
        <v>999</v>
      </c>
      <c r="G199" s="35" t="s">
        <v>1370</v>
      </c>
      <c r="H199" s="35" t="s">
        <v>1371</v>
      </c>
      <c r="I199" s="35" t="s">
        <v>240</v>
      </c>
      <c r="J199" s="35" t="s">
        <v>1036</v>
      </c>
      <c r="K199" s="35" t="s">
        <v>1334</v>
      </c>
      <c r="L199" s="35" t="s">
        <v>96</v>
      </c>
      <c r="M199" s="39">
        <v>31.0</v>
      </c>
      <c r="N199" s="40">
        <v>46155.0</v>
      </c>
      <c r="O199" s="42" t="b">
        <v>1</v>
      </c>
      <c r="P199" s="44">
        <v>46160.0</v>
      </c>
      <c r="Q199" s="34"/>
      <c r="R199" s="34"/>
      <c r="S199" s="34"/>
      <c r="T199" s="34"/>
    </row>
    <row r="200" ht="15.75" customHeight="1">
      <c r="B200" s="33">
        <v>46155.0</v>
      </c>
      <c r="C200" s="35">
        <v>15949.0</v>
      </c>
      <c r="D200" s="35">
        <v>6.0</v>
      </c>
      <c r="E200" s="37">
        <v>229.9</v>
      </c>
      <c r="F200" s="38">
        <f t="shared" si="1"/>
        <v>1379.4</v>
      </c>
      <c r="G200" s="35" t="s">
        <v>1380</v>
      </c>
      <c r="H200" s="35" t="s">
        <v>188</v>
      </c>
      <c r="I200" s="35" t="s">
        <v>240</v>
      </c>
      <c r="J200" s="35" t="s">
        <v>1036</v>
      </c>
      <c r="K200" s="35" t="s">
        <v>1334</v>
      </c>
      <c r="L200" s="35" t="s">
        <v>96</v>
      </c>
      <c r="M200" s="39">
        <v>31.0</v>
      </c>
      <c r="N200" s="40">
        <v>46155.0</v>
      </c>
      <c r="O200" s="42" t="b">
        <v>1</v>
      </c>
      <c r="P200" s="44">
        <v>46160.0</v>
      </c>
      <c r="Q200" s="34"/>
      <c r="R200" s="34"/>
      <c r="S200" s="34"/>
      <c r="T200" s="34"/>
    </row>
    <row r="201" ht="15.75" customHeight="1">
      <c r="B201" s="33">
        <v>46155.0</v>
      </c>
      <c r="C201" s="35">
        <v>15949.0</v>
      </c>
      <c r="D201" s="35">
        <v>20.0</v>
      </c>
      <c r="E201" s="37">
        <v>79.9</v>
      </c>
      <c r="F201" s="38">
        <f t="shared" si="1"/>
        <v>1598</v>
      </c>
      <c r="G201" s="35" t="s">
        <v>543</v>
      </c>
      <c r="H201" s="35" t="s">
        <v>545</v>
      </c>
      <c r="I201" s="35" t="s">
        <v>240</v>
      </c>
      <c r="J201" s="35" t="s">
        <v>1036</v>
      </c>
      <c r="K201" s="35" t="s">
        <v>1334</v>
      </c>
      <c r="L201" s="35" t="s">
        <v>96</v>
      </c>
      <c r="M201" s="39">
        <v>31.0</v>
      </c>
      <c r="N201" s="40">
        <v>46155.0</v>
      </c>
      <c r="O201" s="42" t="b">
        <v>1</v>
      </c>
      <c r="P201" s="44">
        <v>46160.0</v>
      </c>
      <c r="Q201" s="34"/>
      <c r="R201" s="34"/>
      <c r="S201" s="34"/>
      <c r="T201" s="34"/>
    </row>
    <row r="202" ht="15.75" customHeight="1">
      <c r="B202" s="33">
        <v>46155.0</v>
      </c>
      <c r="C202" s="35">
        <v>15949.0</v>
      </c>
      <c r="D202" s="35">
        <v>144.0</v>
      </c>
      <c r="E202" s="37">
        <v>2.9</v>
      </c>
      <c r="F202" s="38">
        <f t="shared" si="1"/>
        <v>417.6</v>
      </c>
      <c r="G202" s="35" t="s">
        <v>1391</v>
      </c>
      <c r="H202" s="35" t="s">
        <v>1394</v>
      </c>
      <c r="I202" s="35" t="s">
        <v>240</v>
      </c>
      <c r="J202" s="35" t="s">
        <v>1036</v>
      </c>
      <c r="K202" s="35" t="s">
        <v>1334</v>
      </c>
      <c r="L202" s="35" t="s">
        <v>96</v>
      </c>
      <c r="M202" s="39">
        <v>31.0</v>
      </c>
      <c r="N202" s="40">
        <v>46155.0</v>
      </c>
      <c r="O202" s="42" t="b">
        <v>1</v>
      </c>
      <c r="P202" s="44">
        <v>46160.0</v>
      </c>
      <c r="Q202" s="34"/>
      <c r="R202" s="34"/>
      <c r="S202" s="34"/>
      <c r="T202" s="34"/>
    </row>
    <row r="203" ht="15.75" customHeight="1">
      <c r="B203" s="33">
        <v>46155.0</v>
      </c>
      <c r="C203" s="35">
        <v>15949.0</v>
      </c>
      <c r="D203" s="35">
        <v>200.0</v>
      </c>
      <c r="E203" s="37">
        <v>5.8</v>
      </c>
      <c r="F203" s="38">
        <f t="shared" si="1"/>
        <v>1160</v>
      </c>
      <c r="G203" s="35" t="s">
        <v>1399</v>
      </c>
      <c r="H203" s="35" t="s">
        <v>1400</v>
      </c>
      <c r="I203" s="35" t="s">
        <v>240</v>
      </c>
      <c r="J203" s="35" t="s">
        <v>1036</v>
      </c>
      <c r="K203" s="35" t="s">
        <v>1334</v>
      </c>
      <c r="L203" s="35" t="s">
        <v>96</v>
      </c>
      <c r="M203" s="39">
        <v>31.0</v>
      </c>
      <c r="N203" s="40">
        <v>46155.0</v>
      </c>
      <c r="O203" s="42" t="b">
        <v>1</v>
      </c>
      <c r="P203" s="44">
        <v>46160.0</v>
      </c>
      <c r="Q203" s="34"/>
      <c r="R203" s="34"/>
      <c r="S203" s="34"/>
      <c r="T203" s="34"/>
    </row>
    <row r="204" ht="15.75" customHeight="1">
      <c r="B204" s="33">
        <v>46155.0</v>
      </c>
      <c r="C204" s="35">
        <v>15949.0</v>
      </c>
      <c r="D204" s="35">
        <v>100.0</v>
      </c>
      <c r="E204" s="37">
        <v>7.9</v>
      </c>
      <c r="F204" s="38">
        <f t="shared" si="1"/>
        <v>790</v>
      </c>
      <c r="G204" s="35" t="s">
        <v>1407</v>
      </c>
      <c r="H204" s="35" t="s">
        <v>1408</v>
      </c>
      <c r="I204" s="35" t="s">
        <v>240</v>
      </c>
      <c r="J204" s="35" t="s">
        <v>1036</v>
      </c>
      <c r="K204" s="35" t="s">
        <v>1334</v>
      </c>
      <c r="L204" s="35" t="s">
        <v>96</v>
      </c>
      <c r="M204" s="39">
        <v>31.0</v>
      </c>
      <c r="N204" s="40">
        <v>46155.0</v>
      </c>
      <c r="O204" s="42" t="b">
        <v>1</v>
      </c>
      <c r="P204" s="44">
        <v>46160.0</v>
      </c>
      <c r="Q204" s="34"/>
      <c r="R204" s="34"/>
      <c r="S204" s="34"/>
      <c r="T204" s="34"/>
    </row>
    <row r="205" ht="15.75" customHeight="1">
      <c r="B205" s="33">
        <v>46155.0</v>
      </c>
      <c r="C205" s="35">
        <v>15949.0</v>
      </c>
      <c r="D205" s="35">
        <v>200.0</v>
      </c>
      <c r="E205" s="37">
        <v>10.9</v>
      </c>
      <c r="F205" s="38">
        <f t="shared" si="1"/>
        <v>2180</v>
      </c>
      <c r="G205" s="35" t="s">
        <v>1416</v>
      </c>
      <c r="H205" s="35" t="s">
        <v>1417</v>
      </c>
      <c r="I205" s="35" t="s">
        <v>240</v>
      </c>
      <c r="J205" s="35" t="s">
        <v>1036</v>
      </c>
      <c r="K205" s="35" t="s">
        <v>1334</v>
      </c>
      <c r="L205" s="35" t="s">
        <v>96</v>
      </c>
      <c r="M205" s="39">
        <v>31.0</v>
      </c>
      <c r="N205" s="40">
        <v>46155.0</v>
      </c>
      <c r="O205" s="42" t="b">
        <v>1</v>
      </c>
      <c r="P205" s="44">
        <v>46160.0</v>
      </c>
      <c r="Q205" s="34"/>
      <c r="R205" s="34"/>
      <c r="S205" s="34"/>
      <c r="T205" s="34"/>
    </row>
    <row r="206" ht="15.75" customHeight="1">
      <c r="B206" s="33">
        <v>46155.0</v>
      </c>
      <c r="C206" s="35">
        <v>15949.0</v>
      </c>
      <c r="D206" s="35">
        <v>40.0</v>
      </c>
      <c r="E206" s="37">
        <v>22.9</v>
      </c>
      <c r="F206" s="38">
        <f t="shared" si="1"/>
        <v>916</v>
      </c>
      <c r="G206" s="35" t="s">
        <v>1422</v>
      </c>
      <c r="H206" s="35" t="s">
        <v>1423</v>
      </c>
      <c r="I206" s="35" t="s">
        <v>240</v>
      </c>
      <c r="J206" s="35" t="s">
        <v>1036</v>
      </c>
      <c r="K206" s="35" t="s">
        <v>1334</v>
      </c>
      <c r="L206" s="35" t="s">
        <v>96</v>
      </c>
      <c r="M206" s="39">
        <v>31.0</v>
      </c>
      <c r="N206" s="40">
        <v>46155.0</v>
      </c>
      <c r="O206" s="42" t="b">
        <v>1</v>
      </c>
      <c r="P206" s="44">
        <v>46160.0</v>
      </c>
      <c r="Q206" s="34"/>
      <c r="R206" s="34"/>
      <c r="S206" s="34"/>
      <c r="T206" s="34"/>
    </row>
    <row r="207" ht="15.75" customHeight="1">
      <c r="B207" s="33">
        <v>46155.0</v>
      </c>
      <c r="C207" s="35">
        <v>15949.0</v>
      </c>
      <c r="D207" s="35">
        <v>60.0</v>
      </c>
      <c r="E207" s="37">
        <v>7.9</v>
      </c>
      <c r="F207" s="38">
        <f t="shared" si="1"/>
        <v>474</v>
      </c>
      <c r="G207" s="35" t="s">
        <v>1429</v>
      </c>
      <c r="H207" s="35" t="s">
        <v>1430</v>
      </c>
      <c r="I207" s="35" t="s">
        <v>240</v>
      </c>
      <c r="J207" s="35" t="s">
        <v>1036</v>
      </c>
      <c r="K207" s="35" t="s">
        <v>1334</v>
      </c>
      <c r="L207" s="35" t="s">
        <v>96</v>
      </c>
      <c r="M207" s="39">
        <v>31.0</v>
      </c>
      <c r="N207" s="40">
        <v>46155.0</v>
      </c>
      <c r="O207" s="42" t="b">
        <v>1</v>
      </c>
      <c r="P207" s="44">
        <v>46160.0</v>
      </c>
      <c r="Q207" s="34"/>
      <c r="R207" s="34"/>
      <c r="S207" s="34"/>
      <c r="T207" s="34"/>
    </row>
    <row r="208" ht="15.75" customHeight="1">
      <c r="B208" s="33">
        <v>46155.0</v>
      </c>
      <c r="C208" s="35">
        <v>15949.0</v>
      </c>
      <c r="D208" s="35">
        <v>200.0</v>
      </c>
      <c r="E208" s="37">
        <v>6.9</v>
      </c>
      <c r="F208" s="38">
        <f t="shared" si="1"/>
        <v>1380</v>
      </c>
      <c r="G208" s="35" t="s">
        <v>1434</v>
      </c>
      <c r="H208" s="35" t="s">
        <v>1435</v>
      </c>
      <c r="I208" s="35" t="s">
        <v>240</v>
      </c>
      <c r="J208" s="35" t="s">
        <v>1036</v>
      </c>
      <c r="K208" s="35" t="s">
        <v>1334</v>
      </c>
      <c r="L208" s="35" t="s">
        <v>96</v>
      </c>
      <c r="M208" s="39">
        <v>31.0</v>
      </c>
      <c r="N208" s="40">
        <v>46155.0</v>
      </c>
      <c r="O208" s="42" t="b">
        <v>1</v>
      </c>
      <c r="P208" s="44">
        <v>46160.0</v>
      </c>
      <c r="Q208" s="34"/>
      <c r="R208" s="34"/>
      <c r="S208" s="34"/>
      <c r="T208" s="34"/>
    </row>
    <row r="209" ht="15.75" customHeight="1">
      <c r="B209" s="33">
        <v>46155.0</v>
      </c>
      <c r="C209" s="35">
        <v>8480.0</v>
      </c>
      <c r="D209" s="35">
        <v>173.0</v>
      </c>
      <c r="E209" s="37">
        <v>89.5</v>
      </c>
      <c r="F209" s="38">
        <f t="shared" si="1"/>
        <v>15483.5</v>
      </c>
      <c r="G209" s="35" t="s">
        <v>953</v>
      </c>
      <c r="H209" s="35" t="s">
        <v>954</v>
      </c>
      <c r="I209" s="35" t="s">
        <v>32</v>
      </c>
      <c r="J209" s="35" t="s">
        <v>40</v>
      </c>
      <c r="K209" s="35" t="s">
        <v>35</v>
      </c>
      <c r="L209" s="35" t="s">
        <v>81</v>
      </c>
      <c r="M209" s="39">
        <v>31.0</v>
      </c>
      <c r="N209" s="40">
        <v>46162.0</v>
      </c>
      <c r="O209" s="42" t="b">
        <v>1</v>
      </c>
      <c r="P209" s="44">
        <v>46162.0</v>
      </c>
      <c r="Q209" s="34"/>
      <c r="R209" s="34"/>
      <c r="S209" s="34"/>
      <c r="T209" s="34"/>
    </row>
    <row r="210" ht="15.75" customHeight="1">
      <c r="B210" s="33">
        <v>46155.0</v>
      </c>
      <c r="C210" s="35">
        <v>8480.0</v>
      </c>
      <c r="D210" s="35">
        <v>354.0</v>
      </c>
      <c r="E210" s="37">
        <v>89.5</v>
      </c>
      <c r="F210" s="38">
        <f t="shared" si="1"/>
        <v>31683</v>
      </c>
      <c r="G210" s="35" t="s">
        <v>959</v>
      </c>
      <c r="H210" s="35" t="s">
        <v>961</v>
      </c>
      <c r="I210" s="35" t="s">
        <v>32</v>
      </c>
      <c r="J210" s="35" t="s">
        <v>40</v>
      </c>
      <c r="K210" s="35" t="s">
        <v>35</v>
      </c>
      <c r="L210" s="35" t="s">
        <v>81</v>
      </c>
      <c r="M210" s="39">
        <v>31.0</v>
      </c>
      <c r="N210" s="40">
        <v>46163.0</v>
      </c>
      <c r="O210" s="42" t="b">
        <v>1</v>
      </c>
      <c r="P210" s="44">
        <v>46163.0</v>
      </c>
      <c r="Q210" s="34"/>
      <c r="R210" s="34"/>
      <c r="S210" s="34"/>
      <c r="T210" s="34"/>
    </row>
    <row r="211" ht="15.75" customHeight="1">
      <c r="B211" s="33">
        <v>46155.0</v>
      </c>
      <c r="C211" s="35">
        <v>8480.0</v>
      </c>
      <c r="D211" s="35">
        <v>16.0</v>
      </c>
      <c r="E211" s="37">
        <v>89.5</v>
      </c>
      <c r="F211" s="38">
        <f t="shared" si="1"/>
        <v>1432</v>
      </c>
      <c r="G211" s="35" t="s">
        <v>1450</v>
      </c>
      <c r="H211" s="35" t="s">
        <v>1451</v>
      </c>
      <c r="I211" s="35" t="s">
        <v>32</v>
      </c>
      <c r="J211" s="35" t="s">
        <v>40</v>
      </c>
      <c r="K211" s="35" t="s">
        <v>35</v>
      </c>
      <c r="L211" s="35" t="s">
        <v>81</v>
      </c>
      <c r="M211" s="39">
        <v>31.0</v>
      </c>
      <c r="N211" s="40">
        <v>46163.0</v>
      </c>
      <c r="O211" s="42" t="b">
        <v>1</v>
      </c>
      <c r="P211" s="44">
        <v>46163.0</v>
      </c>
      <c r="Q211" s="34"/>
      <c r="R211" s="34"/>
      <c r="S211" s="34"/>
      <c r="T211" s="34"/>
    </row>
    <row r="212" ht="15.75" customHeight="1">
      <c r="B212" s="33">
        <v>46155.0</v>
      </c>
      <c r="C212" s="35">
        <v>8480.0</v>
      </c>
      <c r="D212" s="35">
        <v>21.0</v>
      </c>
      <c r="E212" s="37">
        <v>89.5</v>
      </c>
      <c r="F212" s="38">
        <f t="shared" si="1"/>
        <v>1879.5</v>
      </c>
      <c r="G212" s="35" t="s">
        <v>1454</v>
      </c>
      <c r="H212" s="35" t="s">
        <v>1455</v>
      </c>
      <c r="I212" s="35" t="s">
        <v>32</v>
      </c>
      <c r="J212" s="35" t="s">
        <v>40</v>
      </c>
      <c r="K212" s="35" t="s">
        <v>35</v>
      </c>
      <c r="L212" s="35" t="s">
        <v>81</v>
      </c>
      <c r="M212" s="39">
        <v>31.0</v>
      </c>
      <c r="N212" s="40">
        <v>46163.0</v>
      </c>
      <c r="O212" s="42" t="b">
        <v>0</v>
      </c>
      <c r="P212" s="45"/>
      <c r="Q212" s="34"/>
      <c r="R212" s="34"/>
      <c r="S212" s="34"/>
      <c r="T212" s="35"/>
    </row>
    <row r="213" ht="15.75" customHeight="1">
      <c r="B213" s="33">
        <v>46155.0</v>
      </c>
      <c r="C213" s="35" t="s">
        <v>35</v>
      </c>
      <c r="D213" s="35">
        <v>120.0</v>
      </c>
      <c r="E213" s="37">
        <v>18.0</v>
      </c>
      <c r="F213" s="38">
        <f t="shared" si="1"/>
        <v>2160</v>
      </c>
      <c r="G213" s="35" t="s">
        <v>722</v>
      </c>
      <c r="H213" s="35" t="s">
        <v>1462</v>
      </c>
      <c r="I213" s="35" t="s">
        <v>41</v>
      </c>
      <c r="J213" s="35" t="s">
        <v>34</v>
      </c>
      <c r="K213" s="35" t="s">
        <v>35</v>
      </c>
      <c r="L213" s="35" t="s">
        <v>698</v>
      </c>
      <c r="M213" s="39">
        <v>31.0</v>
      </c>
      <c r="N213" s="40">
        <v>46156.0</v>
      </c>
      <c r="O213" s="42" t="b">
        <v>1</v>
      </c>
      <c r="P213" s="44">
        <v>46160.0</v>
      </c>
      <c r="Q213" s="34"/>
      <c r="R213" s="34"/>
      <c r="S213" s="34"/>
      <c r="T213" s="34"/>
    </row>
    <row r="214" ht="15.75" customHeight="1">
      <c r="B214" s="33">
        <v>46155.0</v>
      </c>
      <c r="C214" s="46" t="s">
        <v>1466</v>
      </c>
      <c r="D214" s="35">
        <v>40.0</v>
      </c>
      <c r="E214" s="37">
        <v>468.0</v>
      </c>
      <c r="F214" s="38">
        <f t="shared" si="1"/>
        <v>18720</v>
      </c>
      <c r="G214" s="35" t="s">
        <v>1467</v>
      </c>
      <c r="H214" s="35" t="s">
        <v>1468</v>
      </c>
      <c r="I214" s="35" t="s">
        <v>673</v>
      </c>
      <c r="J214" s="35" t="s">
        <v>175</v>
      </c>
      <c r="K214" s="35" t="s">
        <v>35</v>
      </c>
      <c r="L214" s="35" t="s">
        <v>46</v>
      </c>
      <c r="M214" s="39">
        <v>1.0</v>
      </c>
      <c r="N214" s="40">
        <v>46156.0</v>
      </c>
      <c r="O214" s="42" t="b">
        <v>1</v>
      </c>
      <c r="P214" s="44">
        <v>46160.0</v>
      </c>
      <c r="Q214" s="34"/>
      <c r="R214" s="34"/>
      <c r="S214" s="34"/>
      <c r="T214" s="34"/>
    </row>
    <row r="215" ht="15.75" customHeight="1">
      <c r="B215" s="33">
        <v>46155.0</v>
      </c>
      <c r="C215" s="46" t="s">
        <v>1472</v>
      </c>
      <c r="D215" s="35">
        <v>10.0</v>
      </c>
      <c r="E215" s="37">
        <v>450.0</v>
      </c>
      <c r="F215" s="38">
        <f t="shared" si="1"/>
        <v>4500</v>
      </c>
      <c r="G215" s="35" t="s">
        <v>1473</v>
      </c>
      <c r="H215" s="46" t="s">
        <v>1475</v>
      </c>
      <c r="I215" s="35" t="s">
        <v>39</v>
      </c>
      <c r="J215" s="35" t="s">
        <v>35</v>
      </c>
      <c r="K215" s="35" t="s">
        <v>35</v>
      </c>
      <c r="L215" s="35" t="s">
        <v>1223</v>
      </c>
      <c r="M215" s="39">
        <v>31.0</v>
      </c>
      <c r="N215" s="66">
        <v>46160.0</v>
      </c>
      <c r="O215" s="42" t="b">
        <v>0</v>
      </c>
      <c r="P215" s="36"/>
      <c r="Q215" s="34"/>
      <c r="R215" s="34"/>
      <c r="S215" s="34"/>
      <c r="T215" s="35"/>
    </row>
    <row r="216" ht="15.75" customHeight="1">
      <c r="B216" s="33">
        <v>46155.0</v>
      </c>
      <c r="C216" s="46" t="s">
        <v>1472</v>
      </c>
      <c r="D216" s="35">
        <v>7.0</v>
      </c>
      <c r="E216" s="37">
        <v>3279.9</v>
      </c>
      <c r="F216" s="38">
        <f t="shared" si="1"/>
        <v>22959.3</v>
      </c>
      <c r="G216" s="35" t="s">
        <v>1480</v>
      </c>
      <c r="H216" s="46" t="s">
        <v>1481</v>
      </c>
      <c r="I216" s="35" t="s">
        <v>39</v>
      </c>
      <c r="J216" s="35" t="s">
        <v>35</v>
      </c>
      <c r="K216" s="35" t="s">
        <v>35</v>
      </c>
      <c r="L216" s="35" t="s">
        <v>1223</v>
      </c>
      <c r="M216" s="39">
        <v>31.0</v>
      </c>
      <c r="N216" s="67">
        <v>46160.0</v>
      </c>
      <c r="O216" s="42" t="b">
        <v>0</v>
      </c>
      <c r="P216" s="45"/>
      <c r="Q216" s="34"/>
      <c r="R216" s="34"/>
      <c r="S216" s="34"/>
      <c r="T216" s="35"/>
    </row>
    <row r="217" ht="15.75" customHeight="1">
      <c r="B217" s="33">
        <v>46155.0</v>
      </c>
      <c r="C217" s="46" t="s">
        <v>1472</v>
      </c>
      <c r="D217" s="35">
        <v>3.0</v>
      </c>
      <c r="E217" s="37">
        <v>545.0</v>
      </c>
      <c r="F217" s="38">
        <f t="shared" si="1"/>
        <v>1635</v>
      </c>
      <c r="G217" s="35" t="s">
        <v>1486</v>
      </c>
      <c r="H217" s="46" t="s">
        <v>1487</v>
      </c>
      <c r="I217" s="35" t="s">
        <v>39</v>
      </c>
      <c r="J217" s="35" t="s">
        <v>35</v>
      </c>
      <c r="K217" s="35" t="s">
        <v>35</v>
      </c>
      <c r="L217" s="35" t="s">
        <v>1223</v>
      </c>
      <c r="M217" s="39">
        <v>31.0</v>
      </c>
      <c r="N217" s="66">
        <v>46160.0</v>
      </c>
      <c r="O217" s="42" t="b">
        <v>0</v>
      </c>
      <c r="P217" s="45"/>
      <c r="Q217" s="34"/>
      <c r="R217" s="34"/>
      <c r="S217" s="34"/>
      <c r="T217" s="34"/>
    </row>
    <row r="218" ht="15.75" customHeight="1">
      <c r="B218" s="33">
        <v>46155.0</v>
      </c>
      <c r="C218" s="46" t="s">
        <v>1472</v>
      </c>
      <c r="D218" s="35">
        <v>30.0</v>
      </c>
      <c r="E218" s="37">
        <v>545.0</v>
      </c>
      <c r="F218" s="38">
        <f t="shared" si="1"/>
        <v>16350</v>
      </c>
      <c r="G218" s="35" t="s">
        <v>1493</v>
      </c>
      <c r="H218" s="46" t="s">
        <v>1494</v>
      </c>
      <c r="I218" s="35" t="s">
        <v>39</v>
      </c>
      <c r="J218" s="35" t="s">
        <v>35</v>
      </c>
      <c r="K218" s="35" t="s">
        <v>35</v>
      </c>
      <c r="L218" s="35" t="s">
        <v>1223</v>
      </c>
      <c r="M218" s="39">
        <v>31.0</v>
      </c>
      <c r="N218" s="66">
        <v>46160.0</v>
      </c>
      <c r="O218" s="42" t="b">
        <v>0</v>
      </c>
      <c r="P218" s="36"/>
      <c r="Q218" s="34"/>
      <c r="R218" s="34"/>
      <c r="S218" s="34"/>
      <c r="T218" s="35"/>
    </row>
    <row r="219" ht="15.75" customHeight="1">
      <c r="B219" s="33">
        <v>46155.0</v>
      </c>
      <c r="C219" s="46" t="s">
        <v>1472</v>
      </c>
      <c r="D219" s="35">
        <v>3.0</v>
      </c>
      <c r="E219" s="37">
        <v>2105.0</v>
      </c>
      <c r="F219" s="38">
        <f t="shared" si="1"/>
        <v>6315</v>
      </c>
      <c r="G219" s="35" t="s">
        <v>1500</v>
      </c>
      <c r="H219" s="46" t="s">
        <v>1501</v>
      </c>
      <c r="I219" s="35" t="s">
        <v>39</v>
      </c>
      <c r="J219" s="35" t="s">
        <v>35</v>
      </c>
      <c r="K219" s="35" t="s">
        <v>35</v>
      </c>
      <c r="L219" s="35" t="s">
        <v>1223</v>
      </c>
      <c r="M219" s="39">
        <v>31.0</v>
      </c>
      <c r="N219" s="67">
        <v>46160.0</v>
      </c>
      <c r="O219" s="42" t="b">
        <v>0</v>
      </c>
      <c r="P219" s="36"/>
      <c r="Q219" s="34"/>
      <c r="R219" s="34"/>
      <c r="S219" s="34"/>
      <c r="T219" s="35"/>
    </row>
    <row r="220" ht="15.75" customHeight="1">
      <c r="B220" s="33">
        <v>46155.0</v>
      </c>
      <c r="C220" s="46" t="s">
        <v>1502</v>
      </c>
      <c r="D220" s="35">
        <v>1.0</v>
      </c>
      <c r="E220" s="37">
        <v>2749.9</v>
      </c>
      <c r="F220" s="38">
        <f t="shared" si="1"/>
        <v>2749.9</v>
      </c>
      <c r="G220" s="35" t="s">
        <v>1505</v>
      </c>
      <c r="H220" s="46" t="s">
        <v>1506</v>
      </c>
      <c r="I220" s="35" t="s">
        <v>39</v>
      </c>
      <c r="J220" s="35" t="s">
        <v>35</v>
      </c>
      <c r="K220" s="35" t="s">
        <v>35</v>
      </c>
      <c r="L220" s="35" t="s">
        <v>1223</v>
      </c>
      <c r="M220" s="39">
        <v>31.0</v>
      </c>
      <c r="N220" s="67">
        <v>46160.0</v>
      </c>
      <c r="O220" s="42" t="b">
        <v>0</v>
      </c>
      <c r="P220" s="45"/>
      <c r="Q220" s="34"/>
      <c r="R220" s="34"/>
      <c r="S220" s="34"/>
      <c r="T220" s="34"/>
    </row>
    <row r="221" ht="15.75" customHeight="1">
      <c r="B221" s="33">
        <v>46155.0</v>
      </c>
      <c r="C221" s="46" t="s">
        <v>1502</v>
      </c>
      <c r="D221" s="35">
        <v>2.0</v>
      </c>
      <c r="E221" s="37">
        <v>4679.9</v>
      </c>
      <c r="F221" s="38">
        <f t="shared" si="1"/>
        <v>9359.8</v>
      </c>
      <c r="G221" s="35" t="s">
        <v>1511</v>
      </c>
      <c r="H221" s="46" t="s">
        <v>1513</v>
      </c>
      <c r="I221" s="35" t="s">
        <v>39</v>
      </c>
      <c r="J221" s="35" t="s">
        <v>35</v>
      </c>
      <c r="K221" s="35" t="s">
        <v>35</v>
      </c>
      <c r="L221" s="35" t="s">
        <v>1223</v>
      </c>
      <c r="M221" s="39">
        <v>31.0</v>
      </c>
      <c r="N221" s="67">
        <v>46160.0</v>
      </c>
      <c r="O221" s="42" t="b">
        <v>0</v>
      </c>
      <c r="P221" s="45"/>
      <c r="Q221" s="34"/>
      <c r="R221" s="34"/>
      <c r="S221" s="34"/>
      <c r="T221" s="34"/>
    </row>
    <row r="222" ht="15.75" customHeight="1">
      <c r="B222" s="33">
        <v>46155.0</v>
      </c>
      <c r="C222" s="46" t="s">
        <v>1502</v>
      </c>
      <c r="D222" s="35">
        <v>38.0</v>
      </c>
      <c r="E222" s="37">
        <v>587.5</v>
      </c>
      <c r="F222" s="38">
        <f t="shared" si="1"/>
        <v>22325</v>
      </c>
      <c r="G222" s="35" t="s">
        <v>1516</v>
      </c>
      <c r="H222" s="46" t="s">
        <v>1519</v>
      </c>
      <c r="I222" s="35" t="s">
        <v>39</v>
      </c>
      <c r="J222" s="35" t="s">
        <v>35</v>
      </c>
      <c r="K222" s="35" t="s">
        <v>35</v>
      </c>
      <c r="L222" s="35" t="s">
        <v>1223</v>
      </c>
      <c r="M222" s="39">
        <v>31.0</v>
      </c>
      <c r="N222" s="67">
        <v>46160.0</v>
      </c>
      <c r="O222" s="42" t="b">
        <v>0</v>
      </c>
      <c r="P222" s="36"/>
      <c r="Q222" s="34"/>
      <c r="R222" s="34"/>
      <c r="S222" s="34"/>
      <c r="T222" s="34"/>
    </row>
    <row r="223" ht="15.75" customHeight="1">
      <c r="B223" s="33">
        <v>46155.0</v>
      </c>
      <c r="C223" s="46" t="s">
        <v>1520</v>
      </c>
      <c r="D223" s="35">
        <v>1.0</v>
      </c>
      <c r="E223" s="37">
        <v>1789.9</v>
      </c>
      <c r="F223" s="38">
        <f t="shared" si="1"/>
        <v>1789.9</v>
      </c>
      <c r="G223" s="35" t="s">
        <v>1522</v>
      </c>
      <c r="H223" s="46" t="s">
        <v>1526</v>
      </c>
      <c r="I223" s="35" t="s">
        <v>39</v>
      </c>
      <c r="J223" s="35" t="s">
        <v>35</v>
      </c>
      <c r="K223" s="35" t="s">
        <v>35</v>
      </c>
      <c r="L223" s="35" t="s">
        <v>1223</v>
      </c>
      <c r="M223" s="39">
        <v>31.0</v>
      </c>
      <c r="N223" s="66">
        <v>46160.0</v>
      </c>
      <c r="O223" s="42" t="b">
        <v>0</v>
      </c>
      <c r="P223" s="36"/>
      <c r="Q223" s="34"/>
      <c r="R223" s="34"/>
      <c r="S223" s="34"/>
      <c r="T223" s="34"/>
    </row>
    <row r="224" ht="15.75" customHeight="1">
      <c r="B224" s="33">
        <v>46155.0</v>
      </c>
      <c r="C224" s="46" t="s">
        <v>1520</v>
      </c>
      <c r="D224" s="35">
        <v>8.0</v>
      </c>
      <c r="E224" s="37">
        <v>1019.9</v>
      </c>
      <c r="F224" s="38">
        <f t="shared" si="1"/>
        <v>8159.2</v>
      </c>
      <c r="G224" s="35" t="s">
        <v>1532</v>
      </c>
      <c r="H224" s="46" t="s">
        <v>1533</v>
      </c>
      <c r="I224" s="35" t="s">
        <v>39</v>
      </c>
      <c r="J224" s="35" t="s">
        <v>35</v>
      </c>
      <c r="K224" s="35" t="s">
        <v>35</v>
      </c>
      <c r="L224" s="35" t="s">
        <v>1223</v>
      </c>
      <c r="M224" s="39">
        <v>31.0</v>
      </c>
      <c r="N224" s="67">
        <v>46160.0</v>
      </c>
      <c r="O224" s="42" t="b">
        <v>0</v>
      </c>
      <c r="P224" s="36"/>
      <c r="Q224" s="34"/>
      <c r="R224" s="34"/>
      <c r="S224" s="34"/>
      <c r="T224" s="34"/>
    </row>
    <row r="225" ht="15.75" customHeight="1">
      <c r="B225" s="33">
        <v>46155.0</v>
      </c>
      <c r="C225" s="46" t="s">
        <v>1520</v>
      </c>
      <c r="D225" s="35">
        <v>10.0</v>
      </c>
      <c r="E225" s="37">
        <v>400.0</v>
      </c>
      <c r="F225" s="38">
        <f t="shared" si="1"/>
        <v>4000</v>
      </c>
      <c r="G225" s="35" t="s">
        <v>1541</v>
      </c>
      <c r="H225" s="46" t="s">
        <v>1542</v>
      </c>
      <c r="I225" s="35" t="s">
        <v>39</v>
      </c>
      <c r="J225" s="35" t="s">
        <v>35</v>
      </c>
      <c r="K225" s="35" t="s">
        <v>35</v>
      </c>
      <c r="L225" s="35" t="s">
        <v>1223</v>
      </c>
      <c r="M225" s="39">
        <v>31.0</v>
      </c>
      <c r="N225" s="67">
        <v>46160.0</v>
      </c>
      <c r="O225" s="42" t="b">
        <v>0</v>
      </c>
      <c r="P225" s="45"/>
      <c r="Q225" s="34"/>
      <c r="R225" s="34"/>
      <c r="S225" s="34"/>
      <c r="T225" s="34"/>
    </row>
    <row r="226" ht="15.75" customHeight="1">
      <c r="B226" s="33">
        <v>46155.0</v>
      </c>
      <c r="C226" s="46" t="s">
        <v>1520</v>
      </c>
      <c r="D226" s="35">
        <v>25.0</v>
      </c>
      <c r="E226" s="37">
        <v>1019.9</v>
      </c>
      <c r="F226" s="38">
        <f t="shared" si="1"/>
        <v>25497.5</v>
      </c>
      <c r="G226" s="35" t="s">
        <v>1548</v>
      </c>
      <c r="H226" s="46" t="s">
        <v>1549</v>
      </c>
      <c r="I226" s="35" t="s">
        <v>39</v>
      </c>
      <c r="J226" s="35" t="s">
        <v>35</v>
      </c>
      <c r="K226" s="35" t="s">
        <v>35</v>
      </c>
      <c r="L226" s="35" t="s">
        <v>1223</v>
      </c>
      <c r="M226" s="39">
        <v>31.0</v>
      </c>
      <c r="N226" s="66">
        <v>46160.0</v>
      </c>
      <c r="O226" s="42" t="b">
        <v>0</v>
      </c>
      <c r="P226" s="45"/>
      <c r="Q226" s="34"/>
      <c r="R226" s="34"/>
      <c r="S226" s="34"/>
      <c r="T226" s="34"/>
    </row>
    <row r="227" ht="15.75" customHeight="1">
      <c r="B227" s="33">
        <v>46155.0</v>
      </c>
      <c r="C227" s="46" t="s">
        <v>1520</v>
      </c>
      <c r="D227" s="35">
        <v>6.0</v>
      </c>
      <c r="E227" s="37">
        <v>739.9</v>
      </c>
      <c r="F227" s="38">
        <f t="shared" si="1"/>
        <v>4439.4</v>
      </c>
      <c r="G227" s="35" t="s">
        <v>1554</v>
      </c>
      <c r="H227" s="46" t="s">
        <v>1555</v>
      </c>
      <c r="I227" s="35" t="s">
        <v>39</v>
      </c>
      <c r="J227" s="35" t="s">
        <v>35</v>
      </c>
      <c r="K227" s="35" t="s">
        <v>35</v>
      </c>
      <c r="L227" s="35" t="s">
        <v>1223</v>
      </c>
      <c r="M227" s="39">
        <v>31.0</v>
      </c>
      <c r="N227" s="66">
        <v>46160.0</v>
      </c>
      <c r="O227" s="42" t="b">
        <v>0</v>
      </c>
      <c r="P227" s="36"/>
      <c r="Q227" s="34"/>
      <c r="R227" s="34"/>
      <c r="S227" s="34"/>
      <c r="T227" s="34"/>
    </row>
    <row r="228" ht="15.75" customHeight="1">
      <c r="B228" s="33">
        <v>46156.0</v>
      </c>
      <c r="C228" s="35">
        <v>917779.0</v>
      </c>
      <c r="D228" s="35">
        <v>100.0</v>
      </c>
      <c r="E228" s="37">
        <v>189.9</v>
      </c>
      <c r="F228" s="38">
        <f t="shared" si="1"/>
        <v>18990</v>
      </c>
      <c r="G228" s="35" t="s">
        <v>1561</v>
      </c>
      <c r="H228" s="35">
        <v>61289.0</v>
      </c>
      <c r="I228" s="35" t="s">
        <v>41</v>
      </c>
      <c r="J228" s="35" t="s">
        <v>34</v>
      </c>
      <c r="K228" s="35" t="s">
        <v>35</v>
      </c>
      <c r="L228" s="35" t="s">
        <v>74</v>
      </c>
      <c r="M228" s="39">
        <v>31.0</v>
      </c>
      <c r="N228" s="40">
        <v>46162.0</v>
      </c>
      <c r="O228" s="42" t="b">
        <v>1</v>
      </c>
      <c r="P228" s="44">
        <v>46167.0</v>
      </c>
      <c r="Q228" s="34"/>
      <c r="R228" s="34"/>
      <c r="S228" s="34"/>
      <c r="T228" s="34"/>
    </row>
    <row r="229" ht="15.75" customHeight="1">
      <c r="B229" s="33">
        <v>46156.0</v>
      </c>
      <c r="C229" s="35">
        <v>917779.0</v>
      </c>
      <c r="D229" s="35">
        <v>50.0</v>
      </c>
      <c r="E229" s="37">
        <v>189.9</v>
      </c>
      <c r="F229" s="38">
        <f t="shared" si="1"/>
        <v>9495</v>
      </c>
      <c r="G229" s="35" t="s">
        <v>1561</v>
      </c>
      <c r="H229" s="35">
        <v>61289.0</v>
      </c>
      <c r="I229" s="35" t="s">
        <v>32</v>
      </c>
      <c r="J229" s="35" t="s">
        <v>34</v>
      </c>
      <c r="K229" s="35" t="s">
        <v>35</v>
      </c>
      <c r="L229" s="35" t="s">
        <v>74</v>
      </c>
      <c r="M229" s="39">
        <v>31.0</v>
      </c>
      <c r="N229" s="40">
        <v>46162.0</v>
      </c>
      <c r="O229" s="42" t="b">
        <v>0</v>
      </c>
      <c r="P229" s="45"/>
      <c r="Q229" s="34"/>
      <c r="R229" s="34"/>
      <c r="S229" s="34"/>
      <c r="T229" s="34"/>
    </row>
    <row r="230" ht="15.75" customHeight="1">
      <c r="B230" s="33">
        <v>46156.0</v>
      </c>
      <c r="C230" s="35" t="s">
        <v>35</v>
      </c>
      <c r="D230" s="35">
        <v>238.0</v>
      </c>
      <c r="E230" s="37">
        <v>282.0</v>
      </c>
      <c r="F230" s="38">
        <f t="shared" si="1"/>
        <v>67116</v>
      </c>
      <c r="G230" s="35" t="s">
        <v>1575</v>
      </c>
      <c r="H230" s="35" t="s">
        <v>227</v>
      </c>
      <c r="I230" s="35" t="s">
        <v>32</v>
      </c>
      <c r="J230" s="35" t="s">
        <v>34</v>
      </c>
      <c r="K230" s="35" t="s">
        <v>35</v>
      </c>
      <c r="L230" s="35" t="s">
        <v>365</v>
      </c>
      <c r="M230" s="39">
        <v>31.0</v>
      </c>
      <c r="N230" s="40">
        <v>46164.0</v>
      </c>
      <c r="O230" s="42" t="b">
        <v>1</v>
      </c>
      <c r="P230" s="44">
        <v>46164.0</v>
      </c>
      <c r="Q230" s="34"/>
      <c r="R230" s="34"/>
      <c r="S230" s="34"/>
      <c r="T230" s="34"/>
    </row>
    <row r="231" ht="15.75" customHeight="1">
      <c r="B231" s="33">
        <v>46156.0</v>
      </c>
      <c r="C231" s="46" t="s">
        <v>1581</v>
      </c>
      <c r="D231" s="35">
        <v>32.0</v>
      </c>
      <c r="E231" s="37">
        <v>135.0</v>
      </c>
      <c r="F231" s="38">
        <f t="shared" si="1"/>
        <v>4320</v>
      </c>
      <c r="G231" s="35" t="s">
        <v>821</v>
      </c>
      <c r="H231" s="35" t="s">
        <v>744</v>
      </c>
      <c r="I231" s="35" t="s">
        <v>32</v>
      </c>
      <c r="J231" s="35" t="s">
        <v>34</v>
      </c>
      <c r="K231" s="35" t="s">
        <v>35</v>
      </c>
      <c r="L231" s="35" t="s">
        <v>62</v>
      </c>
      <c r="M231" s="39">
        <v>1.0</v>
      </c>
      <c r="N231" s="40">
        <v>46156.0</v>
      </c>
      <c r="O231" s="42" t="b">
        <v>1</v>
      </c>
      <c r="P231" s="44">
        <v>46160.0</v>
      </c>
      <c r="Q231" s="34"/>
      <c r="R231" s="34"/>
      <c r="S231" s="34"/>
      <c r="T231" s="34"/>
    </row>
    <row r="232" ht="15.75" customHeight="1">
      <c r="B232" s="33">
        <v>46156.0</v>
      </c>
      <c r="C232" s="46" t="s">
        <v>1581</v>
      </c>
      <c r="D232" s="35">
        <v>32.0</v>
      </c>
      <c r="E232" s="37">
        <v>135.0</v>
      </c>
      <c r="F232" s="38">
        <f t="shared" si="1"/>
        <v>4320</v>
      </c>
      <c r="G232" s="35" t="s">
        <v>821</v>
      </c>
      <c r="H232" s="35" t="s">
        <v>744</v>
      </c>
      <c r="I232" s="35" t="s">
        <v>32</v>
      </c>
      <c r="J232" s="35" t="s">
        <v>40</v>
      </c>
      <c r="K232" s="35" t="s">
        <v>35</v>
      </c>
      <c r="L232" s="35" t="s">
        <v>62</v>
      </c>
      <c r="M232" s="39">
        <v>1.0</v>
      </c>
      <c r="N232" s="40">
        <v>46156.0</v>
      </c>
      <c r="O232" s="42" t="b">
        <v>1</v>
      </c>
      <c r="P232" s="44">
        <v>46160.0</v>
      </c>
      <c r="Q232" s="34"/>
      <c r="R232" s="34"/>
      <c r="S232" s="34"/>
      <c r="T232" s="34"/>
    </row>
    <row r="233" ht="15.75" customHeight="1">
      <c r="B233" s="33">
        <v>46156.0</v>
      </c>
      <c r="C233" s="35" t="s">
        <v>35</v>
      </c>
      <c r="D233" s="35">
        <v>100.0</v>
      </c>
      <c r="E233" s="37">
        <v>28.0</v>
      </c>
      <c r="F233" s="38">
        <f t="shared" si="1"/>
        <v>2800</v>
      </c>
      <c r="G233" s="35" t="s">
        <v>1589</v>
      </c>
      <c r="H233" s="35" t="s">
        <v>1591</v>
      </c>
      <c r="I233" s="35" t="s">
        <v>41</v>
      </c>
      <c r="J233" s="35" t="s">
        <v>40</v>
      </c>
      <c r="K233" s="35" t="s">
        <v>35</v>
      </c>
      <c r="L233" s="35" t="s">
        <v>1593</v>
      </c>
      <c r="M233" s="39">
        <v>31.0</v>
      </c>
      <c r="N233" s="40">
        <v>46161.0</v>
      </c>
      <c r="O233" s="42" t="b">
        <v>1</v>
      </c>
      <c r="P233" s="44">
        <v>46161.0</v>
      </c>
      <c r="Q233" s="34"/>
      <c r="R233" s="34"/>
      <c r="S233" s="34"/>
      <c r="T233" s="34"/>
    </row>
    <row r="234" ht="15.75" customHeight="1">
      <c r="B234" s="33">
        <v>46156.0</v>
      </c>
      <c r="C234" s="35" t="s">
        <v>35</v>
      </c>
      <c r="D234" s="35">
        <v>100.0</v>
      </c>
      <c r="E234" s="37">
        <v>21.0</v>
      </c>
      <c r="F234" s="38">
        <f t="shared" si="1"/>
        <v>2100</v>
      </c>
      <c r="G234" s="35" t="s">
        <v>1597</v>
      </c>
      <c r="H234" s="35" t="s">
        <v>1599</v>
      </c>
      <c r="I234" s="35" t="s">
        <v>41</v>
      </c>
      <c r="J234" s="35" t="s">
        <v>40</v>
      </c>
      <c r="K234" s="35" t="s">
        <v>35</v>
      </c>
      <c r="L234" s="35" t="s">
        <v>1593</v>
      </c>
      <c r="M234" s="39">
        <v>31.0</v>
      </c>
      <c r="N234" s="40">
        <v>46161.0</v>
      </c>
      <c r="O234" s="42" t="b">
        <v>1</v>
      </c>
      <c r="P234" s="44">
        <v>46161.0</v>
      </c>
      <c r="Q234" s="34"/>
      <c r="R234" s="34"/>
      <c r="S234" s="34"/>
      <c r="T234" s="34"/>
    </row>
    <row r="235" ht="15.75" customHeight="1">
      <c r="B235" s="33">
        <v>46156.0</v>
      </c>
      <c r="C235" s="35" t="s">
        <v>35</v>
      </c>
      <c r="D235" s="35">
        <v>100.0</v>
      </c>
      <c r="E235" s="37">
        <v>38.0</v>
      </c>
      <c r="F235" s="38">
        <f t="shared" si="1"/>
        <v>3800</v>
      </c>
      <c r="G235" s="35" t="s">
        <v>1606</v>
      </c>
      <c r="H235" s="35" t="s">
        <v>1607</v>
      </c>
      <c r="I235" s="35" t="s">
        <v>41</v>
      </c>
      <c r="J235" s="35" t="s">
        <v>40</v>
      </c>
      <c r="K235" s="35" t="s">
        <v>35</v>
      </c>
      <c r="L235" s="35" t="s">
        <v>1593</v>
      </c>
      <c r="M235" s="39">
        <v>31.0</v>
      </c>
      <c r="N235" s="44">
        <v>46161.0</v>
      </c>
      <c r="O235" s="42" t="b">
        <v>1</v>
      </c>
      <c r="P235" s="44">
        <v>46161.0</v>
      </c>
      <c r="Q235" s="34"/>
      <c r="R235" s="34"/>
      <c r="S235" s="34"/>
      <c r="T235" s="34"/>
    </row>
    <row r="236" ht="15.75" customHeight="1">
      <c r="B236" s="33">
        <v>46156.0</v>
      </c>
      <c r="C236" s="35" t="s">
        <v>35</v>
      </c>
      <c r="D236" s="35">
        <v>100.0</v>
      </c>
      <c r="E236" s="37">
        <v>30.0</v>
      </c>
      <c r="F236" s="38">
        <f t="shared" si="1"/>
        <v>3000</v>
      </c>
      <c r="G236" s="35" t="s">
        <v>1611</v>
      </c>
      <c r="H236" s="35" t="s">
        <v>1390</v>
      </c>
      <c r="I236" s="35" t="s">
        <v>41</v>
      </c>
      <c r="J236" s="35" t="s">
        <v>40</v>
      </c>
      <c r="K236" s="35" t="s">
        <v>35</v>
      </c>
      <c r="L236" s="35" t="s">
        <v>1593</v>
      </c>
      <c r="M236" s="39">
        <v>31.0</v>
      </c>
      <c r="N236" s="44">
        <v>46161.0</v>
      </c>
      <c r="O236" s="42" t="b">
        <v>1</v>
      </c>
      <c r="P236" s="44">
        <v>46161.0</v>
      </c>
      <c r="Q236" s="34"/>
      <c r="R236" s="34"/>
      <c r="S236" s="34"/>
      <c r="T236" s="34"/>
    </row>
    <row r="237" ht="15.75" customHeight="1">
      <c r="B237" s="33">
        <v>46156.0</v>
      </c>
      <c r="C237" s="35">
        <v>15907.0</v>
      </c>
      <c r="D237" s="35">
        <v>100.0</v>
      </c>
      <c r="E237" s="37">
        <v>6.51</v>
      </c>
      <c r="F237" s="38">
        <f t="shared" si="1"/>
        <v>651</v>
      </c>
      <c r="G237" s="35" t="s">
        <v>1614</v>
      </c>
      <c r="H237" s="35" t="s">
        <v>1615</v>
      </c>
      <c r="I237" s="35" t="s">
        <v>41</v>
      </c>
      <c r="J237" s="35" t="s">
        <v>34</v>
      </c>
      <c r="K237" s="35" t="s">
        <v>35</v>
      </c>
      <c r="L237" s="35" t="s">
        <v>210</v>
      </c>
      <c r="M237" s="39">
        <v>1.0</v>
      </c>
      <c r="N237" s="44">
        <v>46157.0</v>
      </c>
      <c r="O237" s="42" t="b">
        <v>1</v>
      </c>
      <c r="P237" s="44">
        <v>46161.0</v>
      </c>
      <c r="Q237" s="34"/>
      <c r="R237" s="34"/>
      <c r="S237" s="34"/>
      <c r="T237" s="34"/>
    </row>
    <row r="238" ht="15.75" customHeight="1">
      <c r="B238" s="33">
        <v>46156.0</v>
      </c>
      <c r="C238" s="46" t="s">
        <v>1616</v>
      </c>
      <c r="D238" s="35">
        <v>50.0</v>
      </c>
      <c r="E238" s="37">
        <v>85.5</v>
      </c>
      <c r="F238" s="38">
        <f t="shared" si="1"/>
        <v>4275</v>
      </c>
      <c r="G238" s="35" t="s">
        <v>412</v>
      </c>
      <c r="H238" s="35" t="s">
        <v>164</v>
      </c>
      <c r="I238" s="35" t="s">
        <v>32</v>
      </c>
      <c r="J238" s="35" t="s">
        <v>34</v>
      </c>
      <c r="K238" s="35" t="s">
        <v>35</v>
      </c>
      <c r="L238" s="35" t="s">
        <v>46</v>
      </c>
      <c r="M238" s="39">
        <v>31.0</v>
      </c>
      <c r="N238" s="40">
        <v>46160.0</v>
      </c>
      <c r="O238" s="42" t="b">
        <v>1</v>
      </c>
      <c r="P238" s="44">
        <v>46160.0</v>
      </c>
      <c r="Q238" s="34"/>
      <c r="R238" s="34"/>
      <c r="S238" s="34"/>
      <c r="T238" s="34"/>
    </row>
    <row r="239" ht="15.75" customHeight="1">
      <c r="A239" s="68">
        <v>2040.0</v>
      </c>
      <c r="B239" s="33">
        <v>46156.0</v>
      </c>
      <c r="C239" s="35" t="s">
        <v>35</v>
      </c>
      <c r="D239" s="35">
        <v>300.0</v>
      </c>
      <c r="E239" s="37">
        <v>38.0</v>
      </c>
      <c r="F239" s="38">
        <f t="shared" si="1"/>
        <v>11400</v>
      </c>
      <c r="G239" s="35" t="s">
        <v>1606</v>
      </c>
      <c r="H239" s="35" t="s">
        <v>1607</v>
      </c>
      <c r="I239" s="35" t="s">
        <v>59</v>
      </c>
      <c r="J239" s="35" t="s">
        <v>34</v>
      </c>
      <c r="K239" s="35" t="s">
        <v>35</v>
      </c>
      <c r="L239" s="35" t="s">
        <v>1593</v>
      </c>
      <c r="M239" s="39">
        <v>31.0</v>
      </c>
      <c r="N239" s="40">
        <v>46160.0</v>
      </c>
      <c r="O239" s="42" t="b">
        <v>1</v>
      </c>
      <c r="P239" s="44">
        <v>46160.0</v>
      </c>
      <c r="Q239" s="34"/>
      <c r="R239" s="34"/>
      <c r="S239" s="34"/>
      <c r="T239" s="34"/>
    </row>
    <row r="240" ht="15.75" customHeight="1">
      <c r="B240" s="33">
        <v>46156.0</v>
      </c>
      <c r="C240" s="35">
        <v>15907.0</v>
      </c>
      <c r="D240" s="35">
        <v>100.0</v>
      </c>
      <c r="E240" s="37">
        <v>5.115</v>
      </c>
      <c r="F240" s="38">
        <f t="shared" si="1"/>
        <v>511.5</v>
      </c>
      <c r="G240" s="35" t="s">
        <v>1631</v>
      </c>
      <c r="H240" s="35" t="s">
        <v>1390</v>
      </c>
      <c r="I240" s="35" t="s">
        <v>41</v>
      </c>
      <c r="J240" s="35" t="s">
        <v>34</v>
      </c>
      <c r="K240" s="35" t="s">
        <v>35</v>
      </c>
      <c r="L240" s="35" t="s">
        <v>210</v>
      </c>
      <c r="M240" s="39">
        <v>1.0</v>
      </c>
      <c r="N240" s="40">
        <v>46157.0</v>
      </c>
      <c r="O240" s="42" t="b">
        <v>1</v>
      </c>
      <c r="P240" s="44">
        <v>46161.0</v>
      </c>
      <c r="Q240" s="34"/>
      <c r="R240" s="34"/>
      <c r="S240" s="34"/>
      <c r="T240" s="34"/>
    </row>
    <row r="241" ht="15.75" customHeight="1">
      <c r="B241" s="33">
        <v>46156.0</v>
      </c>
      <c r="C241" s="35">
        <v>15907.0</v>
      </c>
      <c r="D241" s="35">
        <v>200.0</v>
      </c>
      <c r="E241" s="37">
        <v>17.205</v>
      </c>
      <c r="F241" s="38">
        <f t="shared" si="1"/>
        <v>3441</v>
      </c>
      <c r="G241" s="35" t="s">
        <v>1634</v>
      </c>
      <c r="H241" s="35" t="s">
        <v>974</v>
      </c>
      <c r="I241" s="35" t="s">
        <v>41</v>
      </c>
      <c r="J241" s="35" t="s">
        <v>34</v>
      </c>
      <c r="K241" s="35" t="s">
        <v>35</v>
      </c>
      <c r="L241" s="35" t="s">
        <v>210</v>
      </c>
      <c r="M241" s="39">
        <v>1.0</v>
      </c>
      <c r="N241" s="40">
        <v>46157.0</v>
      </c>
      <c r="O241" s="42" t="b">
        <v>1</v>
      </c>
      <c r="P241" s="44">
        <v>46161.0</v>
      </c>
      <c r="Q241" s="34"/>
      <c r="R241" s="34"/>
      <c r="S241" s="34"/>
      <c r="T241" s="34"/>
    </row>
    <row r="242" ht="15.75" customHeight="1">
      <c r="B242" s="33">
        <v>46156.0</v>
      </c>
      <c r="C242" s="35">
        <v>668.0</v>
      </c>
      <c r="D242" s="35">
        <v>160.0</v>
      </c>
      <c r="E242" s="37">
        <v>92.0</v>
      </c>
      <c r="F242" s="38">
        <f t="shared" si="1"/>
        <v>14720</v>
      </c>
      <c r="G242" s="35" t="s">
        <v>953</v>
      </c>
      <c r="H242" s="35" t="s">
        <v>954</v>
      </c>
      <c r="I242" s="35" t="s">
        <v>77</v>
      </c>
      <c r="J242" s="35" t="s">
        <v>79</v>
      </c>
      <c r="K242" s="35" t="s">
        <v>35</v>
      </c>
      <c r="L242" s="35" t="s">
        <v>140</v>
      </c>
      <c r="M242" s="39">
        <v>31.0</v>
      </c>
      <c r="N242" s="44">
        <v>46157.0</v>
      </c>
      <c r="O242" s="42" t="b">
        <v>1</v>
      </c>
      <c r="P242" s="36"/>
      <c r="Q242" s="34"/>
      <c r="R242" s="34"/>
      <c r="S242" s="34"/>
      <c r="T242" s="35"/>
    </row>
    <row r="243" ht="15.75" customHeight="1">
      <c r="B243" s="33">
        <v>46156.0</v>
      </c>
      <c r="C243" s="35" t="s">
        <v>35</v>
      </c>
      <c r="D243" s="35">
        <v>200.0</v>
      </c>
      <c r="E243" s="37">
        <v>120.0</v>
      </c>
      <c r="F243" s="38">
        <f t="shared" si="1"/>
        <v>24000</v>
      </c>
      <c r="G243" s="35" t="s">
        <v>299</v>
      </c>
      <c r="H243" s="35" t="s">
        <v>299</v>
      </c>
      <c r="I243" s="35" t="s">
        <v>59</v>
      </c>
      <c r="J243" s="35" t="s">
        <v>34</v>
      </c>
      <c r="K243" s="35" t="s">
        <v>35</v>
      </c>
      <c r="L243" s="35" t="s">
        <v>67</v>
      </c>
      <c r="M243" s="39">
        <v>31.0</v>
      </c>
      <c r="N243" s="44">
        <v>46155.0</v>
      </c>
      <c r="O243" s="42" t="b">
        <v>1</v>
      </c>
      <c r="P243" s="44">
        <v>46157.0</v>
      </c>
      <c r="Q243" s="34"/>
      <c r="R243" s="34"/>
      <c r="S243" s="34"/>
      <c r="T243" s="34"/>
    </row>
    <row r="244" ht="15.75" customHeight="1">
      <c r="B244" s="33">
        <v>46156.0</v>
      </c>
      <c r="C244" s="35">
        <v>16110.0</v>
      </c>
      <c r="D244" s="35">
        <v>8.0</v>
      </c>
      <c r="E244" s="37">
        <v>329.9</v>
      </c>
      <c r="F244" s="38">
        <f t="shared" si="1"/>
        <v>2639.2</v>
      </c>
      <c r="G244" s="35" t="s">
        <v>420</v>
      </c>
      <c r="H244" s="35" t="s">
        <v>190</v>
      </c>
      <c r="I244" s="35" t="s">
        <v>41</v>
      </c>
      <c r="J244" s="35" t="s">
        <v>34</v>
      </c>
      <c r="K244" s="35" t="s">
        <v>35</v>
      </c>
      <c r="L244" s="35" t="s">
        <v>96</v>
      </c>
      <c r="M244" s="39">
        <v>31.0</v>
      </c>
      <c r="N244" s="44">
        <v>46157.0</v>
      </c>
      <c r="O244" s="42" t="b">
        <v>1</v>
      </c>
      <c r="P244" s="44">
        <v>46157.0</v>
      </c>
      <c r="Q244" s="34"/>
      <c r="R244" s="34"/>
      <c r="S244" s="34"/>
      <c r="T244" s="34"/>
    </row>
    <row r="245" ht="15.75" customHeight="1">
      <c r="B245" s="33">
        <v>46156.0</v>
      </c>
      <c r="C245" s="35">
        <v>16111.0</v>
      </c>
      <c r="D245" s="35">
        <v>30.0</v>
      </c>
      <c r="E245" s="37">
        <v>139.9</v>
      </c>
      <c r="F245" s="38">
        <f t="shared" si="1"/>
        <v>4197</v>
      </c>
      <c r="G245" s="35" t="s">
        <v>540</v>
      </c>
      <c r="H245" s="35" t="s">
        <v>541</v>
      </c>
      <c r="I245" s="35" t="s">
        <v>41</v>
      </c>
      <c r="J245" s="35" t="s">
        <v>34</v>
      </c>
      <c r="K245" s="35" t="s">
        <v>35</v>
      </c>
      <c r="L245" s="35" t="s">
        <v>96</v>
      </c>
      <c r="M245" s="39">
        <v>31.0</v>
      </c>
      <c r="N245" s="40">
        <v>46157.0</v>
      </c>
      <c r="O245" s="42" t="b">
        <v>1</v>
      </c>
      <c r="P245" s="44">
        <v>46157.0</v>
      </c>
      <c r="Q245" s="34"/>
      <c r="R245" s="34"/>
      <c r="S245" s="34"/>
      <c r="T245" s="34"/>
    </row>
    <row r="246" ht="15.75" customHeight="1">
      <c r="B246" s="33">
        <v>46156.0</v>
      </c>
      <c r="C246" s="35">
        <v>16111.0</v>
      </c>
      <c r="D246" s="35">
        <v>24.0</v>
      </c>
      <c r="E246" s="37">
        <v>139.9</v>
      </c>
      <c r="F246" s="38">
        <f t="shared" si="1"/>
        <v>3357.6</v>
      </c>
      <c r="G246" s="35" t="s">
        <v>544</v>
      </c>
      <c r="H246" s="35" t="s">
        <v>546</v>
      </c>
      <c r="I246" s="35" t="s">
        <v>41</v>
      </c>
      <c r="J246" s="35" t="s">
        <v>34</v>
      </c>
      <c r="K246" s="35" t="s">
        <v>35</v>
      </c>
      <c r="L246" s="35" t="s">
        <v>96</v>
      </c>
      <c r="M246" s="39">
        <v>31.0</v>
      </c>
      <c r="N246" s="40">
        <v>46157.0</v>
      </c>
      <c r="O246" s="42" t="b">
        <v>1</v>
      </c>
      <c r="P246" s="44">
        <v>46157.0</v>
      </c>
      <c r="Q246" s="34"/>
      <c r="R246" s="34"/>
      <c r="S246" s="34"/>
      <c r="T246" s="34"/>
    </row>
    <row r="247" ht="15.75" customHeight="1">
      <c r="B247" s="33">
        <v>46156.0</v>
      </c>
      <c r="C247" s="35">
        <v>16111.0</v>
      </c>
      <c r="D247" s="35">
        <v>40.0</v>
      </c>
      <c r="E247" s="37">
        <v>17.9</v>
      </c>
      <c r="F247" s="38">
        <f t="shared" si="1"/>
        <v>716</v>
      </c>
      <c r="G247" s="35" t="s">
        <v>1665</v>
      </c>
      <c r="H247" s="35" t="s">
        <v>828</v>
      </c>
      <c r="I247" s="35" t="s">
        <v>41</v>
      </c>
      <c r="J247" s="35" t="s">
        <v>34</v>
      </c>
      <c r="K247" s="35" t="s">
        <v>35</v>
      </c>
      <c r="L247" s="35" t="s">
        <v>96</v>
      </c>
      <c r="M247" s="39">
        <v>31.0</v>
      </c>
      <c r="N247" s="40">
        <v>46157.0</v>
      </c>
      <c r="O247" s="42" t="b">
        <v>1</v>
      </c>
      <c r="P247" s="44">
        <v>46157.0</v>
      </c>
      <c r="Q247" s="34"/>
      <c r="R247" s="34"/>
      <c r="S247" s="34"/>
      <c r="T247" s="34"/>
    </row>
    <row r="248" ht="15.75" customHeight="1">
      <c r="B248" s="33">
        <v>46156.0</v>
      </c>
      <c r="C248" s="35">
        <v>16111.0</v>
      </c>
      <c r="D248" s="35">
        <v>90.0</v>
      </c>
      <c r="E248" s="37">
        <v>53.9</v>
      </c>
      <c r="F248" s="38">
        <f t="shared" si="1"/>
        <v>4851</v>
      </c>
      <c r="G248" s="35" t="s">
        <v>1672</v>
      </c>
      <c r="H248" s="35" t="s">
        <v>1673</v>
      </c>
      <c r="I248" s="35" t="s">
        <v>41</v>
      </c>
      <c r="J248" s="35" t="s">
        <v>34</v>
      </c>
      <c r="K248" s="35" t="s">
        <v>35</v>
      </c>
      <c r="L248" s="35" t="s">
        <v>96</v>
      </c>
      <c r="M248" s="39">
        <v>31.0</v>
      </c>
      <c r="N248" s="40">
        <v>46157.0</v>
      </c>
      <c r="O248" s="42" t="b">
        <v>1</v>
      </c>
      <c r="P248" s="44">
        <v>46157.0</v>
      </c>
      <c r="Q248" s="34"/>
      <c r="R248" s="34"/>
      <c r="S248" s="34"/>
      <c r="T248" s="34"/>
    </row>
    <row r="249" ht="15.75" customHeight="1">
      <c r="B249" s="33">
        <v>46156.0</v>
      </c>
      <c r="C249" s="35" t="s">
        <v>35</v>
      </c>
      <c r="D249" s="35">
        <v>10.0</v>
      </c>
      <c r="E249" s="37">
        <v>320.0</v>
      </c>
      <c r="F249" s="38">
        <f t="shared" si="1"/>
        <v>3200</v>
      </c>
      <c r="G249" s="35" t="s">
        <v>1675</v>
      </c>
      <c r="H249" s="35" t="s">
        <v>35</v>
      </c>
      <c r="I249" s="35" t="s">
        <v>157</v>
      </c>
      <c r="J249" s="35" t="s">
        <v>34</v>
      </c>
      <c r="K249" s="35" t="s">
        <v>35</v>
      </c>
      <c r="L249" s="35" t="s">
        <v>1676</v>
      </c>
      <c r="M249" s="39">
        <v>31.0</v>
      </c>
      <c r="N249" s="44">
        <v>46157.0</v>
      </c>
      <c r="O249" s="42" t="b">
        <v>1</v>
      </c>
      <c r="P249" s="44">
        <v>46157.0</v>
      </c>
      <c r="Q249" s="34"/>
      <c r="R249" s="34"/>
      <c r="S249" s="34"/>
      <c r="T249" s="34"/>
    </row>
    <row r="250" ht="15.75" customHeight="1">
      <c r="B250" s="33">
        <v>46156.0</v>
      </c>
      <c r="C250" s="35" t="s">
        <v>35</v>
      </c>
      <c r="D250" s="35">
        <v>3.0</v>
      </c>
      <c r="E250" s="37">
        <v>779.0</v>
      </c>
      <c r="F250" s="38">
        <f t="shared" si="1"/>
        <v>2337</v>
      </c>
      <c r="G250" s="35" t="s">
        <v>1681</v>
      </c>
      <c r="H250" s="35" t="s">
        <v>35</v>
      </c>
      <c r="I250" s="35" t="s">
        <v>41</v>
      </c>
      <c r="J250" s="35" t="s">
        <v>34</v>
      </c>
      <c r="K250" s="35" t="s">
        <v>35</v>
      </c>
      <c r="L250" s="35" t="s">
        <v>1676</v>
      </c>
      <c r="M250" s="39">
        <v>31.0</v>
      </c>
      <c r="N250" s="40">
        <v>46160.0</v>
      </c>
      <c r="O250" s="42" t="b">
        <v>1</v>
      </c>
      <c r="P250" s="44">
        <v>46160.0</v>
      </c>
      <c r="Q250" s="34"/>
      <c r="R250" s="34"/>
      <c r="S250" s="34"/>
      <c r="T250" s="34"/>
    </row>
    <row r="251" ht="15.75" customHeight="1">
      <c r="B251" s="33">
        <v>46156.0</v>
      </c>
      <c r="C251" s="35">
        <v>1132.0</v>
      </c>
      <c r="D251" s="35">
        <v>50.0</v>
      </c>
      <c r="E251" s="37">
        <v>685.0</v>
      </c>
      <c r="F251" s="38">
        <f t="shared" si="1"/>
        <v>34250</v>
      </c>
      <c r="G251" s="35" t="s">
        <v>856</v>
      </c>
      <c r="H251" s="35" t="s">
        <v>35</v>
      </c>
      <c r="I251" s="35" t="s">
        <v>41</v>
      </c>
      <c r="J251" s="35" t="s">
        <v>34</v>
      </c>
      <c r="K251" s="35" t="s">
        <v>35</v>
      </c>
      <c r="L251" s="35" t="s">
        <v>468</v>
      </c>
      <c r="M251" s="39">
        <v>31.0</v>
      </c>
      <c r="N251" s="40">
        <v>46160.0</v>
      </c>
      <c r="O251" s="42" t="b">
        <v>1</v>
      </c>
      <c r="P251" s="44">
        <v>46160.0</v>
      </c>
      <c r="Q251" s="34"/>
      <c r="R251" s="34"/>
      <c r="S251" s="34"/>
      <c r="T251" s="34"/>
    </row>
    <row r="252" ht="15.75" customHeight="1">
      <c r="B252" s="33">
        <v>46156.0</v>
      </c>
      <c r="C252" s="35">
        <v>1132.0</v>
      </c>
      <c r="D252" s="35">
        <v>10.0</v>
      </c>
      <c r="E252" s="37">
        <v>685.0</v>
      </c>
      <c r="F252" s="38">
        <f t="shared" si="1"/>
        <v>6850</v>
      </c>
      <c r="G252" s="35" t="s">
        <v>856</v>
      </c>
      <c r="H252" s="35" t="s">
        <v>35</v>
      </c>
      <c r="I252" s="35" t="s">
        <v>39</v>
      </c>
      <c r="J252" s="35" t="s">
        <v>183</v>
      </c>
      <c r="K252" s="35" t="s">
        <v>35</v>
      </c>
      <c r="L252" s="35" t="s">
        <v>468</v>
      </c>
      <c r="M252" s="39">
        <v>31.0</v>
      </c>
      <c r="N252" s="40">
        <v>46160.0</v>
      </c>
      <c r="O252" s="42" t="b">
        <v>1</v>
      </c>
      <c r="P252" s="44">
        <v>46160.0</v>
      </c>
      <c r="Q252" s="34"/>
      <c r="R252" s="34"/>
      <c r="S252" s="34"/>
      <c r="T252" s="34"/>
    </row>
    <row r="253" ht="15.75" customHeight="1">
      <c r="B253" s="33">
        <v>46156.0</v>
      </c>
      <c r="C253" s="35" t="s">
        <v>35</v>
      </c>
      <c r="D253" s="35">
        <v>20.0</v>
      </c>
      <c r="E253" s="37">
        <v>92.0</v>
      </c>
      <c r="F253" s="38">
        <f t="shared" si="1"/>
        <v>1840</v>
      </c>
      <c r="G253" s="35" t="s">
        <v>1695</v>
      </c>
      <c r="H253" s="35" t="s">
        <v>1696</v>
      </c>
      <c r="I253" s="35" t="s">
        <v>41</v>
      </c>
      <c r="J253" s="35" t="s">
        <v>40</v>
      </c>
      <c r="K253" s="35" t="s">
        <v>35</v>
      </c>
      <c r="L253" s="35" t="s">
        <v>67</v>
      </c>
      <c r="M253" s="39">
        <v>31.0</v>
      </c>
      <c r="N253" s="41">
        <v>46168.0</v>
      </c>
      <c r="O253" s="42" t="b">
        <v>1</v>
      </c>
      <c r="P253" s="44">
        <v>46169.0</v>
      </c>
      <c r="Q253" s="34"/>
      <c r="R253" s="34"/>
      <c r="S253" s="34"/>
      <c r="T253" s="34"/>
    </row>
    <row r="254" ht="15.75" customHeight="1">
      <c r="B254" s="33">
        <v>46156.0</v>
      </c>
      <c r="C254" s="35" t="s">
        <v>35</v>
      </c>
      <c r="D254" s="35">
        <v>23.0</v>
      </c>
      <c r="E254" s="37">
        <v>92.0</v>
      </c>
      <c r="F254" s="38">
        <f t="shared" si="1"/>
        <v>2116</v>
      </c>
      <c r="G254" s="35" t="s">
        <v>1701</v>
      </c>
      <c r="H254" s="35" t="s">
        <v>1702</v>
      </c>
      <c r="I254" s="35" t="s">
        <v>41</v>
      </c>
      <c r="J254" s="35" t="s">
        <v>40</v>
      </c>
      <c r="K254" s="35" t="s">
        <v>35</v>
      </c>
      <c r="L254" s="35" t="s">
        <v>67</v>
      </c>
      <c r="M254" s="39">
        <v>31.0</v>
      </c>
      <c r="N254" s="52">
        <v>46168.0</v>
      </c>
      <c r="O254" s="42" t="b">
        <v>1</v>
      </c>
      <c r="P254" s="44">
        <v>46169.0</v>
      </c>
      <c r="Q254" s="34"/>
      <c r="R254" s="34"/>
      <c r="S254" s="34"/>
      <c r="T254" s="34"/>
    </row>
    <row r="255" ht="15.75" customHeight="1">
      <c r="B255" s="33">
        <v>46156.0</v>
      </c>
      <c r="C255" s="35" t="s">
        <v>35</v>
      </c>
      <c r="D255" s="35">
        <v>77.0</v>
      </c>
      <c r="E255" s="37">
        <v>92.0</v>
      </c>
      <c r="F255" s="38">
        <f t="shared" si="1"/>
        <v>7084</v>
      </c>
      <c r="G255" s="35" t="s">
        <v>953</v>
      </c>
      <c r="H255" s="35" t="s">
        <v>1707</v>
      </c>
      <c r="I255" s="35" t="s">
        <v>41</v>
      </c>
      <c r="J255" s="35" t="s">
        <v>40</v>
      </c>
      <c r="K255" s="35" t="s">
        <v>35</v>
      </c>
      <c r="L255" s="35" t="s">
        <v>67</v>
      </c>
      <c r="M255" s="39">
        <v>31.0</v>
      </c>
      <c r="N255" s="52">
        <v>46168.0</v>
      </c>
      <c r="O255" s="42" t="b">
        <v>1</v>
      </c>
      <c r="P255" s="44">
        <v>46169.0</v>
      </c>
      <c r="Q255" s="34"/>
      <c r="R255" s="34"/>
      <c r="S255" s="34"/>
      <c r="T255" s="34"/>
    </row>
    <row r="256" ht="15.75" customHeight="1">
      <c r="B256" s="33">
        <v>46157.0</v>
      </c>
      <c r="C256" s="46" t="s">
        <v>1711</v>
      </c>
      <c r="D256" s="35">
        <v>60.0</v>
      </c>
      <c r="E256" s="37">
        <v>23.0</v>
      </c>
      <c r="F256" s="38">
        <f t="shared" si="1"/>
        <v>1380</v>
      </c>
      <c r="G256" s="35" t="s">
        <v>1712</v>
      </c>
      <c r="H256" s="35" t="s">
        <v>1713</v>
      </c>
      <c r="I256" s="35" t="s">
        <v>41</v>
      </c>
      <c r="J256" s="35" t="s">
        <v>34</v>
      </c>
      <c r="K256" s="35" t="s">
        <v>35</v>
      </c>
      <c r="L256" s="35" t="s">
        <v>87</v>
      </c>
      <c r="M256" s="39">
        <v>31.0</v>
      </c>
      <c r="N256" s="40">
        <v>46161.0</v>
      </c>
      <c r="O256" s="42" t="b">
        <v>1</v>
      </c>
      <c r="P256" s="44">
        <v>46162.0</v>
      </c>
      <c r="Q256" s="34"/>
      <c r="R256" s="34"/>
      <c r="S256" s="34"/>
      <c r="T256" s="34"/>
    </row>
    <row r="257" ht="15.75" customHeight="1">
      <c r="B257" s="33">
        <v>46157.0</v>
      </c>
      <c r="C257" s="46" t="s">
        <v>1711</v>
      </c>
      <c r="D257" s="35">
        <v>40.0</v>
      </c>
      <c r="E257" s="37">
        <v>23.0</v>
      </c>
      <c r="F257" s="38">
        <f t="shared" si="1"/>
        <v>920</v>
      </c>
      <c r="G257" s="35" t="s">
        <v>1712</v>
      </c>
      <c r="H257" s="35" t="s">
        <v>1713</v>
      </c>
      <c r="I257" s="35" t="s">
        <v>41</v>
      </c>
      <c r="J257" s="35" t="s">
        <v>40</v>
      </c>
      <c r="K257" s="35" t="s">
        <v>35</v>
      </c>
      <c r="L257" s="35" t="s">
        <v>87</v>
      </c>
      <c r="M257" s="39">
        <v>31.0</v>
      </c>
      <c r="N257" s="40">
        <v>46161.0</v>
      </c>
      <c r="O257" s="42" t="b">
        <v>1</v>
      </c>
      <c r="P257" s="44">
        <v>46163.0</v>
      </c>
      <c r="Q257" s="34"/>
      <c r="R257" s="34"/>
      <c r="S257" s="34"/>
      <c r="T257" s="34"/>
    </row>
    <row r="258" ht="15.75" customHeight="1">
      <c r="B258" s="33">
        <v>46157.0</v>
      </c>
      <c r="C258" s="35">
        <v>917933.0</v>
      </c>
      <c r="D258" s="35">
        <v>20.0</v>
      </c>
      <c r="E258" s="37">
        <v>189.9</v>
      </c>
      <c r="F258" s="38">
        <f t="shared" si="1"/>
        <v>3798</v>
      </c>
      <c r="G258" s="35" t="s">
        <v>1561</v>
      </c>
      <c r="H258" s="35">
        <v>61289.0</v>
      </c>
      <c r="I258" s="35" t="s">
        <v>32</v>
      </c>
      <c r="J258" s="35" t="s">
        <v>34</v>
      </c>
      <c r="K258" s="35" t="s">
        <v>35</v>
      </c>
      <c r="L258" s="35" t="s">
        <v>74</v>
      </c>
      <c r="M258" s="39">
        <v>31.0</v>
      </c>
      <c r="N258" s="40">
        <v>46162.0</v>
      </c>
      <c r="O258" s="42" t="b">
        <v>0</v>
      </c>
      <c r="P258" s="45"/>
      <c r="Q258" s="34"/>
      <c r="R258" s="34"/>
      <c r="S258" s="34"/>
      <c r="T258" s="34"/>
    </row>
    <row r="259" ht="15.75" customHeight="1">
      <c r="B259" s="33">
        <v>46157.0</v>
      </c>
      <c r="C259" s="35" t="s">
        <v>35</v>
      </c>
      <c r="D259" s="35">
        <v>100.0</v>
      </c>
      <c r="E259" s="37">
        <v>26.0</v>
      </c>
      <c r="F259" s="38">
        <f t="shared" si="1"/>
        <v>2600</v>
      </c>
      <c r="G259" s="35" t="s">
        <v>1728</v>
      </c>
      <c r="H259" s="35" t="s">
        <v>1729</v>
      </c>
      <c r="I259" s="35" t="s">
        <v>59</v>
      </c>
      <c r="J259" s="35" t="s">
        <v>34</v>
      </c>
      <c r="K259" s="35" t="s">
        <v>35</v>
      </c>
      <c r="L259" s="35" t="s">
        <v>1593</v>
      </c>
      <c r="M259" s="39">
        <v>31.0</v>
      </c>
      <c r="N259" s="40">
        <v>46160.0</v>
      </c>
      <c r="O259" s="42" t="b">
        <v>1</v>
      </c>
      <c r="P259" s="44">
        <v>46160.0</v>
      </c>
      <c r="Q259" s="34"/>
      <c r="R259" s="34"/>
      <c r="S259" s="34"/>
      <c r="T259" s="34"/>
    </row>
    <row r="260" ht="15.75" customHeight="1">
      <c r="B260" s="33">
        <v>46157.0</v>
      </c>
      <c r="C260" s="35">
        <v>917939.0</v>
      </c>
      <c r="D260" s="35">
        <v>300.0</v>
      </c>
      <c r="E260" s="37">
        <v>42.9</v>
      </c>
      <c r="F260" s="38">
        <f t="shared" si="1"/>
        <v>12870</v>
      </c>
      <c r="G260" s="35" t="s">
        <v>1733</v>
      </c>
      <c r="H260" s="35">
        <v>50537.0</v>
      </c>
      <c r="I260" s="35" t="s">
        <v>41</v>
      </c>
      <c r="J260" s="35" t="s">
        <v>34</v>
      </c>
      <c r="K260" s="35" t="s">
        <v>35</v>
      </c>
      <c r="L260" s="35" t="s">
        <v>74</v>
      </c>
      <c r="M260" s="39">
        <v>31.0</v>
      </c>
      <c r="N260" s="40">
        <v>46162.0</v>
      </c>
      <c r="O260" s="42" t="b">
        <v>1</v>
      </c>
      <c r="P260" s="44">
        <v>46160.0</v>
      </c>
      <c r="Q260" s="34"/>
      <c r="R260" s="34"/>
      <c r="S260" s="34"/>
      <c r="T260" s="34"/>
    </row>
    <row r="261" ht="15.75" customHeight="1">
      <c r="B261" s="33">
        <v>46157.0</v>
      </c>
      <c r="C261" s="46" t="s">
        <v>1737</v>
      </c>
      <c r="D261" s="35">
        <v>15.0</v>
      </c>
      <c r="E261" s="37">
        <v>143.0</v>
      </c>
      <c r="F261" s="38">
        <f t="shared" si="1"/>
        <v>2145</v>
      </c>
      <c r="G261" s="35" t="s">
        <v>1739</v>
      </c>
      <c r="H261" s="35" t="s">
        <v>1013</v>
      </c>
      <c r="I261" s="35" t="s">
        <v>240</v>
      </c>
      <c r="J261" s="35" t="s">
        <v>34</v>
      </c>
      <c r="K261" s="35" t="s">
        <v>35</v>
      </c>
      <c r="L261" s="35" t="s">
        <v>87</v>
      </c>
      <c r="M261" s="39">
        <v>31.0</v>
      </c>
      <c r="N261" s="40">
        <v>46161.0</v>
      </c>
      <c r="O261" s="42" t="b">
        <v>1</v>
      </c>
      <c r="P261" s="44">
        <v>46163.0</v>
      </c>
      <c r="Q261" s="34"/>
      <c r="R261" s="34"/>
      <c r="S261" s="34"/>
      <c r="T261" s="34"/>
    </row>
    <row r="262" ht="15.75" customHeight="1">
      <c r="B262" s="33">
        <v>46157.0</v>
      </c>
      <c r="C262" s="46" t="s">
        <v>1737</v>
      </c>
      <c r="D262" s="35">
        <v>3.0</v>
      </c>
      <c r="E262" s="37">
        <v>143.0</v>
      </c>
      <c r="F262" s="38">
        <f t="shared" si="1"/>
        <v>429</v>
      </c>
      <c r="G262" s="35" t="s">
        <v>1739</v>
      </c>
      <c r="H262" s="35" t="s">
        <v>1013</v>
      </c>
      <c r="I262" s="35" t="s">
        <v>240</v>
      </c>
      <c r="J262" s="35" t="s">
        <v>40</v>
      </c>
      <c r="K262" s="35" t="s">
        <v>35</v>
      </c>
      <c r="L262" s="35" t="s">
        <v>87</v>
      </c>
      <c r="M262" s="39">
        <v>31.0</v>
      </c>
      <c r="N262" s="40">
        <v>46161.0</v>
      </c>
      <c r="O262" s="42" t="b">
        <v>1</v>
      </c>
      <c r="P262" s="44">
        <v>46163.0</v>
      </c>
      <c r="Q262" s="34"/>
      <c r="R262" s="34"/>
      <c r="S262" s="34"/>
      <c r="T262" s="34"/>
    </row>
    <row r="263" ht="15.75" customHeight="1">
      <c r="B263" s="33">
        <v>46157.0</v>
      </c>
      <c r="C263" s="35">
        <v>16323.0</v>
      </c>
      <c r="D263" s="35">
        <v>24.0</v>
      </c>
      <c r="E263" s="37">
        <v>26.9</v>
      </c>
      <c r="F263" s="38">
        <f t="shared" si="1"/>
        <v>645.6</v>
      </c>
      <c r="G263" s="35" t="s">
        <v>1748</v>
      </c>
      <c r="H263" s="35" t="s">
        <v>1551</v>
      </c>
      <c r="I263" s="35" t="s">
        <v>32</v>
      </c>
      <c r="J263" s="35" t="s">
        <v>34</v>
      </c>
      <c r="K263" s="35" t="s">
        <v>35</v>
      </c>
      <c r="L263" s="35" t="s">
        <v>96</v>
      </c>
      <c r="M263" s="39">
        <v>1.0</v>
      </c>
      <c r="N263" s="40">
        <v>46162.0</v>
      </c>
      <c r="O263" s="42" t="b">
        <v>1</v>
      </c>
      <c r="P263" s="44">
        <v>46168.0</v>
      </c>
      <c r="Q263" s="34"/>
      <c r="R263" s="34"/>
      <c r="S263" s="34"/>
      <c r="T263" s="34"/>
    </row>
    <row r="264" ht="15.75" customHeight="1">
      <c r="B264" s="33">
        <v>46157.0</v>
      </c>
      <c r="C264" s="35">
        <v>16311.0</v>
      </c>
      <c r="D264" s="35">
        <v>2.0</v>
      </c>
      <c r="E264" s="37">
        <v>139.9</v>
      </c>
      <c r="F264" s="38">
        <f t="shared" si="1"/>
        <v>279.8</v>
      </c>
      <c r="G264" s="35" t="s">
        <v>540</v>
      </c>
      <c r="H264" s="35" t="s">
        <v>541</v>
      </c>
      <c r="I264" s="35" t="s">
        <v>41</v>
      </c>
      <c r="J264" s="35" t="s">
        <v>34</v>
      </c>
      <c r="K264" s="35" t="s">
        <v>35</v>
      </c>
      <c r="L264" s="35" t="s">
        <v>96</v>
      </c>
      <c r="M264" s="39">
        <v>1.0</v>
      </c>
      <c r="N264" s="40">
        <v>46162.0</v>
      </c>
      <c r="O264" s="42" t="b">
        <v>1</v>
      </c>
      <c r="P264" s="44">
        <v>46168.0</v>
      </c>
      <c r="Q264" s="34"/>
      <c r="R264" s="34"/>
      <c r="S264" s="34"/>
      <c r="T264" s="34"/>
    </row>
    <row r="265" ht="15.75" customHeight="1">
      <c r="B265" s="33">
        <v>46157.0</v>
      </c>
      <c r="C265" s="35">
        <v>16311.0</v>
      </c>
      <c r="D265" s="35">
        <v>4.0</v>
      </c>
      <c r="E265" s="37">
        <v>139.9</v>
      </c>
      <c r="F265" s="38">
        <f t="shared" si="1"/>
        <v>559.6</v>
      </c>
      <c r="G265" s="35" t="s">
        <v>540</v>
      </c>
      <c r="H265" s="35" t="s">
        <v>541</v>
      </c>
      <c r="I265" s="35" t="s">
        <v>41</v>
      </c>
      <c r="J265" s="35" t="s">
        <v>40</v>
      </c>
      <c r="K265" s="35" t="s">
        <v>35</v>
      </c>
      <c r="L265" s="35" t="s">
        <v>96</v>
      </c>
      <c r="M265" s="39">
        <v>1.0</v>
      </c>
      <c r="N265" s="40">
        <v>46162.0</v>
      </c>
      <c r="O265" s="42" t="b">
        <v>1</v>
      </c>
      <c r="P265" s="44">
        <v>46168.0</v>
      </c>
      <c r="Q265" s="34"/>
      <c r="R265" s="34"/>
      <c r="S265" s="34"/>
      <c r="T265" s="34"/>
    </row>
    <row r="266" ht="15.75" customHeight="1">
      <c r="B266" s="33">
        <v>46157.0</v>
      </c>
      <c r="C266" s="35" t="s">
        <v>35</v>
      </c>
      <c r="D266" s="35">
        <v>15.0</v>
      </c>
      <c r="E266" s="37">
        <v>44.04</v>
      </c>
      <c r="F266" s="38">
        <f t="shared" si="1"/>
        <v>660.6</v>
      </c>
      <c r="G266" s="35" t="s">
        <v>1758</v>
      </c>
      <c r="H266" s="35" t="s">
        <v>35</v>
      </c>
      <c r="I266" s="35" t="s">
        <v>174</v>
      </c>
      <c r="J266" s="35" t="s">
        <v>175</v>
      </c>
      <c r="K266" s="35" t="s">
        <v>35</v>
      </c>
      <c r="L266" s="35" t="s">
        <v>1265</v>
      </c>
      <c r="M266" s="39">
        <v>1.0</v>
      </c>
      <c r="N266" s="40">
        <v>46161.0</v>
      </c>
      <c r="O266" s="42" t="b">
        <v>1</v>
      </c>
      <c r="P266" s="44">
        <v>46161.0</v>
      </c>
      <c r="Q266" s="34"/>
      <c r="R266" s="34"/>
      <c r="S266" s="34"/>
      <c r="T266" s="34"/>
    </row>
    <row r="267" ht="15.75" customHeight="1">
      <c r="B267" s="33">
        <v>46157.0</v>
      </c>
      <c r="C267" s="35" t="s">
        <v>35</v>
      </c>
      <c r="D267" s="35">
        <v>4.0</v>
      </c>
      <c r="E267" s="37">
        <v>355.3</v>
      </c>
      <c r="F267" s="38">
        <f t="shared" si="1"/>
        <v>1421.2</v>
      </c>
      <c r="G267" s="35" t="s">
        <v>1765</v>
      </c>
      <c r="H267" s="35" t="s">
        <v>35</v>
      </c>
      <c r="I267" s="35" t="s">
        <v>174</v>
      </c>
      <c r="J267" s="35" t="s">
        <v>175</v>
      </c>
      <c r="K267" s="35" t="s">
        <v>35</v>
      </c>
      <c r="L267" s="35" t="s">
        <v>1265</v>
      </c>
      <c r="M267" s="39">
        <v>1.0</v>
      </c>
      <c r="N267" s="40">
        <v>46167.0</v>
      </c>
      <c r="O267" s="42" t="b">
        <v>1</v>
      </c>
      <c r="P267" s="44">
        <v>46168.0</v>
      </c>
      <c r="Q267" s="34"/>
      <c r="R267" s="34"/>
      <c r="S267" s="34"/>
      <c r="T267" s="34"/>
    </row>
    <row r="268" ht="15.75" customHeight="1">
      <c r="B268" s="33">
        <v>46160.0</v>
      </c>
      <c r="C268" s="46" t="s">
        <v>1767</v>
      </c>
      <c r="D268" s="35">
        <v>600.0</v>
      </c>
      <c r="E268" s="37">
        <v>58.0</v>
      </c>
      <c r="F268" s="38">
        <f t="shared" si="1"/>
        <v>34800</v>
      </c>
      <c r="G268" s="35" t="s">
        <v>1768</v>
      </c>
      <c r="H268" s="35" t="s">
        <v>1769</v>
      </c>
      <c r="I268" s="35" t="s">
        <v>41</v>
      </c>
      <c r="J268" s="35" t="s">
        <v>40</v>
      </c>
      <c r="K268" s="35" t="s">
        <v>35</v>
      </c>
      <c r="L268" s="35" t="s">
        <v>87</v>
      </c>
      <c r="M268" s="39">
        <v>31.0</v>
      </c>
      <c r="N268" s="40">
        <v>46161.0</v>
      </c>
      <c r="O268" s="42" t="b">
        <v>1</v>
      </c>
      <c r="P268" s="44">
        <v>46163.0</v>
      </c>
      <c r="Q268" s="34"/>
      <c r="R268" s="34"/>
      <c r="S268" s="34"/>
      <c r="T268" s="34"/>
    </row>
    <row r="269" ht="15.75" customHeight="1">
      <c r="B269" s="33">
        <v>46160.0</v>
      </c>
      <c r="C269" s="46" t="s">
        <v>1773</v>
      </c>
      <c r="D269" s="35">
        <v>100.0</v>
      </c>
      <c r="E269" s="37">
        <v>243.0</v>
      </c>
      <c r="F269" s="38">
        <f t="shared" si="1"/>
        <v>24300</v>
      </c>
      <c r="G269" s="35" t="s">
        <v>601</v>
      </c>
      <c r="H269" s="35" t="s">
        <v>602</v>
      </c>
      <c r="I269" s="35" t="s">
        <v>41</v>
      </c>
      <c r="J269" s="35" t="s">
        <v>34</v>
      </c>
      <c r="K269" s="35" t="s">
        <v>35</v>
      </c>
      <c r="L269" s="35" t="s">
        <v>87</v>
      </c>
      <c r="M269" s="39">
        <v>31.0</v>
      </c>
      <c r="N269" s="40">
        <v>46161.0</v>
      </c>
      <c r="O269" s="42" t="b">
        <v>1</v>
      </c>
      <c r="P269" s="44">
        <v>46163.0</v>
      </c>
      <c r="Q269" s="34"/>
      <c r="R269" s="34"/>
      <c r="S269" s="34"/>
      <c r="T269" s="34"/>
    </row>
    <row r="270" ht="15.75" customHeight="1">
      <c r="B270" s="33">
        <v>46160.0</v>
      </c>
      <c r="C270" s="35" t="s">
        <v>35</v>
      </c>
      <c r="D270" s="35">
        <v>15.0</v>
      </c>
      <c r="E270" s="37">
        <v>550.0</v>
      </c>
      <c r="F270" s="38">
        <f t="shared" si="1"/>
        <v>8250</v>
      </c>
      <c r="G270" s="35" t="s">
        <v>312</v>
      </c>
      <c r="H270" s="35" t="s">
        <v>312</v>
      </c>
      <c r="I270" s="35" t="s">
        <v>1784</v>
      </c>
      <c r="J270" s="35" t="s">
        <v>40</v>
      </c>
      <c r="K270" s="35" t="s">
        <v>35</v>
      </c>
      <c r="L270" s="35" t="s">
        <v>1785</v>
      </c>
      <c r="M270" s="39">
        <v>31.0</v>
      </c>
      <c r="N270" s="40">
        <v>46154.0</v>
      </c>
      <c r="O270" s="42" t="b">
        <v>1</v>
      </c>
      <c r="P270" s="45"/>
      <c r="Q270" s="34"/>
      <c r="R270" s="34"/>
      <c r="S270" s="34"/>
      <c r="T270" s="34"/>
    </row>
    <row r="271" ht="15.75" customHeight="1">
      <c r="B271" s="33">
        <v>46160.0</v>
      </c>
      <c r="C271" s="46" t="s">
        <v>1789</v>
      </c>
      <c r="D271" s="35">
        <v>150.0</v>
      </c>
      <c r="E271" s="37">
        <v>15.3</v>
      </c>
      <c r="F271" s="38">
        <f t="shared" si="1"/>
        <v>2295</v>
      </c>
      <c r="G271" s="35" t="s">
        <v>1790</v>
      </c>
      <c r="H271" s="35" t="s">
        <v>147</v>
      </c>
      <c r="I271" s="35" t="s">
        <v>41</v>
      </c>
      <c r="J271" s="35" t="s">
        <v>40</v>
      </c>
      <c r="K271" s="35" t="s">
        <v>35</v>
      </c>
      <c r="L271" s="35" t="s">
        <v>87</v>
      </c>
      <c r="M271" s="39">
        <v>31.0</v>
      </c>
      <c r="N271" s="40">
        <v>46163.0</v>
      </c>
      <c r="O271" s="42" t="b">
        <v>1</v>
      </c>
      <c r="P271" s="44">
        <v>46163.0</v>
      </c>
      <c r="Q271" s="34"/>
      <c r="R271" s="34"/>
      <c r="S271" s="34"/>
      <c r="T271" s="34"/>
    </row>
    <row r="272" ht="15.75" customHeight="1">
      <c r="B272" s="33">
        <v>46160.0</v>
      </c>
      <c r="C272" s="46" t="s">
        <v>1789</v>
      </c>
      <c r="D272" s="35">
        <v>50.0</v>
      </c>
      <c r="E272" s="37">
        <v>15.3</v>
      </c>
      <c r="F272" s="38">
        <f t="shared" si="1"/>
        <v>765</v>
      </c>
      <c r="G272" s="35" t="s">
        <v>1790</v>
      </c>
      <c r="H272" s="35" t="s">
        <v>147</v>
      </c>
      <c r="I272" s="35" t="s">
        <v>41</v>
      </c>
      <c r="J272" s="35" t="s">
        <v>34</v>
      </c>
      <c r="K272" s="35" t="s">
        <v>35</v>
      </c>
      <c r="L272" s="35" t="s">
        <v>87</v>
      </c>
      <c r="M272" s="39">
        <v>31.0</v>
      </c>
      <c r="N272" s="40">
        <v>46163.0</v>
      </c>
      <c r="O272" s="42" t="b">
        <v>1</v>
      </c>
      <c r="P272" s="44">
        <v>46163.0</v>
      </c>
      <c r="Q272" s="34"/>
      <c r="R272" s="34"/>
      <c r="S272" s="34"/>
      <c r="T272" s="34"/>
    </row>
    <row r="273" ht="15.75" customHeight="1">
      <c r="B273" s="33">
        <v>46160.0</v>
      </c>
      <c r="C273" s="35">
        <v>918273.0</v>
      </c>
      <c r="D273" s="35">
        <v>8.0</v>
      </c>
      <c r="E273" s="37">
        <v>785.85</v>
      </c>
      <c r="F273" s="38">
        <f t="shared" si="1"/>
        <v>6286.8</v>
      </c>
      <c r="G273" s="35" t="s">
        <v>1800</v>
      </c>
      <c r="H273" s="35">
        <v>52064.0</v>
      </c>
      <c r="I273" s="35" t="s">
        <v>673</v>
      </c>
      <c r="J273" s="35" t="s">
        <v>175</v>
      </c>
      <c r="K273" s="35" t="s">
        <v>35</v>
      </c>
      <c r="L273" s="35" t="s">
        <v>74</v>
      </c>
      <c r="M273" s="39">
        <v>31.0</v>
      </c>
      <c r="N273" s="40">
        <v>46162.0</v>
      </c>
      <c r="O273" s="42" t="b">
        <v>1</v>
      </c>
      <c r="P273" s="44">
        <v>46163.0</v>
      </c>
      <c r="Q273" s="34"/>
      <c r="R273" s="34"/>
      <c r="S273" s="34"/>
      <c r="T273" s="34"/>
    </row>
    <row r="274" ht="15.75" customHeight="1">
      <c r="B274" s="33">
        <v>46160.0</v>
      </c>
      <c r="C274" s="35" t="s">
        <v>35</v>
      </c>
      <c r="D274" s="35">
        <v>50.0</v>
      </c>
      <c r="E274" s="37">
        <v>60.995</v>
      </c>
      <c r="F274" s="38">
        <f t="shared" si="1"/>
        <v>3049.75</v>
      </c>
      <c r="G274" s="35" t="s">
        <v>1808</v>
      </c>
      <c r="H274" s="35" t="s">
        <v>1809</v>
      </c>
      <c r="I274" s="35" t="s">
        <v>59</v>
      </c>
      <c r="J274" s="35" t="s">
        <v>34</v>
      </c>
      <c r="K274" s="35" t="s">
        <v>35</v>
      </c>
      <c r="L274" s="35" t="s">
        <v>365</v>
      </c>
      <c r="M274" s="39">
        <v>31.0</v>
      </c>
      <c r="N274" s="40">
        <v>46169.0</v>
      </c>
      <c r="O274" s="42" t="b">
        <v>1</v>
      </c>
      <c r="P274" s="44">
        <v>46169.0</v>
      </c>
      <c r="Q274" s="34"/>
      <c r="R274" s="34"/>
      <c r="S274" s="34"/>
      <c r="T274" s="34"/>
    </row>
    <row r="275" ht="15.75" customHeight="1">
      <c r="B275" s="33">
        <v>46160.0</v>
      </c>
      <c r="C275" s="35">
        <v>16491.0</v>
      </c>
      <c r="D275" s="35">
        <v>2.0</v>
      </c>
      <c r="E275" s="37">
        <v>279.9</v>
      </c>
      <c r="F275" s="38">
        <f t="shared" si="1"/>
        <v>559.8</v>
      </c>
      <c r="G275" s="35" t="s">
        <v>1815</v>
      </c>
      <c r="H275" s="35" t="s">
        <v>1816</v>
      </c>
      <c r="I275" s="35" t="s">
        <v>32</v>
      </c>
      <c r="J275" s="35" t="s">
        <v>34</v>
      </c>
      <c r="K275" s="35" t="s">
        <v>35</v>
      </c>
      <c r="L275" s="35" t="s">
        <v>96</v>
      </c>
      <c r="M275" s="39">
        <v>31.0</v>
      </c>
      <c r="N275" s="40">
        <v>46162.0</v>
      </c>
      <c r="O275" s="42" t="b">
        <v>1</v>
      </c>
      <c r="P275" s="44">
        <v>46168.0</v>
      </c>
      <c r="Q275" s="34"/>
      <c r="R275" s="34"/>
      <c r="S275" s="34"/>
      <c r="T275" s="34"/>
    </row>
    <row r="276" ht="15.75" customHeight="1">
      <c r="B276" s="33">
        <v>46160.0</v>
      </c>
      <c r="C276" s="35">
        <v>16491.0</v>
      </c>
      <c r="D276" s="35">
        <v>10.0</v>
      </c>
      <c r="E276" s="37">
        <v>119.9</v>
      </c>
      <c r="F276" s="38">
        <f t="shared" si="1"/>
        <v>1199</v>
      </c>
      <c r="G276" s="35" t="s">
        <v>543</v>
      </c>
      <c r="H276" s="35" t="s">
        <v>1820</v>
      </c>
      <c r="I276" s="35" t="s">
        <v>32</v>
      </c>
      <c r="J276" s="35" t="s">
        <v>34</v>
      </c>
      <c r="K276" s="35" t="s">
        <v>35</v>
      </c>
      <c r="L276" s="35" t="s">
        <v>96</v>
      </c>
      <c r="M276" s="39">
        <v>31.0</v>
      </c>
      <c r="N276" s="40">
        <v>46162.0</v>
      </c>
      <c r="O276" s="42" t="b">
        <v>1</v>
      </c>
      <c r="P276" s="44">
        <v>46168.0</v>
      </c>
      <c r="Q276" s="34"/>
      <c r="R276" s="34"/>
      <c r="S276" s="34"/>
      <c r="T276" s="34"/>
    </row>
    <row r="277" ht="15.75" customHeight="1">
      <c r="B277" s="33">
        <v>46160.0</v>
      </c>
      <c r="C277" s="46" t="s">
        <v>1824</v>
      </c>
      <c r="D277" s="35">
        <v>500.0</v>
      </c>
      <c r="E277" s="37">
        <v>23.0</v>
      </c>
      <c r="F277" s="38">
        <f t="shared" si="1"/>
        <v>11500</v>
      </c>
      <c r="G277" s="35" t="s">
        <v>1825</v>
      </c>
      <c r="H277" s="35" t="s">
        <v>35</v>
      </c>
      <c r="I277" s="35" t="s">
        <v>32</v>
      </c>
      <c r="J277" s="35" t="s">
        <v>34</v>
      </c>
      <c r="K277" s="35" t="s">
        <v>35</v>
      </c>
      <c r="L277" s="35" t="s">
        <v>1760</v>
      </c>
      <c r="M277" s="39">
        <v>1.0</v>
      </c>
      <c r="N277" s="66">
        <v>46164.0</v>
      </c>
      <c r="O277" s="42" t="b">
        <v>1</v>
      </c>
      <c r="P277" s="45"/>
      <c r="Q277" s="34"/>
      <c r="R277" s="34"/>
      <c r="S277" s="34"/>
      <c r="T277" s="34"/>
    </row>
    <row r="278" ht="15.75" customHeight="1">
      <c r="B278" s="33">
        <v>46160.0</v>
      </c>
      <c r="C278" s="46" t="s">
        <v>1824</v>
      </c>
      <c r="D278" s="35">
        <v>300.0</v>
      </c>
      <c r="E278" s="37">
        <v>28.0</v>
      </c>
      <c r="F278" s="38">
        <f t="shared" si="1"/>
        <v>8400</v>
      </c>
      <c r="G278" s="35" t="s">
        <v>1829</v>
      </c>
      <c r="H278" s="35" t="s">
        <v>35</v>
      </c>
      <c r="I278" s="35" t="s">
        <v>32</v>
      </c>
      <c r="J278" s="35" t="s">
        <v>34</v>
      </c>
      <c r="K278" s="35" t="s">
        <v>35</v>
      </c>
      <c r="L278" s="35" t="s">
        <v>1760</v>
      </c>
      <c r="M278" s="39">
        <v>1.0</v>
      </c>
      <c r="N278" s="66">
        <v>46164.0</v>
      </c>
      <c r="O278" s="42" t="b">
        <v>1</v>
      </c>
      <c r="P278" s="45"/>
      <c r="Q278" s="34"/>
      <c r="R278" s="34"/>
      <c r="S278" s="34"/>
      <c r="T278" s="34"/>
    </row>
    <row r="279" ht="15.75" customHeight="1">
      <c r="B279" s="33">
        <v>46160.0</v>
      </c>
      <c r="C279" s="35" t="s">
        <v>35</v>
      </c>
      <c r="D279" s="35">
        <v>20.0</v>
      </c>
      <c r="E279" s="37">
        <v>538.54</v>
      </c>
      <c r="F279" s="38">
        <f t="shared" si="1"/>
        <v>10770.8</v>
      </c>
      <c r="G279" s="35" t="s">
        <v>1832</v>
      </c>
      <c r="H279" s="35" t="s">
        <v>35</v>
      </c>
      <c r="I279" s="35" t="s">
        <v>673</v>
      </c>
      <c r="J279" s="35" t="s">
        <v>175</v>
      </c>
      <c r="K279" s="35" t="s">
        <v>35</v>
      </c>
      <c r="L279" s="35" t="s">
        <v>711</v>
      </c>
      <c r="M279" s="39">
        <v>31.0</v>
      </c>
      <c r="N279" s="41">
        <v>46174.0</v>
      </c>
      <c r="O279" s="42" t="b">
        <v>1</v>
      </c>
      <c r="P279" s="44">
        <v>46175.0</v>
      </c>
      <c r="Q279" s="34"/>
      <c r="R279" s="34"/>
      <c r="S279" s="34"/>
      <c r="T279" s="34"/>
    </row>
    <row r="280" ht="15.75" customHeight="1">
      <c r="B280" s="33">
        <v>46160.0</v>
      </c>
      <c r="C280" s="35" t="s">
        <v>35</v>
      </c>
      <c r="D280" s="35">
        <v>40.0</v>
      </c>
      <c r="E280" s="37">
        <v>396.5</v>
      </c>
      <c r="F280" s="38">
        <f t="shared" si="1"/>
        <v>15860</v>
      </c>
      <c r="G280" s="35" t="s">
        <v>1836</v>
      </c>
      <c r="H280" s="35" t="s">
        <v>35</v>
      </c>
      <c r="I280" s="35" t="s">
        <v>673</v>
      </c>
      <c r="J280" s="35" t="s">
        <v>175</v>
      </c>
      <c r="K280" s="35" t="s">
        <v>35</v>
      </c>
      <c r="L280" s="35" t="s">
        <v>711</v>
      </c>
      <c r="M280" s="39">
        <v>31.0</v>
      </c>
      <c r="N280" s="41">
        <v>46174.0</v>
      </c>
      <c r="O280" s="42" t="b">
        <v>1</v>
      </c>
      <c r="P280" s="44">
        <v>46175.0</v>
      </c>
      <c r="Q280" s="34"/>
      <c r="R280" s="34"/>
      <c r="S280" s="34"/>
      <c r="T280" s="34"/>
    </row>
    <row r="281" ht="15.75" customHeight="1">
      <c r="B281" s="33">
        <v>46160.0</v>
      </c>
      <c r="C281" s="35" t="s">
        <v>35</v>
      </c>
      <c r="D281" s="35">
        <v>40.0</v>
      </c>
      <c r="E281" s="37">
        <v>25.0</v>
      </c>
      <c r="F281" s="38">
        <f t="shared" si="1"/>
        <v>1000</v>
      </c>
      <c r="G281" s="35" t="s">
        <v>1838</v>
      </c>
      <c r="H281" s="35" t="s">
        <v>35</v>
      </c>
      <c r="I281" s="35" t="s">
        <v>673</v>
      </c>
      <c r="J281" s="35" t="s">
        <v>175</v>
      </c>
      <c r="K281" s="35" t="s">
        <v>35</v>
      </c>
      <c r="L281" s="35" t="s">
        <v>1839</v>
      </c>
      <c r="M281" s="39">
        <v>31.0</v>
      </c>
      <c r="N281" s="41">
        <v>46162.0</v>
      </c>
      <c r="O281" s="42" t="b">
        <v>1</v>
      </c>
      <c r="P281" s="44">
        <v>46168.0</v>
      </c>
      <c r="Q281" s="34"/>
      <c r="R281" s="34"/>
      <c r="S281" s="34"/>
      <c r="T281" s="34"/>
    </row>
    <row r="282" ht="15.75" customHeight="1">
      <c r="B282" s="33">
        <v>46160.0</v>
      </c>
      <c r="C282" s="35">
        <v>16577.0</v>
      </c>
      <c r="D282" s="35">
        <v>60.0</v>
      </c>
      <c r="E282" s="37">
        <v>12.99</v>
      </c>
      <c r="F282" s="38">
        <f t="shared" si="1"/>
        <v>779.4</v>
      </c>
      <c r="G282" s="35" t="s">
        <v>1840</v>
      </c>
      <c r="H282" s="35" t="s">
        <v>1358</v>
      </c>
      <c r="I282" s="35" t="s">
        <v>240</v>
      </c>
      <c r="J282" s="35" t="s">
        <v>1036</v>
      </c>
      <c r="K282" s="35" t="s">
        <v>1037</v>
      </c>
      <c r="L282" s="35" t="s">
        <v>96</v>
      </c>
      <c r="M282" s="39">
        <v>31.0</v>
      </c>
      <c r="N282" s="40">
        <v>46162.0</v>
      </c>
      <c r="O282" s="42" t="b">
        <v>1</v>
      </c>
      <c r="P282" s="44">
        <v>46167.0</v>
      </c>
      <c r="Q282" s="34"/>
      <c r="R282" s="34"/>
      <c r="S282" s="34"/>
      <c r="T282" s="34"/>
    </row>
    <row r="283" ht="15.75" customHeight="1">
      <c r="B283" s="33">
        <v>46160.0</v>
      </c>
      <c r="C283" s="35">
        <v>16577.0</v>
      </c>
      <c r="D283" s="35">
        <v>60.0</v>
      </c>
      <c r="E283" s="37">
        <v>15.9</v>
      </c>
      <c r="F283" s="38">
        <f t="shared" si="1"/>
        <v>954</v>
      </c>
      <c r="G283" s="35" t="s">
        <v>1844</v>
      </c>
      <c r="H283" s="35" t="s">
        <v>1845</v>
      </c>
      <c r="I283" s="35" t="s">
        <v>240</v>
      </c>
      <c r="J283" s="35" t="s">
        <v>1036</v>
      </c>
      <c r="K283" s="35" t="s">
        <v>1037</v>
      </c>
      <c r="L283" s="35" t="s">
        <v>96</v>
      </c>
      <c r="M283" s="39">
        <v>31.0</v>
      </c>
      <c r="N283" s="40">
        <v>46162.0</v>
      </c>
      <c r="O283" s="42" t="b">
        <v>1</v>
      </c>
      <c r="P283" s="44">
        <v>46167.0</v>
      </c>
      <c r="Q283" s="34"/>
      <c r="R283" s="34"/>
      <c r="S283" s="34"/>
      <c r="T283" s="34"/>
    </row>
    <row r="284" ht="15.75" customHeight="1">
      <c r="B284" s="33">
        <v>46160.0</v>
      </c>
      <c r="C284" s="35">
        <v>16577.0</v>
      </c>
      <c r="D284" s="35">
        <v>60.0</v>
      </c>
      <c r="E284" s="37">
        <v>18.99</v>
      </c>
      <c r="F284" s="38">
        <f t="shared" si="1"/>
        <v>1139.4</v>
      </c>
      <c r="G284" s="35" t="s">
        <v>1851</v>
      </c>
      <c r="H284" s="35" t="s">
        <v>1852</v>
      </c>
      <c r="I284" s="35" t="s">
        <v>240</v>
      </c>
      <c r="J284" s="35" t="s">
        <v>1036</v>
      </c>
      <c r="K284" s="35" t="s">
        <v>1037</v>
      </c>
      <c r="L284" s="35" t="s">
        <v>96</v>
      </c>
      <c r="M284" s="39">
        <v>31.0</v>
      </c>
      <c r="N284" s="40">
        <v>46162.0</v>
      </c>
      <c r="O284" s="42" t="b">
        <v>1</v>
      </c>
      <c r="P284" s="44">
        <v>46167.0</v>
      </c>
      <c r="Q284" s="34"/>
      <c r="R284" s="34"/>
      <c r="S284" s="34"/>
      <c r="T284" s="34"/>
    </row>
    <row r="285" ht="15.75" customHeight="1">
      <c r="B285" s="33">
        <v>46160.0</v>
      </c>
      <c r="C285" s="35">
        <v>16577.0</v>
      </c>
      <c r="D285" s="35">
        <v>400.0</v>
      </c>
      <c r="E285" s="37">
        <v>6.99</v>
      </c>
      <c r="F285" s="38">
        <f t="shared" si="1"/>
        <v>2796</v>
      </c>
      <c r="G285" s="35" t="s">
        <v>1855</v>
      </c>
      <c r="H285" s="35" t="s">
        <v>1856</v>
      </c>
      <c r="I285" s="35" t="s">
        <v>240</v>
      </c>
      <c r="J285" s="35" t="s">
        <v>1036</v>
      </c>
      <c r="K285" s="35" t="s">
        <v>1037</v>
      </c>
      <c r="L285" s="35" t="s">
        <v>96</v>
      </c>
      <c r="M285" s="39">
        <v>31.0</v>
      </c>
      <c r="N285" s="40">
        <v>46162.0</v>
      </c>
      <c r="O285" s="42" t="b">
        <v>1</v>
      </c>
      <c r="P285" s="44">
        <v>46167.0</v>
      </c>
      <c r="Q285" s="34"/>
      <c r="R285" s="34"/>
      <c r="S285" s="34"/>
      <c r="T285" s="34"/>
    </row>
    <row r="286" ht="15.75" customHeight="1">
      <c r="B286" s="33">
        <v>46160.0</v>
      </c>
      <c r="C286" s="35">
        <v>16577.0</v>
      </c>
      <c r="D286" s="35">
        <v>480.0</v>
      </c>
      <c r="E286" s="37">
        <v>2.5</v>
      </c>
      <c r="F286" s="38">
        <f t="shared" si="1"/>
        <v>1200</v>
      </c>
      <c r="G286" s="35" t="s">
        <v>1860</v>
      </c>
      <c r="H286" s="35" t="s">
        <v>1861</v>
      </c>
      <c r="I286" s="35" t="s">
        <v>240</v>
      </c>
      <c r="J286" s="35" t="s">
        <v>1036</v>
      </c>
      <c r="K286" s="35" t="s">
        <v>1037</v>
      </c>
      <c r="L286" s="35" t="s">
        <v>96</v>
      </c>
      <c r="M286" s="39">
        <v>31.0</v>
      </c>
      <c r="N286" s="40">
        <v>46162.0</v>
      </c>
      <c r="O286" s="42" t="b">
        <v>1</v>
      </c>
      <c r="P286" s="44">
        <v>46167.0</v>
      </c>
      <c r="Q286" s="34"/>
      <c r="R286" s="34"/>
      <c r="S286" s="34"/>
      <c r="T286" s="34"/>
    </row>
    <row r="287" ht="15.75" customHeight="1">
      <c r="B287" s="33">
        <v>46160.0</v>
      </c>
      <c r="C287" s="35">
        <v>16577.0</v>
      </c>
      <c r="D287" s="35">
        <v>200.0</v>
      </c>
      <c r="E287" s="37">
        <v>5.9</v>
      </c>
      <c r="F287" s="38">
        <f t="shared" si="1"/>
        <v>1180</v>
      </c>
      <c r="G287" s="35" t="s">
        <v>1863</v>
      </c>
      <c r="H287" s="35" t="s">
        <v>1864</v>
      </c>
      <c r="I287" s="35" t="s">
        <v>240</v>
      </c>
      <c r="J287" s="35" t="s">
        <v>1036</v>
      </c>
      <c r="K287" s="35" t="s">
        <v>1037</v>
      </c>
      <c r="L287" s="35" t="s">
        <v>96</v>
      </c>
      <c r="M287" s="39">
        <v>31.0</v>
      </c>
      <c r="N287" s="40">
        <v>46162.0</v>
      </c>
      <c r="O287" s="42" t="b">
        <v>1</v>
      </c>
      <c r="P287" s="44">
        <v>46167.0</v>
      </c>
      <c r="Q287" s="34"/>
      <c r="R287" s="34"/>
      <c r="S287" s="34"/>
      <c r="T287" s="34"/>
    </row>
    <row r="288" ht="15.75" customHeight="1">
      <c r="B288" s="33">
        <v>46160.0</v>
      </c>
      <c r="C288" s="35">
        <v>16577.0</v>
      </c>
      <c r="D288" s="35">
        <v>100.0</v>
      </c>
      <c r="E288" s="37">
        <v>12.8</v>
      </c>
      <c r="F288" s="38">
        <f t="shared" si="1"/>
        <v>1280</v>
      </c>
      <c r="G288" s="35" t="s">
        <v>1867</v>
      </c>
      <c r="H288" s="35" t="s">
        <v>1868</v>
      </c>
      <c r="I288" s="35" t="s">
        <v>240</v>
      </c>
      <c r="J288" s="35" t="s">
        <v>1036</v>
      </c>
      <c r="K288" s="35" t="s">
        <v>1037</v>
      </c>
      <c r="L288" s="35" t="s">
        <v>96</v>
      </c>
      <c r="M288" s="39">
        <v>31.0</v>
      </c>
      <c r="N288" s="40">
        <v>46162.0</v>
      </c>
      <c r="O288" s="42" t="b">
        <v>1</v>
      </c>
      <c r="P288" s="44">
        <v>46167.0</v>
      </c>
      <c r="Q288" s="34"/>
      <c r="R288" s="34"/>
      <c r="S288" s="34"/>
      <c r="T288" s="34"/>
    </row>
    <row r="289" ht="15.75" customHeight="1">
      <c r="B289" s="33">
        <v>46160.0</v>
      </c>
      <c r="C289" s="35">
        <v>16577.0</v>
      </c>
      <c r="D289" s="35">
        <v>10.0</v>
      </c>
      <c r="E289" s="37">
        <v>79.9</v>
      </c>
      <c r="F289" s="38">
        <f t="shared" si="1"/>
        <v>799</v>
      </c>
      <c r="G289" s="35" t="s">
        <v>1366</v>
      </c>
      <c r="H289" s="35" t="s">
        <v>1368</v>
      </c>
      <c r="I289" s="35" t="s">
        <v>240</v>
      </c>
      <c r="J289" s="35" t="s">
        <v>1036</v>
      </c>
      <c r="K289" s="35" t="s">
        <v>1037</v>
      </c>
      <c r="L289" s="35" t="s">
        <v>96</v>
      </c>
      <c r="M289" s="39">
        <v>31.0</v>
      </c>
      <c r="N289" s="40">
        <v>46162.0</v>
      </c>
      <c r="O289" s="42" t="b">
        <v>1</v>
      </c>
      <c r="P289" s="44">
        <v>46167.0</v>
      </c>
      <c r="Q289" s="34"/>
      <c r="R289" s="34"/>
      <c r="S289" s="34"/>
      <c r="T289" s="34"/>
    </row>
    <row r="290" ht="15.75" customHeight="1">
      <c r="B290" s="33">
        <v>46160.0</v>
      </c>
      <c r="C290" s="35">
        <v>16577.0</v>
      </c>
      <c r="D290" s="35">
        <v>240.0</v>
      </c>
      <c r="E290" s="37">
        <v>2.99</v>
      </c>
      <c r="F290" s="38">
        <f t="shared" si="1"/>
        <v>717.6</v>
      </c>
      <c r="G290" s="35" t="s">
        <v>1872</v>
      </c>
      <c r="H290" s="35" t="s">
        <v>1873</v>
      </c>
      <c r="I290" s="35" t="s">
        <v>240</v>
      </c>
      <c r="J290" s="35" t="s">
        <v>1036</v>
      </c>
      <c r="K290" s="35" t="s">
        <v>1037</v>
      </c>
      <c r="L290" s="35" t="s">
        <v>96</v>
      </c>
      <c r="M290" s="39">
        <v>31.0</v>
      </c>
      <c r="N290" s="40">
        <v>46162.0</v>
      </c>
      <c r="O290" s="42" t="b">
        <v>1</v>
      </c>
      <c r="P290" s="44">
        <v>46167.0</v>
      </c>
      <c r="Q290" s="34"/>
      <c r="R290" s="34"/>
      <c r="S290" s="34"/>
      <c r="T290" s="34"/>
    </row>
    <row r="291" ht="15.75" customHeight="1">
      <c r="B291" s="33">
        <v>46160.0</v>
      </c>
      <c r="C291" s="35">
        <v>16577.0</v>
      </c>
      <c r="D291" s="35">
        <v>50.0</v>
      </c>
      <c r="E291" s="37">
        <v>9.9</v>
      </c>
      <c r="F291" s="38">
        <f t="shared" si="1"/>
        <v>495</v>
      </c>
      <c r="G291" s="35" t="s">
        <v>1877</v>
      </c>
      <c r="H291" s="35" t="s">
        <v>1878</v>
      </c>
      <c r="I291" s="35" t="s">
        <v>240</v>
      </c>
      <c r="J291" s="35" t="s">
        <v>1036</v>
      </c>
      <c r="K291" s="35" t="s">
        <v>1037</v>
      </c>
      <c r="L291" s="35" t="s">
        <v>96</v>
      </c>
      <c r="M291" s="39">
        <v>31.0</v>
      </c>
      <c r="N291" s="40">
        <v>46162.0</v>
      </c>
      <c r="O291" s="42" t="b">
        <v>1</v>
      </c>
      <c r="P291" s="44">
        <v>46167.0</v>
      </c>
      <c r="Q291" s="34"/>
      <c r="R291" s="34"/>
      <c r="S291" s="34"/>
      <c r="T291" s="34"/>
    </row>
    <row r="292" ht="15.75" customHeight="1">
      <c r="B292" s="33">
        <v>46160.0</v>
      </c>
      <c r="C292" s="35">
        <v>16577.0</v>
      </c>
      <c r="D292" s="35">
        <v>100.0</v>
      </c>
      <c r="E292" s="37">
        <v>8.99</v>
      </c>
      <c r="F292" s="38">
        <f t="shared" si="1"/>
        <v>899</v>
      </c>
      <c r="G292" s="35" t="s">
        <v>1881</v>
      </c>
      <c r="H292" s="35" t="s">
        <v>1883</v>
      </c>
      <c r="I292" s="35" t="s">
        <v>240</v>
      </c>
      <c r="J292" s="35" t="s">
        <v>1036</v>
      </c>
      <c r="K292" s="35" t="s">
        <v>1037</v>
      </c>
      <c r="L292" s="35" t="s">
        <v>96</v>
      </c>
      <c r="M292" s="39">
        <v>31.0</v>
      </c>
      <c r="N292" s="40">
        <v>46162.0</v>
      </c>
      <c r="O292" s="42" t="b">
        <v>1</v>
      </c>
      <c r="P292" s="44">
        <v>46167.0</v>
      </c>
      <c r="Q292" s="34"/>
      <c r="R292" s="34"/>
      <c r="S292" s="34"/>
      <c r="T292" s="34"/>
    </row>
    <row r="293" ht="15.75" customHeight="1">
      <c r="B293" s="33">
        <v>46160.0</v>
      </c>
      <c r="C293" s="35">
        <v>16542.0</v>
      </c>
      <c r="D293" s="35">
        <v>200.0</v>
      </c>
      <c r="E293" s="37">
        <v>3.9</v>
      </c>
      <c r="F293" s="38">
        <f t="shared" si="1"/>
        <v>780</v>
      </c>
      <c r="G293" s="35" t="s">
        <v>1886</v>
      </c>
      <c r="H293" s="35" t="s">
        <v>1887</v>
      </c>
      <c r="I293" s="35" t="s">
        <v>240</v>
      </c>
      <c r="J293" s="35" t="s">
        <v>1036</v>
      </c>
      <c r="K293" s="35" t="s">
        <v>1037</v>
      </c>
      <c r="L293" s="35" t="s">
        <v>96</v>
      </c>
      <c r="M293" s="39">
        <v>31.0</v>
      </c>
      <c r="N293" s="40">
        <v>46162.0</v>
      </c>
      <c r="O293" s="42" t="b">
        <v>1</v>
      </c>
      <c r="P293" s="44">
        <v>46167.0</v>
      </c>
      <c r="Q293" s="34"/>
      <c r="R293" s="34"/>
      <c r="S293" s="34"/>
      <c r="T293" s="34"/>
    </row>
    <row r="294" ht="15.75" customHeight="1">
      <c r="B294" s="33">
        <v>46160.0</v>
      </c>
      <c r="C294" s="35">
        <v>16542.0</v>
      </c>
      <c r="D294" s="35">
        <v>144.0</v>
      </c>
      <c r="E294" s="37">
        <v>7.99</v>
      </c>
      <c r="F294" s="38">
        <f t="shared" si="1"/>
        <v>1150.56</v>
      </c>
      <c r="G294" s="35" t="s">
        <v>1889</v>
      </c>
      <c r="H294" s="35" t="s">
        <v>1890</v>
      </c>
      <c r="I294" s="35" t="s">
        <v>240</v>
      </c>
      <c r="J294" s="35" t="s">
        <v>1036</v>
      </c>
      <c r="K294" s="35" t="s">
        <v>1037</v>
      </c>
      <c r="L294" s="35" t="s">
        <v>96</v>
      </c>
      <c r="M294" s="39">
        <v>31.0</v>
      </c>
      <c r="N294" s="40">
        <v>46162.0</v>
      </c>
      <c r="O294" s="42" t="b">
        <v>1</v>
      </c>
      <c r="P294" s="44">
        <v>46167.0</v>
      </c>
      <c r="Q294" s="34"/>
      <c r="R294" s="34"/>
      <c r="S294" s="34"/>
      <c r="T294" s="34"/>
    </row>
    <row r="295" ht="15.75" customHeight="1">
      <c r="B295" s="33">
        <v>46160.0</v>
      </c>
      <c r="C295" s="35">
        <v>16542.0</v>
      </c>
      <c r="D295" s="35">
        <v>60.0</v>
      </c>
      <c r="E295" s="37">
        <v>11.8</v>
      </c>
      <c r="F295" s="38">
        <f t="shared" si="1"/>
        <v>708</v>
      </c>
      <c r="G295" s="35" t="s">
        <v>1896</v>
      </c>
      <c r="H295" s="35" t="s">
        <v>1897</v>
      </c>
      <c r="I295" s="35" t="s">
        <v>240</v>
      </c>
      <c r="J295" s="35" t="s">
        <v>1036</v>
      </c>
      <c r="K295" s="35" t="s">
        <v>1037</v>
      </c>
      <c r="L295" s="35" t="s">
        <v>96</v>
      </c>
      <c r="M295" s="39">
        <v>31.0</v>
      </c>
      <c r="N295" s="40">
        <v>46162.0</v>
      </c>
      <c r="O295" s="42" t="b">
        <v>1</v>
      </c>
      <c r="P295" s="44">
        <v>46167.0</v>
      </c>
      <c r="Q295" s="34"/>
      <c r="R295" s="34"/>
      <c r="S295" s="34"/>
      <c r="T295" s="34"/>
    </row>
    <row r="296" ht="15.75" customHeight="1">
      <c r="B296" s="33">
        <v>46160.0</v>
      </c>
      <c r="C296" s="35">
        <v>16542.0</v>
      </c>
      <c r="D296" s="35">
        <v>200.0</v>
      </c>
      <c r="E296" s="37">
        <v>8.9</v>
      </c>
      <c r="F296" s="38">
        <f t="shared" si="1"/>
        <v>1780</v>
      </c>
      <c r="G296" s="35" t="s">
        <v>1901</v>
      </c>
      <c r="H296" s="35" t="s">
        <v>1902</v>
      </c>
      <c r="I296" s="35" t="s">
        <v>240</v>
      </c>
      <c r="J296" s="35" t="s">
        <v>1036</v>
      </c>
      <c r="K296" s="35" t="s">
        <v>1037</v>
      </c>
      <c r="L296" s="35" t="s">
        <v>96</v>
      </c>
      <c r="M296" s="39">
        <v>31.0</v>
      </c>
      <c r="N296" s="40">
        <v>46162.0</v>
      </c>
      <c r="O296" s="42" t="b">
        <v>1</v>
      </c>
      <c r="P296" s="44">
        <v>46167.0</v>
      </c>
      <c r="Q296" s="34"/>
      <c r="R296" s="34"/>
      <c r="S296" s="34"/>
      <c r="T296" s="34"/>
    </row>
    <row r="297" ht="15.75" customHeight="1">
      <c r="B297" s="33">
        <v>46160.0</v>
      </c>
      <c r="C297" s="35">
        <v>16542.0</v>
      </c>
      <c r="D297" s="35">
        <v>200.0</v>
      </c>
      <c r="E297" s="37">
        <v>9.9</v>
      </c>
      <c r="F297" s="38">
        <f t="shared" si="1"/>
        <v>1980</v>
      </c>
      <c r="G297" s="35" t="s">
        <v>1906</v>
      </c>
      <c r="H297" s="35" t="s">
        <v>1907</v>
      </c>
      <c r="I297" s="35" t="s">
        <v>240</v>
      </c>
      <c r="J297" s="35" t="s">
        <v>1036</v>
      </c>
      <c r="K297" s="35" t="s">
        <v>1037</v>
      </c>
      <c r="L297" s="35" t="s">
        <v>96</v>
      </c>
      <c r="M297" s="39">
        <v>31.0</v>
      </c>
      <c r="N297" s="40">
        <v>46162.0</v>
      </c>
      <c r="O297" s="42" t="b">
        <v>1</v>
      </c>
      <c r="P297" s="44">
        <v>46167.0</v>
      </c>
      <c r="Q297" s="34"/>
      <c r="R297" s="34"/>
      <c r="S297" s="34"/>
      <c r="T297" s="34"/>
    </row>
    <row r="298" ht="15.75" customHeight="1">
      <c r="B298" s="33">
        <v>46160.0</v>
      </c>
      <c r="C298" s="35">
        <v>16542.0</v>
      </c>
      <c r="D298" s="35">
        <v>50.0</v>
      </c>
      <c r="E298" s="37">
        <v>17.99</v>
      </c>
      <c r="F298" s="38">
        <f t="shared" si="1"/>
        <v>899.5</v>
      </c>
      <c r="G298" s="35" t="s">
        <v>1910</v>
      </c>
      <c r="H298" s="35" t="s">
        <v>1911</v>
      </c>
      <c r="I298" s="35" t="s">
        <v>240</v>
      </c>
      <c r="J298" s="35" t="s">
        <v>1036</v>
      </c>
      <c r="K298" s="35" t="s">
        <v>1037</v>
      </c>
      <c r="L298" s="35" t="s">
        <v>96</v>
      </c>
      <c r="M298" s="39">
        <v>31.0</v>
      </c>
      <c r="N298" s="40">
        <v>46162.0</v>
      </c>
      <c r="O298" s="42" t="b">
        <v>1</v>
      </c>
      <c r="P298" s="44">
        <v>46167.0</v>
      </c>
      <c r="Q298" s="34"/>
      <c r="R298" s="34"/>
      <c r="S298" s="34"/>
      <c r="T298" s="34"/>
    </row>
    <row r="299" ht="15.75" customHeight="1">
      <c r="B299" s="33">
        <v>46160.0</v>
      </c>
      <c r="C299" s="35">
        <v>16542.0</v>
      </c>
      <c r="D299" s="35">
        <v>10.0</v>
      </c>
      <c r="E299" s="37">
        <v>99.9</v>
      </c>
      <c r="F299" s="38">
        <f t="shared" si="1"/>
        <v>999</v>
      </c>
      <c r="G299" s="35" t="s">
        <v>214</v>
      </c>
      <c r="H299" s="35" t="s">
        <v>1915</v>
      </c>
      <c r="I299" s="35" t="s">
        <v>240</v>
      </c>
      <c r="J299" s="35" t="s">
        <v>1036</v>
      </c>
      <c r="K299" s="35" t="s">
        <v>1037</v>
      </c>
      <c r="L299" s="35" t="s">
        <v>96</v>
      </c>
      <c r="M299" s="39">
        <v>31.0</v>
      </c>
      <c r="N299" s="40">
        <v>46162.0</v>
      </c>
      <c r="O299" s="42" t="b">
        <v>1</v>
      </c>
      <c r="P299" s="44">
        <v>46167.0</v>
      </c>
      <c r="Q299" s="34"/>
      <c r="R299" s="34"/>
      <c r="S299" s="34"/>
      <c r="T299" s="34"/>
    </row>
    <row r="300" ht="15.75" customHeight="1">
      <c r="B300" s="33">
        <v>46160.0</v>
      </c>
      <c r="C300" s="35">
        <v>16542.0</v>
      </c>
      <c r="D300" s="35">
        <v>40.0</v>
      </c>
      <c r="E300" s="37">
        <v>15.9</v>
      </c>
      <c r="F300" s="38">
        <f t="shared" si="1"/>
        <v>636</v>
      </c>
      <c r="G300" s="35" t="s">
        <v>1917</v>
      </c>
      <c r="H300" s="35" t="s">
        <v>1918</v>
      </c>
      <c r="I300" s="35" t="s">
        <v>240</v>
      </c>
      <c r="J300" s="35" t="s">
        <v>1036</v>
      </c>
      <c r="K300" s="35" t="s">
        <v>1037</v>
      </c>
      <c r="L300" s="35" t="s">
        <v>96</v>
      </c>
      <c r="M300" s="39">
        <v>31.0</v>
      </c>
      <c r="N300" s="40">
        <v>46162.0</v>
      </c>
      <c r="O300" s="42" t="b">
        <v>1</v>
      </c>
      <c r="P300" s="44">
        <v>46167.0</v>
      </c>
      <c r="Q300" s="34"/>
      <c r="R300" s="34"/>
      <c r="S300" s="34"/>
      <c r="T300" s="34"/>
    </row>
    <row r="301" ht="15.75" customHeight="1">
      <c r="B301" s="33">
        <v>46160.0</v>
      </c>
      <c r="C301" s="35">
        <v>16542.0</v>
      </c>
      <c r="D301" s="35">
        <v>40.0</v>
      </c>
      <c r="E301" s="37">
        <v>22.9</v>
      </c>
      <c r="F301" s="38">
        <f t="shared" si="1"/>
        <v>916</v>
      </c>
      <c r="G301" s="35" t="s">
        <v>1920</v>
      </c>
      <c r="H301" s="35" t="s">
        <v>1922</v>
      </c>
      <c r="I301" s="35" t="s">
        <v>240</v>
      </c>
      <c r="J301" s="35" t="s">
        <v>1036</v>
      </c>
      <c r="K301" s="35" t="s">
        <v>1037</v>
      </c>
      <c r="L301" s="35" t="s">
        <v>96</v>
      </c>
      <c r="M301" s="39">
        <v>31.0</v>
      </c>
      <c r="N301" s="40">
        <v>46162.0</v>
      </c>
      <c r="O301" s="42" t="b">
        <v>1</v>
      </c>
      <c r="P301" s="44">
        <v>46167.0</v>
      </c>
      <c r="Q301" s="34"/>
      <c r="R301" s="34"/>
      <c r="S301" s="34"/>
      <c r="T301" s="34"/>
    </row>
    <row r="302" ht="15.75" customHeight="1">
      <c r="B302" s="33">
        <v>46160.0</v>
      </c>
      <c r="C302" s="35">
        <v>16542.0</v>
      </c>
      <c r="D302" s="35">
        <v>40.0</v>
      </c>
      <c r="E302" s="37">
        <v>22.8</v>
      </c>
      <c r="F302" s="38">
        <f t="shared" si="1"/>
        <v>912</v>
      </c>
      <c r="G302" s="35" t="s">
        <v>1924</v>
      </c>
      <c r="H302" s="35" t="s">
        <v>1925</v>
      </c>
      <c r="I302" s="35" t="s">
        <v>240</v>
      </c>
      <c r="J302" s="35" t="s">
        <v>1036</v>
      </c>
      <c r="K302" s="35" t="s">
        <v>1037</v>
      </c>
      <c r="L302" s="35" t="s">
        <v>96</v>
      </c>
      <c r="M302" s="39">
        <v>31.0</v>
      </c>
      <c r="N302" s="40">
        <v>46162.0</v>
      </c>
      <c r="O302" s="42" t="b">
        <v>1</v>
      </c>
      <c r="P302" s="44">
        <v>46167.0</v>
      </c>
      <c r="Q302" s="34"/>
      <c r="R302" s="34"/>
      <c r="S302" s="34"/>
      <c r="T302" s="34"/>
    </row>
    <row r="303" ht="15.75" customHeight="1">
      <c r="B303" s="33">
        <v>46160.0</v>
      </c>
      <c r="C303" s="35">
        <v>16542.0</v>
      </c>
      <c r="D303" s="35">
        <v>60.0</v>
      </c>
      <c r="E303" s="37">
        <v>9.99</v>
      </c>
      <c r="F303" s="38">
        <f t="shared" si="1"/>
        <v>599.4</v>
      </c>
      <c r="G303" s="35" t="s">
        <v>1928</v>
      </c>
      <c r="H303" s="35" t="s">
        <v>1929</v>
      </c>
      <c r="I303" s="35" t="s">
        <v>240</v>
      </c>
      <c r="J303" s="35" t="s">
        <v>1036</v>
      </c>
      <c r="K303" s="35" t="s">
        <v>1037</v>
      </c>
      <c r="L303" s="35" t="s">
        <v>96</v>
      </c>
      <c r="M303" s="39">
        <v>31.0</v>
      </c>
      <c r="N303" s="40">
        <v>46162.0</v>
      </c>
      <c r="O303" s="42" t="b">
        <v>1</v>
      </c>
      <c r="P303" s="44">
        <v>46167.0</v>
      </c>
      <c r="Q303" s="34"/>
      <c r="R303" s="34"/>
      <c r="S303" s="34"/>
      <c r="T303" s="34"/>
    </row>
    <row r="304" ht="15.75" customHeight="1">
      <c r="B304" s="33">
        <v>46160.0</v>
      </c>
      <c r="C304" s="35">
        <v>16542.0</v>
      </c>
      <c r="D304" s="35">
        <v>60.0</v>
      </c>
      <c r="E304" s="37">
        <v>11.9</v>
      </c>
      <c r="F304" s="38">
        <f t="shared" si="1"/>
        <v>714</v>
      </c>
      <c r="G304" s="35" t="s">
        <v>1931</v>
      </c>
      <c r="H304" s="35" t="s">
        <v>1932</v>
      </c>
      <c r="I304" s="35" t="s">
        <v>240</v>
      </c>
      <c r="J304" s="35" t="s">
        <v>1036</v>
      </c>
      <c r="K304" s="35" t="s">
        <v>1037</v>
      </c>
      <c r="L304" s="35" t="s">
        <v>96</v>
      </c>
      <c r="M304" s="39">
        <v>31.0</v>
      </c>
      <c r="N304" s="40">
        <v>46162.0</v>
      </c>
      <c r="O304" s="42" t="b">
        <v>1</v>
      </c>
      <c r="P304" s="44">
        <v>46167.0</v>
      </c>
      <c r="Q304" s="34"/>
      <c r="R304" s="34"/>
      <c r="S304" s="34"/>
      <c r="T304" s="34"/>
    </row>
    <row r="305" ht="15.75" customHeight="1">
      <c r="B305" s="33">
        <v>46160.0</v>
      </c>
      <c r="C305" s="35">
        <v>16542.0</v>
      </c>
      <c r="D305" s="35">
        <v>20.0</v>
      </c>
      <c r="E305" s="37">
        <v>23.8</v>
      </c>
      <c r="F305" s="38">
        <f t="shared" si="1"/>
        <v>476</v>
      </c>
      <c r="G305" s="35" t="s">
        <v>1937</v>
      </c>
      <c r="H305" s="35" t="s">
        <v>1938</v>
      </c>
      <c r="I305" s="35" t="s">
        <v>240</v>
      </c>
      <c r="J305" s="35" t="s">
        <v>1036</v>
      </c>
      <c r="K305" s="35" t="s">
        <v>1037</v>
      </c>
      <c r="L305" s="35" t="s">
        <v>96</v>
      </c>
      <c r="M305" s="39">
        <v>31.0</v>
      </c>
      <c r="N305" s="40">
        <v>46162.0</v>
      </c>
      <c r="O305" s="42" t="b">
        <v>1</v>
      </c>
      <c r="P305" s="44">
        <v>46167.0</v>
      </c>
      <c r="Q305" s="34"/>
      <c r="R305" s="34"/>
      <c r="S305" s="34"/>
      <c r="T305" s="34"/>
    </row>
    <row r="306" ht="15.75" customHeight="1">
      <c r="B306" s="33">
        <v>46160.0</v>
      </c>
      <c r="C306" s="35">
        <v>16542.0</v>
      </c>
      <c r="D306" s="35">
        <v>20.0</v>
      </c>
      <c r="E306" s="37">
        <v>21.8</v>
      </c>
      <c r="F306" s="38">
        <f t="shared" si="1"/>
        <v>436</v>
      </c>
      <c r="G306" s="35" t="s">
        <v>1941</v>
      </c>
      <c r="H306" s="35" t="s">
        <v>1943</v>
      </c>
      <c r="I306" s="35" t="s">
        <v>240</v>
      </c>
      <c r="J306" s="35" t="s">
        <v>1036</v>
      </c>
      <c r="K306" s="35" t="s">
        <v>1037</v>
      </c>
      <c r="L306" s="35" t="s">
        <v>96</v>
      </c>
      <c r="M306" s="39">
        <v>31.0</v>
      </c>
      <c r="N306" s="40">
        <v>46162.0</v>
      </c>
      <c r="O306" s="42" t="b">
        <v>1</v>
      </c>
      <c r="P306" s="44">
        <v>46167.0</v>
      </c>
      <c r="Q306" s="34"/>
      <c r="R306" s="34"/>
      <c r="S306" s="34"/>
      <c r="T306" s="34"/>
    </row>
    <row r="307" ht="15.75" customHeight="1">
      <c r="B307" s="33">
        <v>46160.0</v>
      </c>
      <c r="C307" s="46" t="s">
        <v>1946</v>
      </c>
      <c r="D307" s="35">
        <v>3.0</v>
      </c>
      <c r="E307" s="37">
        <v>2329.2</v>
      </c>
      <c r="F307" s="38">
        <f t="shared" si="1"/>
        <v>6987.6</v>
      </c>
      <c r="G307" s="35" t="s">
        <v>1949</v>
      </c>
      <c r="H307" s="35" t="s">
        <v>1950</v>
      </c>
      <c r="I307" s="35" t="s">
        <v>32</v>
      </c>
      <c r="J307" s="35" t="s">
        <v>34</v>
      </c>
      <c r="K307" s="35" t="s">
        <v>35</v>
      </c>
      <c r="L307" s="35" t="s">
        <v>340</v>
      </c>
      <c r="M307" s="39">
        <v>31.0</v>
      </c>
      <c r="N307" s="40">
        <v>46162.0</v>
      </c>
      <c r="O307" s="42" t="b">
        <v>1</v>
      </c>
      <c r="P307" s="44">
        <v>46160.0</v>
      </c>
      <c r="Q307" s="34"/>
      <c r="R307" s="34"/>
      <c r="S307" s="34"/>
      <c r="T307" s="34"/>
    </row>
    <row r="308" ht="15.75" customHeight="1">
      <c r="B308" s="33">
        <v>46160.0</v>
      </c>
      <c r="C308" s="46" t="s">
        <v>1946</v>
      </c>
      <c r="D308" s="35">
        <v>2.0</v>
      </c>
      <c r="E308" s="37">
        <v>1260.0</v>
      </c>
      <c r="F308" s="38">
        <f t="shared" si="1"/>
        <v>2520</v>
      </c>
      <c r="G308" s="35" t="s">
        <v>1955</v>
      </c>
      <c r="H308" s="35" t="s">
        <v>1957</v>
      </c>
      <c r="I308" s="35" t="s">
        <v>32</v>
      </c>
      <c r="J308" s="35" t="s">
        <v>34</v>
      </c>
      <c r="K308" s="35" t="s">
        <v>35</v>
      </c>
      <c r="L308" s="35" t="s">
        <v>340</v>
      </c>
      <c r="M308" s="39">
        <v>31.0</v>
      </c>
      <c r="N308" s="40">
        <v>46162.0</v>
      </c>
      <c r="O308" s="42" t="b">
        <v>1</v>
      </c>
      <c r="P308" s="44">
        <v>46160.0</v>
      </c>
      <c r="Q308" s="34"/>
      <c r="R308" s="34"/>
      <c r="S308" s="34"/>
      <c r="T308" s="34"/>
    </row>
    <row r="309" ht="15.75" customHeight="1">
      <c r="B309" s="33">
        <v>46160.0</v>
      </c>
      <c r="C309" s="35">
        <v>14118.0</v>
      </c>
      <c r="D309" s="35">
        <v>61000.0</v>
      </c>
      <c r="E309" s="37">
        <v>2.5144</v>
      </c>
      <c r="F309" s="38">
        <f t="shared" si="1"/>
        <v>153378.4</v>
      </c>
      <c r="G309" s="35" t="s">
        <v>1963</v>
      </c>
      <c r="H309" s="35" t="s">
        <v>1964</v>
      </c>
      <c r="I309" s="35" t="s">
        <v>39</v>
      </c>
      <c r="J309" s="35" t="s">
        <v>40</v>
      </c>
      <c r="K309" s="35" t="s">
        <v>35</v>
      </c>
      <c r="L309" s="35" t="s">
        <v>1965</v>
      </c>
      <c r="M309" s="39">
        <v>1.0</v>
      </c>
      <c r="N309" s="41">
        <v>46164.0</v>
      </c>
      <c r="O309" s="42" t="b">
        <v>0</v>
      </c>
      <c r="P309" s="45"/>
      <c r="Q309" s="34"/>
      <c r="R309" s="34"/>
      <c r="S309" s="34"/>
      <c r="T309" s="34"/>
    </row>
    <row r="310" ht="15.75" customHeight="1">
      <c r="B310" s="33">
        <v>46160.0</v>
      </c>
      <c r="C310" s="35">
        <v>14118.0</v>
      </c>
      <c r="D310" s="35">
        <v>5000.0</v>
      </c>
      <c r="E310" s="37">
        <v>2.5144</v>
      </c>
      <c r="F310" s="38">
        <f t="shared" si="1"/>
        <v>12572</v>
      </c>
      <c r="G310" s="35" t="s">
        <v>1970</v>
      </c>
      <c r="H310" s="35" t="s">
        <v>1964</v>
      </c>
      <c r="I310" s="35" t="s">
        <v>39</v>
      </c>
      <c r="J310" s="35" t="s">
        <v>40</v>
      </c>
      <c r="K310" s="35" t="s">
        <v>35</v>
      </c>
      <c r="L310" s="35" t="s">
        <v>1965</v>
      </c>
      <c r="M310" s="39">
        <v>1.0</v>
      </c>
      <c r="N310" s="41">
        <v>46164.0</v>
      </c>
      <c r="O310" s="42" t="b">
        <v>0</v>
      </c>
      <c r="P310" s="36"/>
      <c r="Q310" s="34"/>
      <c r="R310" s="34"/>
      <c r="S310" s="34"/>
      <c r="T310" s="34"/>
    </row>
    <row r="311" ht="15.75" customHeight="1">
      <c r="B311" s="33">
        <v>46160.0</v>
      </c>
      <c r="C311" s="35">
        <v>14116.0</v>
      </c>
      <c r="D311" s="35">
        <v>10675.0</v>
      </c>
      <c r="E311" s="37">
        <v>2.3945</v>
      </c>
      <c r="F311" s="38">
        <f t="shared" si="1"/>
        <v>25561.2875</v>
      </c>
      <c r="G311" s="35" t="s">
        <v>1977</v>
      </c>
      <c r="H311" s="35" t="s">
        <v>1978</v>
      </c>
      <c r="I311" s="35" t="s">
        <v>39</v>
      </c>
      <c r="J311" s="35" t="s">
        <v>40</v>
      </c>
      <c r="K311" s="35" t="s">
        <v>35</v>
      </c>
      <c r="L311" s="35" t="s">
        <v>1965</v>
      </c>
      <c r="M311" s="39">
        <v>1.0</v>
      </c>
      <c r="N311" s="41">
        <v>46164.0</v>
      </c>
      <c r="O311" s="42" t="b">
        <v>0</v>
      </c>
      <c r="P311" s="45"/>
      <c r="Q311" s="34"/>
      <c r="R311" s="34"/>
      <c r="S311" s="34"/>
      <c r="T311" s="34"/>
    </row>
    <row r="312" ht="15.75" customHeight="1">
      <c r="B312" s="33">
        <v>46161.0</v>
      </c>
      <c r="C312" s="35">
        <v>16719.0</v>
      </c>
      <c r="D312" s="35">
        <v>6.0</v>
      </c>
      <c r="E312" s="37">
        <v>139.9</v>
      </c>
      <c r="F312" s="38">
        <f t="shared" si="1"/>
        <v>839.4</v>
      </c>
      <c r="G312" s="35" t="s">
        <v>543</v>
      </c>
      <c r="H312" s="35" t="s">
        <v>1979</v>
      </c>
      <c r="I312" s="35" t="s">
        <v>32</v>
      </c>
      <c r="J312" s="35" t="s">
        <v>34</v>
      </c>
      <c r="K312" s="35" t="s">
        <v>35</v>
      </c>
      <c r="L312" s="35" t="s">
        <v>96</v>
      </c>
      <c r="M312" s="39">
        <v>1.0</v>
      </c>
      <c r="N312" s="40">
        <v>46162.0</v>
      </c>
      <c r="O312" s="42" t="b">
        <v>1</v>
      </c>
      <c r="P312" s="44">
        <v>46167.0</v>
      </c>
      <c r="Q312" s="34"/>
      <c r="R312" s="34"/>
      <c r="S312" s="34"/>
      <c r="T312" s="34"/>
    </row>
    <row r="313" ht="15.75" customHeight="1">
      <c r="B313" s="33">
        <v>46161.0</v>
      </c>
      <c r="C313" s="35">
        <v>16672.0</v>
      </c>
      <c r="D313" s="35">
        <v>72.0</v>
      </c>
      <c r="E313" s="37">
        <v>6.9</v>
      </c>
      <c r="F313" s="38">
        <f t="shared" si="1"/>
        <v>496.8</v>
      </c>
      <c r="G313" s="35" t="s">
        <v>1982</v>
      </c>
      <c r="H313" s="35" t="s">
        <v>1983</v>
      </c>
      <c r="I313" s="35" t="s">
        <v>77</v>
      </c>
      <c r="J313" s="35" t="s">
        <v>79</v>
      </c>
      <c r="K313" s="35" t="s">
        <v>35</v>
      </c>
      <c r="L313" s="35" t="s">
        <v>96</v>
      </c>
      <c r="M313" s="39">
        <v>1.0</v>
      </c>
      <c r="N313" s="40">
        <v>46162.0</v>
      </c>
      <c r="O313" s="42" t="b">
        <v>1</v>
      </c>
      <c r="P313" s="36"/>
      <c r="Q313" s="34"/>
      <c r="R313" s="34"/>
      <c r="S313" s="34"/>
      <c r="T313" s="34"/>
    </row>
    <row r="314" ht="15.75" customHeight="1">
      <c r="B314" s="33">
        <v>46161.0</v>
      </c>
      <c r="C314" s="35">
        <v>16672.0</v>
      </c>
      <c r="D314" s="35">
        <v>240.0</v>
      </c>
      <c r="E314" s="37">
        <v>25.99</v>
      </c>
      <c r="F314" s="38">
        <f t="shared" si="1"/>
        <v>6237.6</v>
      </c>
      <c r="G314" s="35" t="s">
        <v>1985</v>
      </c>
      <c r="H314" s="35" t="s">
        <v>419</v>
      </c>
      <c r="I314" s="35" t="s">
        <v>77</v>
      </c>
      <c r="J314" s="35" t="s">
        <v>79</v>
      </c>
      <c r="K314" s="35" t="s">
        <v>35</v>
      </c>
      <c r="L314" s="35" t="s">
        <v>96</v>
      </c>
      <c r="M314" s="39">
        <v>1.0</v>
      </c>
      <c r="N314" s="40">
        <v>46162.0</v>
      </c>
      <c r="O314" s="42" t="b">
        <v>1</v>
      </c>
      <c r="P314" s="36"/>
      <c r="Q314" s="34"/>
      <c r="R314" s="34"/>
      <c r="S314" s="34"/>
      <c r="T314" s="34"/>
    </row>
    <row r="315" ht="15.75" customHeight="1">
      <c r="B315" s="33">
        <v>46161.0</v>
      </c>
      <c r="C315" s="35">
        <v>16672.0</v>
      </c>
      <c r="D315" s="35">
        <v>300.0</v>
      </c>
      <c r="E315" s="37">
        <v>12.99</v>
      </c>
      <c r="F315" s="38">
        <f t="shared" si="1"/>
        <v>3897</v>
      </c>
      <c r="G315" s="35" t="s">
        <v>262</v>
      </c>
      <c r="H315" s="35" t="s">
        <v>1552</v>
      </c>
      <c r="I315" s="35" t="s">
        <v>77</v>
      </c>
      <c r="J315" s="35" t="s">
        <v>79</v>
      </c>
      <c r="K315" s="35" t="s">
        <v>35</v>
      </c>
      <c r="L315" s="35" t="s">
        <v>96</v>
      </c>
      <c r="M315" s="39">
        <v>1.0</v>
      </c>
      <c r="N315" s="40">
        <v>46162.0</v>
      </c>
      <c r="O315" s="42" t="b">
        <v>1</v>
      </c>
      <c r="P315" s="36"/>
      <c r="Q315" s="34"/>
      <c r="R315" s="34"/>
      <c r="S315" s="34"/>
      <c r="T315" s="34"/>
    </row>
    <row r="316" ht="15.75" customHeight="1">
      <c r="B316" s="33">
        <v>46161.0</v>
      </c>
      <c r="C316" s="35">
        <v>16672.0</v>
      </c>
      <c r="D316" s="35">
        <v>300.0</v>
      </c>
      <c r="E316" s="37">
        <v>13.99</v>
      </c>
      <c r="F316" s="38">
        <f t="shared" si="1"/>
        <v>4197</v>
      </c>
      <c r="G316" s="35" t="s">
        <v>262</v>
      </c>
      <c r="H316" s="35" t="s">
        <v>1559</v>
      </c>
      <c r="I316" s="35" t="s">
        <v>77</v>
      </c>
      <c r="J316" s="35" t="s">
        <v>79</v>
      </c>
      <c r="K316" s="35" t="s">
        <v>35</v>
      </c>
      <c r="L316" s="35" t="s">
        <v>96</v>
      </c>
      <c r="M316" s="39">
        <v>1.0</v>
      </c>
      <c r="N316" s="40">
        <v>46162.0</v>
      </c>
      <c r="O316" s="42" t="b">
        <v>1</v>
      </c>
      <c r="P316" s="36"/>
      <c r="Q316" s="34"/>
      <c r="R316" s="34"/>
      <c r="S316" s="34"/>
      <c r="T316" s="34"/>
    </row>
    <row r="317" ht="15.75" customHeight="1">
      <c r="B317" s="33">
        <v>46161.0</v>
      </c>
      <c r="C317" s="35">
        <v>16672.0</v>
      </c>
      <c r="D317" s="35">
        <v>200.0</v>
      </c>
      <c r="E317" s="37">
        <v>6.99</v>
      </c>
      <c r="F317" s="38">
        <f t="shared" si="1"/>
        <v>1398</v>
      </c>
      <c r="G317" s="35" t="s">
        <v>262</v>
      </c>
      <c r="H317" s="35" t="s">
        <v>1996</v>
      </c>
      <c r="I317" s="35" t="s">
        <v>77</v>
      </c>
      <c r="J317" s="35" t="s">
        <v>79</v>
      </c>
      <c r="K317" s="35" t="s">
        <v>35</v>
      </c>
      <c r="L317" s="35" t="s">
        <v>96</v>
      </c>
      <c r="M317" s="39">
        <v>1.0</v>
      </c>
      <c r="N317" s="40">
        <v>46162.0</v>
      </c>
      <c r="O317" s="42" t="b">
        <v>1</v>
      </c>
      <c r="P317" s="36"/>
      <c r="Q317" s="34"/>
      <c r="R317" s="34"/>
      <c r="S317" s="34"/>
      <c r="T317" s="34"/>
    </row>
    <row r="318" ht="15.75" customHeight="1">
      <c r="B318" s="33">
        <v>46161.0</v>
      </c>
      <c r="C318" s="35">
        <v>16672.0</v>
      </c>
      <c r="D318" s="35">
        <v>200.0</v>
      </c>
      <c r="E318" s="37">
        <v>5.99</v>
      </c>
      <c r="F318" s="38">
        <f t="shared" si="1"/>
        <v>1198</v>
      </c>
      <c r="G318" s="35" t="s">
        <v>262</v>
      </c>
      <c r="H318" s="35" t="s">
        <v>126</v>
      </c>
      <c r="I318" s="35" t="s">
        <v>77</v>
      </c>
      <c r="J318" s="35" t="s">
        <v>79</v>
      </c>
      <c r="K318" s="35" t="s">
        <v>35</v>
      </c>
      <c r="L318" s="35" t="s">
        <v>96</v>
      </c>
      <c r="M318" s="39">
        <v>1.0</v>
      </c>
      <c r="N318" s="40">
        <v>46162.0</v>
      </c>
      <c r="O318" s="42" t="b">
        <v>1</v>
      </c>
      <c r="P318" s="36"/>
      <c r="Q318" s="34"/>
      <c r="R318" s="34"/>
      <c r="S318" s="34"/>
      <c r="T318" s="34"/>
    </row>
    <row r="319" ht="15.75" customHeight="1">
      <c r="B319" s="33">
        <v>46161.0</v>
      </c>
      <c r="C319" s="35">
        <v>16319.0</v>
      </c>
      <c r="D319" s="35">
        <v>50.0</v>
      </c>
      <c r="E319" s="37">
        <v>51.95</v>
      </c>
      <c r="F319" s="38">
        <f t="shared" si="1"/>
        <v>2597.5</v>
      </c>
      <c r="G319" s="35" t="s">
        <v>2001</v>
      </c>
      <c r="H319" s="35" t="s">
        <v>2003</v>
      </c>
      <c r="I319" s="35" t="s">
        <v>41</v>
      </c>
      <c r="J319" s="35" t="s">
        <v>34</v>
      </c>
      <c r="K319" s="35" t="s">
        <v>35</v>
      </c>
      <c r="L319" s="35" t="s">
        <v>210</v>
      </c>
      <c r="M319" s="39">
        <v>31.0</v>
      </c>
      <c r="N319" s="40">
        <v>46163.0</v>
      </c>
      <c r="O319" s="42" t="b">
        <v>1</v>
      </c>
      <c r="P319" s="44">
        <v>46168.0</v>
      </c>
      <c r="Q319" s="34"/>
      <c r="R319" s="34"/>
      <c r="S319" s="34"/>
      <c r="T319" s="34"/>
    </row>
    <row r="320" ht="15.75" customHeight="1">
      <c r="B320" s="33">
        <v>46161.0</v>
      </c>
      <c r="C320" s="35">
        <v>16319.0</v>
      </c>
      <c r="D320" s="35">
        <v>50.0</v>
      </c>
      <c r="E320" s="37">
        <v>35.34</v>
      </c>
      <c r="F320" s="38">
        <f t="shared" si="1"/>
        <v>1767</v>
      </c>
      <c r="G320" s="35" t="s">
        <v>1968</v>
      </c>
      <c r="H320" s="35" t="s">
        <v>2005</v>
      </c>
      <c r="I320" s="35" t="s">
        <v>41</v>
      </c>
      <c r="J320" s="35" t="s">
        <v>34</v>
      </c>
      <c r="K320" s="35" t="s">
        <v>35</v>
      </c>
      <c r="L320" s="35" t="s">
        <v>210</v>
      </c>
      <c r="M320" s="39">
        <v>31.0</v>
      </c>
      <c r="N320" s="40">
        <v>46163.0</v>
      </c>
      <c r="O320" s="42" t="b">
        <v>1</v>
      </c>
      <c r="P320" s="44">
        <v>46168.0</v>
      </c>
      <c r="Q320" s="34"/>
      <c r="R320" s="34"/>
      <c r="S320" s="34"/>
      <c r="T320" s="34"/>
    </row>
    <row r="321" ht="15.75" customHeight="1">
      <c r="B321" s="33">
        <v>46161.0</v>
      </c>
      <c r="C321" s="35">
        <v>16319.0</v>
      </c>
      <c r="D321" s="35">
        <v>200.0</v>
      </c>
      <c r="E321" s="37">
        <v>6.045</v>
      </c>
      <c r="F321" s="38">
        <f t="shared" si="1"/>
        <v>1209</v>
      </c>
      <c r="G321" s="35" t="s">
        <v>2007</v>
      </c>
      <c r="H321" s="35" t="s">
        <v>2009</v>
      </c>
      <c r="I321" s="35" t="s">
        <v>41</v>
      </c>
      <c r="J321" s="35" t="s">
        <v>34</v>
      </c>
      <c r="K321" s="35" t="s">
        <v>35</v>
      </c>
      <c r="L321" s="35" t="s">
        <v>210</v>
      </c>
      <c r="M321" s="39">
        <v>31.0</v>
      </c>
      <c r="N321" s="40">
        <v>46163.0</v>
      </c>
      <c r="O321" s="42" t="b">
        <v>1</v>
      </c>
      <c r="P321" s="44">
        <v>46169.0</v>
      </c>
      <c r="Q321" s="34"/>
      <c r="R321" s="34"/>
      <c r="S321" s="34"/>
      <c r="T321" s="34"/>
    </row>
    <row r="322" ht="15.75" customHeight="1">
      <c r="B322" s="33">
        <v>46161.0</v>
      </c>
      <c r="C322" s="35">
        <v>12025.0</v>
      </c>
      <c r="D322" s="35">
        <v>12.0</v>
      </c>
      <c r="E322" s="37">
        <v>297.0</v>
      </c>
      <c r="F322" s="38">
        <f t="shared" si="1"/>
        <v>3564</v>
      </c>
      <c r="G322" s="35" t="s">
        <v>2012</v>
      </c>
      <c r="H322" s="35" t="s">
        <v>2013</v>
      </c>
      <c r="I322" s="35" t="s">
        <v>41</v>
      </c>
      <c r="J322" s="35" t="s">
        <v>34</v>
      </c>
      <c r="K322" s="35" t="s">
        <v>35</v>
      </c>
      <c r="L322" s="35" t="s">
        <v>279</v>
      </c>
      <c r="M322" s="39">
        <v>31.0</v>
      </c>
      <c r="N322" s="40">
        <v>46162.0</v>
      </c>
      <c r="O322" s="42" t="b">
        <v>1</v>
      </c>
      <c r="P322" s="44">
        <v>46168.0</v>
      </c>
      <c r="Q322" s="34"/>
      <c r="R322" s="34"/>
      <c r="S322" s="34"/>
      <c r="T322" s="34"/>
    </row>
    <row r="323" ht="15.75" customHeight="1">
      <c r="B323" s="33">
        <v>46161.0</v>
      </c>
      <c r="C323" s="35">
        <v>12025.0</v>
      </c>
      <c r="D323" s="35">
        <v>150.0</v>
      </c>
      <c r="E323" s="37">
        <v>37.8</v>
      </c>
      <c r="F323" s="38">
        <f t="shared" si="1"/>
        <v>5670</v>
      </c>
      <c r="G323" s="35" t="s">
        <v>2018</v>
      </c>
      <c r="H323" s="35" t="s">
        <v>2019</v>
      </c>
      <c r="I323" s="35" t="s">
        <v>41</v>
      </c>
      <c r="J323" s="35" t="s">
        <v>34</v>
      </c>
      <c r="K323" s="35" t="s">
        <v>35</v>
      </c>
      <c r="L323" s="35" t="s">
        <v>279</v>
      </c>
      <c r="M323" s="39">
        <v>31.0</v>
      </c>
      <c r="N323" s="40">
        <v>46162.0</v>
      </c>
      <c r="O323" s="42" t="b">
        <v>1</v>
      </c>
      <c r="P323" s="44">
        <v>46168.0</v>
      </c>
      <c r="Q323" s="34"/>
      <c r="R323" s="34"/>
      <c r="S323" s="34"/>
      <c r="T323" s="34"/>
    </row>
    <row r="324" ht="15.75" customHeight="1">
      <c r="B324" s="33">
        <v>46161.0</v>
      </c>
      <c r="C324" s="35">
        <v>12025.0</v>
      </c>
      <c r="D324" s="35">
        <v>150.0</v>
      </c>
      <c r="E324" s="37">
        <v>19.8</v>
      </c>
      <c r="F324" s="38">
        <f t="shared" si="1"/>
        <v>2970</v>
      </c>
      <c r="G324" s="35" t="s">
        <v>2022</v>
      </c>
      <c r="H324" s="35" t="s">
        <v>2023</v>
      </c>
      <c r="I324" s="35" t="s">
        <v>41</v>
      </c>
      <c r="J324" s="35" t="s">
        <v>34</v>
      </c>
      <c r="K324" s="35" t="s">
        <v>35</v>
      </c>
      <c r="L324" s="35" t="s">
        <v>279</v>
      </c>
      <c r="M324" s="39">
        <v>31.0</v>
      </c>
      <c r="N324" s="40">
        <v>46162.0</v>
      </c>
      <c r="O324" s="42" t="b">
        <v>1</v>
      </c>
      <c r="P324" s="44">
        <v>46168.0</v>
      </c>
      <c r="Q324" s="34"/>
      <c r="R324" s="34"/>
      <c r="S324" s="34"/>
      <c r="T324" s="34"/>
    </row>
    <row r="325" ht="15.75" customHeight="1">
      <c r="B325" s="33">
        <v>46161.0</v>
      </c>
      <c r="C325" s="35">
        <v>12025.0</v>
      </c>
      <c r="D325" s="35">
        <v>8.0</v>
      </c>
      <c r="E325" s="37">
        <v>342.0</v>
      </c>
      <c r="F325" s="38">
        <f t="shared" si="1"/>
        <v>2736</v>
      </c>
      <c r="G325" s="35" t="s">
        <v>2029</v>
      </c>
      <c r="H325" s="35" t="s">
        <v>2030</v>
      </c>
      <c r="I325" s="35" t="s">
        <v>41</v>
      </c>
      <c r="J325" s="35" t="s">
        <v>34</v>
      </c>
      <c r="K325" s="35" t="s">
        <v>35</v>
      </c>
      <c r="L325" s="35" t="s">
        <v>279</v>
      </c>
      <c r="M325" s="39">
        <v>31.0</v>
      </c>
      <c r="N325" s="40">
        <v>46162.0</v>
      </c>
      <c r="O325" s="42" t="b">
        <v>1</v>
      </c>
      <c r="P325" s="44">
        <v>46168.0</v>
      </c>
      <c r="Q325" s="34"/>
      <c r="R325" s="34"/>
      <c r="S325" s="34"/>
      <c r="T325" s="34"/>
    </row>
    <row r="326" ht="15.75" customHeight="1">
      <c r="B326" s="33">
        <v>46161.0</v>
      </c>
      <c r="C326" s="35">
        <v>12025.0</v>
      </c>
      <c r="D326" s="35">
        <v>12.0</v>
      </c>
      <c r="E326" s="37">
        <v>297.0</v>
      </c>
      <c r="F326" s="38">
        <f t="shared" si="1"/>
        <v>3564</v>
      </c>
      <c r="G326" s="35" t="s">
        <v>2033</v>
      </c>
      <c r="H326" s="35" t="s">
        <v>2034</v>
      </c>
      <c r="I326" s="35" t="s">
        <v>41</v>
      </c>
      <c r="J326" s="35" t="s">
        <v>34</v>
      </c>
      <c r="K326" s="35" t="s">
        <v>35</v>
      </c>
      <c r="L326" s="35" t="s">
        <v>279</v>
      </c>
      <c r="M326" s="39">
        <v>31.0</v>
      </c>
      <c r="N326" s="40">
        <v>46162.0</v>
      </c>
      <c r="O326" s="42" t="b">
        <v>1</v>
      </c>
      <c r="P326" s="44">
        <v>46168.0</v>
      </c>
      <c r="Q326" s="34"/>
      <c r="R326" s="34"/>
      <c r="S326" s="34"/>
      <c r="T326" s="34"/>
    </row>
    <row r="327" ht="15.75" customHeight="1">
      <c r="B327" s="33">
        <v>46161.0</v>
      </c>
      <c r="C327" s="35">
        <v>12025.0</v>
      </c>
      <c r="D327" s="35">
        <v>4.0</v>
      </c>
      <c r="E327" s="37">
        <v>513.0</v>
      </c>
      <c r="F327" s="38">
        <f t="shared" si="1"/>
        <v>2052</v>
      </c>
      <c r="G327" s="35" t="s">
        <v>2038</v>
      </c>
      <c r="H327" s="35" t="s">
        <v>2040</v>
      </c>
      <c r="I327" s="35" t="s">
        <v>41</v>
      </c>
      <c r="J327" s="35" t="s">
        <v>34</v>
      </c>
      <c r="K327" s="35" t="s">
        <v>35</v>
      </c>
      <c r="L327" s="35" t="s">
        <v>279</v>
      </c>
      <c r="M327" s="39">
        <v>31.0</v>
      </c>
      <c r="N327" s="40">
        <v>46162.0</v>
      </c>
      <c r="O327" s="42" t="b">
        <v>1</v>
      </c>
      <c r="P327" s="44">
        <v>46168.0</v>
      </c>
      <c r="Q327" s="34"/>
      <c r="R327" s="34"/>
      <c r="S327" s="34"/>
      <c r="T327" s="34"/>
    </row>
    <row r="328" ht="15.75" customHeight="1">
      <c r="B328" s="33">
        <v>46161.0</v>
      </c>
      <c r="C328" s="35">
        <v>12025.0</v>
      </c>
      <c r="D328" s="35">
        <v>4.0</v>
      </c>
      <c r="E328" s="37">
        <v>405.0</v>
      </c>
      <c r="F328" s="38">
        <f t="shared" si="1"/>
        <v>1620</v>
      </c>
      <c r="G328" s="35" t="s">
        <v>2033</v>
      </c>
      <c r="H328" s="35" t="s">
        <v>2045</v>
      </c>
      <c r="I328" s="35" t="s">
        <v>41</v>
      </c>
      <c r="J328" s="35" t="s">
        <v>34</v>
      </c>
      <c r="K328" s="35" t="s">
        <v>35</v>
      </c>
      <c r="L328" s="35" t="s">
        <v>279</v>
      </c>
      <c r="M328" s="39">
        <v>31.0</v>
      </c>
      <c r="N328" s="40">
        <v>46162.0</v>
      </c>
      <c r="O328" s="42" t="b">
        <v>1</v>
      </c>
      <c r="P328" s="44">
        <v>46168.0</v>
      </c>
      <c r="Q328" s="34"/>
      <c r="R328" s="34"/>
      <c r="S328" s="34"/>
      <c r="T328" s="34"/>
    </row>
    <row r="329" ht="15.75" customHeight="1">
      <c r="B329" s="33">
        <v>46161.0</v>
      </c>
      <c r="C329" s="35">
        <v>12025.0</v>
      </c>
      <c r="D329" s="35">
        <v>8.0</v>
      </c>
      <c r="E329" s="37">
        <v>207.0</v>
      </c>
      <c r="F329" s="38">
        <f t="shared" si="1"/>
        <v>1656</v>
      </c>
      <c r="G329" s="35" t="s">
        <v>2033</v>
      </c>
      <c r="H329" s="35" t="s">
        <v>2050</v>
      </c>
      <c r="I329" s="35" t="s">
        <v>41</v>
      </c>
      <c r="J329" s="35" t="s">
        <v>34</v>
      </c>
      <c r="K329" s="35" t="s">
        <v>35</v>
      </c>
      <c r="L329" s="35" t="s">
        <v>279</v>
      </c>
      <c r="M329" s="39">
        <v>31.0</v>
      </c>
      <c r="N329" s="40">
        <v>46162.0</v>
      </c>
      <c r="O329" s="42" t="b">
        <v>1</v>
      </c>
      <c r="P329" s="44">
        <v>46168.0</v>
      </c>
      <c r="Q329" s="34"/>
      <c r="R329" s="34"/>
      <c r="S329" s="34"/>
      <c r="T329" s="34"/>
    </row>
    <row r="330" ht="15.75" customHeight="1">
      <c r="B330" s="33">
        <v>46161.0</v>
      </c>
      <c r="C330" s="35">
        <v>12025.0</v>
      </c>
      <c r="D330" s="35">
        <v>200.0</v>
      </c>
      <c r="E330" s="37">
        <v>22.5</v>
      </c>
      <c r="F330" s="38">
        <f t="shared" si="1"/>
        <v>4500</v>
      </c>
      <c r="G330" s="35" t="s">
        <v>2053</v>
      </c>
      <c r="H330" s="35" t="s">
        <v>2054</v>
      </c>
      <c r="I330" s="35" t="s">
        <v>41</v>
      </c>
      <c r="J330" s="35" t="s">
        <v>34</v>
      </c>
      <c r="K330" s="35" t="s">
        <v>35</v>
      </c>
      <c r="L330" s="35" t="s">
        <v>279</v>
      </c>
      <c r="M330" s="39">
        <v>31.0</v>
      </c>
      <c r="N330" s="40">
        <v>46162.0</v>
      </c>
      <c r="O330" s="42" t="b">
        <v>1</v>
      </c>
      <c r="P330" s="44">
        <v>46168.0</v>
      </c>
      <c r="Q330" s="34"/>
      <c r="R330" s="34"/>
      <c r="S330" s="34"/>
      <c r="T330" s="34"/>
    </row>
    <row r="331" ht="15.75" customHeight="1">
      <c r="B331" s="33">
        <v>46161.0</v>
      </c>
      <c r="C331" s="35">
        <v>12051.0</v>
      </c>
      <c r="D331" s="35">
        <v>1.0</v>
      </c>
      <c r="E331" s="37">
        <v>585.0</v>
      </c>
      <c r="F331" s="38">
        <f t="shared" si="1"/>
        <v>585</v>
      </c>
      <c r="G331" s="35" t="s">
        <v>2059</v>
      </c>
      <c r="H331" s="35" t="s">
        <v>2060</v>
      </c>
      <c r="I331" s="35" t="s">
        <v>157</v>
      </c>
      <c r="J331" s="35" t="s">
        <v>34</v>
      </c>
      <c r="K331" s="35" t="s">
        <v>35</v>
      </c>
      <c r="L331" s="35" t="s">
        <v>279</v>
      </c>
      <c r="M331" s="39">
        <v>1.0</v>
      </c>
      <c r="N331" s="40">
        <v>46162.0</v>
      </c>
      <c r="O331" s="42" t="b">
        <v>1</v>
      </c>
      <c r="P331" s="44">
        <v>46164.0</v>
      </c>
      <c r="Q331" s="34"/>
      <c r="R331" s="34"/>
      <c r="S331" s="34"/>
      <c r="T331" s="34"/>
    </row>
    <row r="332" ht="15.75" customHeight="1">
      <c r="B332" s="33">
        <v>46161.0</v>
      </c>
      <c r="C332" s="35">
        <v>12051.0</v>
      </c>
      <c r="D332" s="35">
        <v>1.0</v>
      </c>
      <c r="E332" s="37">
        <v>585.0</v>
      </c>
      <c r="F332" s="38">
        <f t="shared" si="1"/>
        <v>585</v>
      </c>
      <c r="G332" s="35" t="s">
        <v>2059</v>
      </c>
      <c r="H332" s="35" t="s">
        <v>2063</v>
      </c>
      <c r="I332" s="35" t="s">
        <v>157</v>
      </c>
      <c r="J332" s="35" t="s">
        <v>34</v>
      </c>
      <c r="K332" s="35" t="s">
        <v>35</v>
      </c>
      <c r="L332" s="35" t="s">
        <v>279</v>
      </c>
      <c r="M332" s="39">
        <v>1.0</v>
      </c>
      <c r="N332" s="40">
        <v>46162.0</v>
      </c>
      <c r="O332" s="42" t="b">
        <v>1</v>
      </c>
      <c r="P332" s="44">
        <v>46164.0</v>
      </c>
      <c r="Q332" s="34"/>
      <c r="R332" s="34"/>
      <c r="S332" s="34"/>
      <c r="T332" s="34"/>
    </row>
    <row r="333" ht="15.75" customHeight="1">
      <c r="B333" s="33">
        <v>46161.0</v>
      </c>
      <c r="C333" s="35">
        <v>12051.0</v>
      </c>
      <c r="D333" s="35">
        <v>1.0</v>
      </c>
      <c r="E333" s="37">
        <v>585.0</v>
      </c>
      <c r="F333" s="38">
        <f t="shared" si="1"/>
        <v>585</v>
      </c>
      <c r="G333" s="35" t="s">
        <v>2059</v>
      </c>
      <c r="H333" s="35" t="s">
        <v>2066</v>
      </c>
      <c r="I333" s="35" t="s">
        <v>157</v>
      </c>
      <c r="J333" s="35" t="s">
        <v>34</v>
      </c>
      <c r="K333" s="35" t="s">
        <v>35</v>
      </c>
      <c r="L333" s="35" t="s">
        <v>279</v>
      </c>
      <c r="M333" s="39">
        <v>1.0</v>
      </c>
      <c r="N333" s="40">
        <v>46162.0</v>
      </c>
      <c r="O333" s="42" t="b">
        <v>1</v>
      </c>
      <c r="P333" s="44">
        <v>46164.0</v>
      </c>
      <c r="Q333" s="34"/>
      <c r="R333" s="34"/>
      <c r="S333" s="34"/>
      <c r="T333" s="34"/>
    </row>
    <row r="334" ht="15.75" customHeight="1">
      <c r="B334" s="33">
        <v>46161.0</v>
      </c>
      <c r="C334" s="35">
        <v>12051.0</v>
      </c>
      <c r="D334" s="35">
        <v>1.0</v>
      </c>
      <c r="E334" s="37">
        <v>585.0</v>
      </c>
      <c r="F334" s="38">
        <f t="shared" si="1"/>
        <v>585</v>
      </c>
      <c r="G334" s="35" t="s">
        <v>2059</v>
      </c>
      <c r="H334" s="35" t="s">
        <v>2071</v>
      </c>
      <c r="I334" s="35" t="s">
        <v>157</v>
      </c>
      <c r="J334" s="35" t="s">
        <v>34</v>
      </c>
      <c r="K334" s="35" t="s">
        <v>35</v>
      </c>
      <c r="L334" s="35" t="s">
        <v>279</v>
      </c>
      <c r="M334" s="39">
        <v>1.0</v>
      </c>
      <c r="N334" s="40">
        <v>46162.0</v>
      </c>
      <c r="O334" s="42" t="b">
        <v>1</v>
      </c>
      <c r="P334" s="44">
        <v>46164.0</v>
      </c>
      <c r="Q334" s="34"/>
      <c r="R334" s="34"/>
      <c r="S334" s="34"/>
      <c r="T334" s="34"/>
    </row>
    <row r="335" ht="15.75" customHeight="1">
      <c r="B335" s="33">
        <v>46161.0</v>
      </c>
      <c r="C335" s="35">
        <v>306.0</v>
      </c>
      <c r="D335" s="35">
        <v>10.0</v>
      </c>
      <c r="E335" s="37">
        <v>250.0</v>
      </c>
      <c r="F335" s="38">
        <f t="shared" si="1"/>
        <v>2500</v>
      </c>
      <c r="G335" s="35" t="s">
        <v>1136</v>
      </c>
      <c r="H335" s="35">
        <v>115.0</v>
      </c>
      <c r="I335" s="35" t="s">
        <v>32</v>
      </c>
      <c r="J335" s="35" t="s">
        <v>35</v>
      </c>
      <c r="K335" s="35" t="s">
        <v>35</v>
      </c>
      <c r="L335" s="35" t="s">
        <v>515</v>
      </c>
      <c r="M335" s="39">
        <v>31.0</v>
      </c>
      <c r="N335" s="66">
        <v>46167.0</v>
      </c>
      <c r="O335" s="42" t="b">
        <v>1</v>
      </c>
      <c r="P335" s="44">
        <v>46167.0</v>
      </c>
      <c r="Q335" s="34"/>
      <c r="R335" s="34"/>
      <c r="S335" s="34"/>
      <c r="T335" s="34"/>
    </row>
    <row r="336" ht="15.75" customHeight="1">
      <c r="B336" s="33">
        <v>46161.0</v>
      </c>
      <c r="C336" s="35">
        <v>306.0</v>
      </c>
      <c r="D336" s="35">
        <v>43.0</v>
      </c>
      <c r="E336" s="37">
        <v>399.0</v>
      </c>
      <c r="F336" s="38">
        <f t="shared" si="1"/>
        <v>17157</v>
      </c>
      <c r="G336" s="35" t="s">
        <v>579</v>
      </c>
      <c r="H336" s="35">
        <v>116.0</v>
      </c>
      <c r="I336" s="35" t="s">
        <v>32</v>
      </c>
      <c r="J336" s="35" t="s">
        <v>35</v>
      </c>
      <c r="K336" s="35" t="s">
        <v>35</v>
      </c>
      <c r="L336" s="35" t="s">
        <v>515</v>
      </c>
      <c r="M336" s="39">
        <v>31.0</v>
      </c>
      <c r="N336" s="66">
        <v>46167.0</v>
      </c>
      <c r="O336" s="42" t="b">
        <v>1</v>
      </c>
      <c r="P336" s="44">
        <v>46167.0</v>
      </c>
      <c r="Q336" s="34"/>
      <c r="R336" s="34"/>
      <c r="S336" s="34"/>
      <c r="T336" s="34"/>
    </row>
    <row r="337" ht="15.75" customHeight="1">
      <c r="B337" s="33">
        <v>46161.0</v>
      </c>
      <c r="C337" s="35">
        <v>306.0</v>
      </c>
      <c r="D337" s="35">
        <v>6.0</v>
      </c>
      <c r="E337" s="37">
        <v>450.0</v>
      </c>
      <c r="F337" s="38">
        <f t="shared" si="1"/>
        <v>2700</v>
      </c>
      <c r="G337" s="35" t="s">
        <v>2080</v>
      </c>
      <c r="H337" s="35">
        <v>117.0</v>
      </c>
      <c r="I337" s="35" t="s">
        <v>32</v>
      </c>
      <c r="J337" s="35" t="s">
        <v>35</v>
      </c>
      <c r="K337" s="35" t="s">
        <v>35</v>
      </c>
      <c r="L337" s="35" t="s">
        <v>515</v>
      </c>
      <c r="M337" s="39">
        <v>31.0</v>
      </c>
      <c r="N337" s="66">
        <v>46167.0</v>
      </c>
      <c r="O337" s="42" t="b">
        <v>1</v>
      </c>
      <c r="P337" s="44">
        <v>46167.0</v>
      </c>
      <c r="Q337" s="34"/>
      <c r="R337" s="34"/>
      <c r="S337" s="34"/>
      <c r="T337" s="34"/>
    </row>
    <row r="338" ht="15.75" customHeight="1">
      <c r="B338" s="33">
        <v>46161.0</v>
      </c>
      <c r="C338" s="35">
        <v>306.0</v>
      </c>
      <c r="D338" s="35">
        <v>85.0</v>
      </c>
      <c r="E338" s="37">
        <v>700.0</v>
      </c>
      <c r="F338" s="38">
        <f t="shared" si="1"/>
        <v>59500</v>
      </c>
      <c r="G338" s="35" t="s">
        <v>513</v>
      </c>
      <c r="H338" s="35">
        <v>118.0</v>
      </c>
      <c r="I338" s="35" t="s">
        <v>32</v>
      </c>
      <c r="J338" s="35" t="s">
        <v>35</v>
      </c>
      <c r="K338" s="35" t="s">
        <v>35</v>
      </c>
      <c r="L338" s="35" t="s">
        <v>515</v>
      </c>
      <c r="M338" s="39">
        <v>31.0</v>
      </c>
      <c r="N338" s="66">
        <v>46167.0</v>
      </c>
      <c r="O338" s="42" t="b">
        <v>1</v>
      </c>
      <c r="P338" s="44">
        <v>46164.0</v>
      </c>
      <c r="Q338" s="34"/>
      <c r="R338" s="34"/>
      <c r="S338" s="34"/>
      <c r="T338" s="34"/>
    </row>
    <row r="339" ht="15.75" customHeight="1">
      <c r="B339" s="33">
        <v>46161.0</v>
      </c>
      <c r="C339" s="35">
        <v>306.0</v>
      </c>
      <c r="D339" s="35">
        <v>2.0</v>
      </c>
      <c r="E339" s="37">
        <v>1399.0</v>
      </c>
      <c r="F339" s="38">
        <f t="shared" si="1"/>
        <v>2798</v>
      </c>
      <c r="G339" s="35" t="s">
        <v>520</v>
      </c>
      <c r="H339" s="35">
        <v>434.0</v>
      </c>
      <c r="I339" s="35" t="s">
        <v>32</v>
      </c>
      <c r="J339" s="35" t="s">
        <v>35</v>
      </c>
      <c r="K339" s="35" t="s">
        <v>35</v>
      </c>
      <c r="L339" s="35" t="s">
        <v>515</v>
      </c>
      <c r="M339" s="39">
        <v>31.0</v>
      </c>
      <c r="N339" s="66">
        <v>46167.0</v>
      </c>
      <c r="O339" s="42" t="b">
        <v>1</v>
      </c>
      <c r="P339" s="44">
        <v>46167.0</v>
      </c>
      <c r="Q339" s="34"/>
      <c r="R339" s="34"/>
      <c r="S339" s="34"/>
      <c r="T339" s="34"/>
    </row>
    <row r="340" ht="15.75" customHeight="1">
      <c r="B340" s="33">
        <v>46161.0</v>
      </c>
      <c r="C340" s="35">
        <v>306.0</v>
      </c>
      <c r="D340" s="35">
        <v>8.0</v>
      </c>
      <c r="E340" s="37">
        <v>2300.0</v>
      </c>
      <c r="F340" s="38">
        <f t="shared" si="1"/>
        <v>18400</v>
      </c>
      <c r="G340" s="35" t="s">
        <v>2095</v>
      </c>
      <c r="H340" s="35">
        <v>500.0</v>
      </c>
      <c r="I340" s="35" t="s">
        <v>32</v>
      </c>
      <c r="J340" s="35" t="s">
        <v>35</v>
      </c>
      <c r="K340" s="35" t="s">
        <v>35</v>
      </c>
      <c r="L340" s="35" t="s">
        <v>515</v>
      </c>
      <c r="M340" s="39">
        <v>31.0</v>
      </c>
      <c r="N340" s="66">
        <v>46167.0</v>
      </c>
      <c r="O340" s="42" t="b">
        <v>1</v>
      </c>
      <c r="P340" s="44">
        <v>46167.0</v>
      </c>
      <c r="Q340" s="34"/>
      <c r="R340" s="34"/>
      <c r="S340" s="34"/>
      <c r="T340" s="34"/>
    </row>
    <row r="341" ht="15.75" customHeight="1">
      <c r="B341" s="33">
        <v>46162.0</v>
      </c>
      <c r="C341" s="46" t="s">
        <v>2097</v>
      </c>
      <c r="D341" s="35">
        <v>200.0</v>
      </c>
      <c r="E341" s="37">
        <v>25.0</v>
      </c>
      <c r="F341" s="38">
        <f t="shared" si="1"/>
        <v>5000</v>
      </c>
      <c r="G341" s="35" t="s">
        <v>782</v>
      </c>
      <c r="H341" s="35" t="s">
        <v>783</v>
      </c>
      <c r="I341" s="35" t="s">
        <v>41</v>
      </c>
      <c r="J341" s="35" t="s">
        <v>34</v>
      </c>
      <c r="K341" s="35" t="s">
        <v>35</v>
      </c>
      <c r="L341" s="35" t="s">
        <v>87</v>
      </c>
      <c r="M341" s="39">
        <v>31.0</v>
      </c>
      <c r="N341" s="66">
        <v>46167.0</v>
      </c>
      <c r="O341" s="42" t="b">
        <v>1</v>
      </c>
      <c r="P341" s="44">
        <v>46169.0</v>
      </c>
      <c r="Q341" s="34"/>
      <c r="R341" s="34"/>
      <c r="S341" s="34"/>
      <c r="T341" s="34"/>
    </row>
    <row r="342" ht="15.75" customHeight="1">
      <c r="B342" s="33">
        <v>46162.0</v>
      </c>
      <c r="C342" s="35" t="s">
        <v>35</v>
      </c>
      <c r="D342" s="35">
        <v>50.0</v>
      </c>
      <c r="E342" s="37">
        <v>270.0</v>
      </c>
      <c r="F342" s="38">
        <f t="shared" si="1"/>
        <v>13500</v>
      </c>
      <c r="G342" s="35" t="s">
        <v>2103</v>
      </c>
      <c r="H342" s="35" t="s">
        <v>227</v>
      </c>
      <c r="I342" s="35" t="s">
        <v>41</v>
      </c>
      <c r="J342" s="35" t="s">
        <v>34</v>
      </c>
      <c r="K342" s="35" t="s">
        <v>35</v>
      </c>
      <c r="L342" s="35" t="s">
        <v>314</v>
      </c>
      <c r="M342" s="39">
        <v>31.0</v>
      </c>
      <c r="N342" s="66">
        <v>46164.0</v>
      </c>
      <c r="O342" s="42" t="b">
        <v>1</v>
      </c>
      <c r="P342" s="44">
        <v>46167.0</v>
      </c>
      <c r="Q342" s="34"/>
      <c r="R342" s="34"/>
      <c r="S342" s="34"/>
      <c r="T342" s="34"/>
    </row>
    <row r="343" ht="15.75" customHeight="1">
      <c r="B343" s="33">
        <v>46162.0</v>
      </c>
      <c r="C343" s="35">
        <v>16907.0</v>
      </c>
      <c r="D343" s="35">
        <v>10.0</v>
      </c>
      <c r="E343" s="37">
        <v>139.9</v>
      </c>
      <c r="F343" s="38">
        <f t="shared" si="1"/>
        <v>1399</v>
      </c>
      <c r="G343" s="35" t="s">
        <v>2110</v>
      </c>
      <c r="H343" s="35" t="s">
        <v>2111</v>
      </c>
      <c r="I343" s="35" t="s">
        <v>174</v>
      </c>
      <c r="J343" s="35" t="s">
        <v>175</v>
      </c>
      <c r="K343" s="35" t="s">
        <v>35</v>
      </c>
      <c r="L343" s="35" t="s">
        <v>96</v>
      </c>
      <c r="M343" s="39">
        <v>31.0</v>
      </c>
      <c r="N343" s="40">
        <v>46162.0</v>
      </c>
      <c r="O343" s="42" t="b">
        <v>1</v>
      </c>
      <c r="P343" s="44">
        <v>46182.0</v>
      </c>
      <c r="Q343" s="34"/>
      <c r="R343" s="34"/>
      <c r="S343" s="34"/>
      <c r="T343" s="34"/>
    </row>
    <row r="344" ht="15.75" customHeight="1">
      <c r="B344" s="33">
        <v>46162.0</v>
      </c>
      <c r="C344" s="35">
        <v>1029.0</v>
      </c>
      <c r="D344" s="35">
        <v>10.0</v>
      </c>
      <c r="E344" s="37">
        <v>180.0</v>
      </c>
      <c r="F344" s="38">
        <f t="shared" si="1"/>
        <v>1800</v>
      </c>
      <c r="G344" s="35" t="s">
        <v>1130</v>
      </c>
      <c r="H344" s="35" t="s">
        <v>1131</v>
      </c>
      <c r="I344" s="35" t="s">
        <v>59</v>
      </c>
      <c r="J344" s="35" t="s">
        <v>34</v>
      </c>
      <c r="K344" s="35" t="s">
        <v>35</v>
      </c>
      <c r="L344" s="35" t="s">
        <v>132</v>
      </c>
      <c r="M344" s="39">
        <v>31.0</v>
      </c>
      <c r="N344" s="66">
        <v>46162.0</v>
      </c>
      <c r="O344" s="42" t="b">
        <v>1</v>
      </c>
      <c r="P344" s="44">
        <v>46162.0</v>
      </c>
      <c r="Q344" s="34"/>
      <c r="R344" s="34"/>
      <c r="S344" s="34"/>
      <c r="T344" s="34"/>
    </row>
    <row r="345" ht="15.75" customHeight="1">
      <c r="B345" s="33">
        <v>46162.0</v>
      </c>
      <c r="C345" s="35">
        <v>50845.0</v>
      </c>
      <c r="D345" s="35">
        <v>10.0</v>
      </c>
      <c r="E345" s="37">
        <v>300.0</v>
      </c>
      <c r="F345" s="38">
        <f t="shared" si="1"/>
        <v>3000</v>
      </c>
      <c r="G345" s="35" t="s">
        <v>2119</v>
      </c>
      <c r="H345" s="35" t="s">
        <v>2120</v>
      </c>
      <c r="I345" s="35" t="s">
        <v>673</v>
      </c>
      <c r="J345" s="35" t="s">
        <v>175</v>
      </c>
      <c r="K345" s="35" t="s">
        <v>35</v>
      </c>
      <c r="L345" s="35" t="s">
        <v>868</v>
      </c>
      <c r="M345" s="39">
        <v>31.0</v>
      </c>
      <c r="N345" s="66">
        <v>46163.0</v>
      </c>
      <c r="O345" s="42" t="b">
        <v>1</v>
      </c>
      <c r="P345" s="44">
        <v>46168.0</v>
      </c>
      <c r="Q345" s="34"/>
      <c r="R345" s="34"/>
      <c r="S345" s="34"/>
      <c r="T345" s="34"/>
    </row>
    <row r="346" ht="15.75" customHeight="1">
      <c r="B346" s="33">
        <v>46162.0</v>
      </c>
      <c r="C346" s="46" t="s">
        <v>2124</v>
      </c>
      <c r="D346" s="35">
        <v>40.0</v>
      </c>
      <c r="E346" s="37">
        <v>25.2</v>
      </c>
      <c r="F346" s="38">
        <f t="shared" si="1"/>
        <v>1008</v>
      </c>
      <c r="G346" s="35" t="s">
        <v>2126</v>
      </c>
      <c r="H346" s="35" t="s">
        <v>2127</v>
      </c>
      <c r="I346" s="35" t="s">
        <v>59</v>
      </c>
      <c r="J346" s="35" t="s">
        <v>34</v>
      </c>
      <c r="K346" s="35" t="s">
        <v>35</v>
      </c>
      <c r="L346" s="35" t="s">
        <v>46</v>
      </c>
      <c r="M346" s="39">
        <v>31.0</v>
      </c>
      <c r="N346" s="41">
        <v>46162.0</v>
      </c>
      <c r="O346" s="42" t="b">
        <v>1</v>
      </c>
      <c r="P346" s="44">
        <v>46162.0</v>
      </c>
      <c r="Q346" s="34"/>
      <c r="R346" s="34"/>
      <c r="S346" s="34"/>
      <c r="T346" s="34"/>
    </row>
    <row r="347" ht="15.75" customHeight="1">
      <c r="B347" s="33">
        <v>46162.0</v>
      </c>
      <c r="C347" s="35" t="s">
        <v>35</v>
      </c>
      <c r="D347" s="35">
        <v>200.0</v>
      </c>
      <c r="E347" s="37">
        <v>120.0</v>
      </c>
      <c r="F347" s="38">
        <f t="shared" si="1"/>
        <v>24000</v>
      </c>
      <c r="G347" s="35" t="s">
        <v>299</v>
      </c>
      <c r="H347" s="35" t="s">
        <v>299</v>
      </c>
      <c r="I347" s="35" t="s">
        <v>41</v>
      </c>
      <c r="J347" s="35" t="s">
        <v>34</v>
      </c>
      <c r="K347" s="35" t="s">
        <v>35</v>
      </c>
      <c r="L347" s="35" t="s">
        <v>67</v>
      </c>
      <c r="M347" s="39">
        <v>31.0</v>
      </c>
      <c r="N347" s="66">
        <v>46164.0</v>
      </c>
      <c r="O347" s="42" t="b">
        <v>1</v>
      </c>
      <c r="P347" s="44">
        <v>46167.0</v>
      </c>
      <c r="Q347" s="34"/>
      <c r="R347" s="34"/>
      <c r="S347" s="34"/>
      <c r="T347" s="34"/>
    </row>
    <row r="348" ht="15.75" customHeight="1">
      <c r="B348" s="33">
        <v>46162.0</v>
      </c>
      <c r="C348" s="35">
        <v>760385.0</v>
      </c>
      <c r="D348" s="35">
        <v>123.0</v>
      </c>
      <c r="E348" s="37">
        <v>82.3728</v>
      </c>
      <c r="F348" s="38">
        <f t="shared" si="1"/>
        <v>10131.8544</v>
      </c>
      <c r="G348" s="35" t="s">
        <v>1253</v>
      </c>
      <c r="H348" s="35" t="s">
        <v>35</v>
      </c>
      <c r="I348" s="35" t="s">
        <v>41</v>
      </c>
      <c r="J348" s="35" t="s">
        <v>34</v>
      </c>
      <c r="K348" s="35" t="s">
        <v>35</v>
      </c>
      <c r="L348" s="35" t="s">
        <v>2132</v>
      </c>
      <c r="M348" s="39">
        <v>1.0</v>
      </c>
      <c r="N348" s="66">
        <v>46163.0</v>
      </c>
      <c r="O348" s="42" t="b">
        <v>1</v>
      </c>
      <c r="P348" s="44">
        <v>46168.0</v>
      </c>
      <c r="Q348" s="34"/>
      <c r="R348" s="34"/>
      <c r="S348" s="34"/>
      <c r="T348" s="34"/>
    </row>
    <row r="349" ht="15.75" customHeight="1">
      <c r="B349" s="33">
        <v>46162.0</v>
      </c>
      <c r="C349" s="35">
        <v>760385.0</v>
      </c>
      <c r="D349" s="35">
        <v>77.0</v>
      </c>
      <c r="E349" s="37">
        <v>82.3728</v>
      </c>
      <c r="F349" s="38">
        <f t="shared" si="1"/>
        <v>6342.7056</v>
      </c>
      <c r="G349" s="35" t="s">
        <v>1253</v>
      </c>
      <c r="H349" s="35" t="s">
        <v>35</v>
      </c>
      <c r="I349" s="35" t="s">
        <v>41</v>
      </c>
      <c r="J349" s="35" t="s">
        <v>40</v>
      </c>
      <c r="K349" s="35" t="s">
        <v>35</v>
      </c>
      <c r="L349" s="35" t="s">
        <v>2132</v>
      </c>
      <c r="M349" s="39">
        <v>1.0</v>
      </c>
      <c r="N349" s="66">
        <v>46163.0</v>
      </c>
      <c r="O349" s="42" t="b">
        <v>1</v>
      </c>
      <c r="P349" s="44">
        <v>46168.0</v>
      </c>
      <c r="Q349" s="34"/>
      <c r="R349" s="34"/>
      <c r="S349" s="34"/>
      <c r="T349" s="34"/>
    </row>
    <row r="350" ht="15.75" customHeight="1">
      <c r="B350" s="33">
        <v>46162.0</v>
      </c>
      <c r="C350" s="35">
        <v>760385.0</v>
      </c>
      <c r="D350" s="35">
        <v>200.0</v>
      </c>
      <c r="E350" s="37">
        <v>63.9527</v>
      </c>
      <c r="F350" s="38">
        <f t="shared" si="1"/>
        <v>12790.54</v>
      </c>
      <c r="G350" s="35" t="s">
        <v>2138</v>
      </c>
      <c r="H350" s="35" t="s">
        <v>35</v>
      </c>
      <c r="I350" s="35" t="s">
        <v>41</v>
      </c>
      <c r="J350" s="35" t="s">
        <v>40</v>
      </c>
      <c r="K350" s="35" t="s">
        <v>35</v>
      </c>
      <c r="L350" s="35" t="s">
        <v>2132</v>
      </c>
      <c r="M350" s="39">
        <v>1.0</v>
      </c>
      <c r="N350" s="66">
        <v>46163.0</v>
      </c>
      <c r="O350" s="42" t="b">
        <v>1</v>
      </c>
      <c r="P350" s="44">
        <v>46168.0</v>
      </c>
      <c r="Q350" s="34"/>
      <c r="R350" s="34"/>
      <c r="S350" s="34"/>
      <c r="T350" s="34"/>
    </row>
    <row r="351" ht="15.75" customHeight="1">
      <c r="B351" s="33">
        <v>46162.0</v>
      </c>
      <c r="C351" s="46" t="s">
        <v>2140</v>
      </c>
      <c r="D351" s="35">
        <v>100.0</v>
      </c>
      <c r="E351" s="37">
        <v>20.0</v>
      </c>
      <c r="F351" s="38">
        <f t="shared" si="1"/>
        <v>2000</v>
      </c>
      <c r="G351" s="35" t="s">
        <v>1248</v>
      </c>
      <c r="H351" s="35" t="s">
        <v>1249</v>
      </c>
      <c r="I351" s="35" t="s">
        <v>41</v>
      </c>
      <c r="J351" s="35" t="s">
        <v>34</v>
      </c>
      <c r="K351" s="35" t="s">
        <v>35</v>
      </c>
      <c r="L351" s="35" t="s">
        <v>1250</v>
      </c>
      <c r="M351" s="39">
        <v>31.0</v>
      </c>
      <c r="N351" s="41">
        <v>46164.0</v>
      </c>
      <c r="O351" s="42" t="b">
        <v>1</v>
      </c>
      <c r="P351" s="44">
        <v>46168.0</v>
      </c>
      <c r="Q351" s="34"/>
      <c r="R351" s="34"/>
      <c r="S351" s="34"/>
      <c r="T351" s="34"/>
    </row>
    <row r="352" ht="15.75" customHeight="1">
      <c r="B352" s="33">
        <v>46162.0</v>
      </c>
      <c r="C352" s="35">
        <v>14119.0</v>
      </c>
      <c r="D352" s="35">
        <v>10000.0</v>
      </c>
      <c r="E352" s="37">
        <v>2.5144</v>
      </c>
      <c r="F352" s="38">
        <f t="shared" si="1"/>
        <v>25144</v>
      </c>
      <c r="G352" s="35" t="s">
        <v>2142</v>
      </c>
      <c r="H352" s="35" t="s">
        <v>1964</v>
      </c>
      <c r="I352" s="35" t="s">
        <v>39</v>
      </c>
      <c r="J352" s="35" t="s">
        <v>40</v>
      </c>
      <c r="K352" s="35" t="s">
        <v>35</v>
      </c>
      <c r="L352" s="35" t="s">
        <v>1965</v>
      </c>
      <c r="M352" s="39">
        <v>1.0</v>
      </c>
      <c r="N352" s="41">
        <v>46164.0</v>
      </c>
      <c r="O352" s="42" t="b">
        <v>0</v>
      </c>
      <c r="P352" s="45"/>
      <c r="Q352" s="34"/>
      <c r="R352" s="34"/>
      <c r="S352" s="34"/>
      <c r="T352" s="34"/>
    </row>
    <row r="353" ht="15.75" customHeight="1">
      <c r="B353" s="33">
        <v>46162.0</v>
      </c>
      <c r="C353" s="35">
        <v>14120.0</v>
      </c>
      <c r="D353" s="35">
        <v>15860.0</v>
      </c>
      <c r="E353" s="37">
        <v>1.5308</v>
      </c>
      <c r="F353" s="38">
        <f t="shared" si="1"/>
        <v>24278.488</v>
      </c>
      <c r="G353" s="35" t="s">
        <v>2147</v>
      </c>
      <c r="H353" s="35" t="s">
        <v>1964</v>
      </c>
      <c r="I353" s="35" t="s">
        <v>39</v>
      </c>
      <c r="J353" s="35" t="s">
        <v>40</v>
      </c>
      <c r="K353" s="35" t="s">
        <v>35</v>
      </c>
      <c r="L353" s="35" t="s">
        <v>1965</v>
      </c>
      <c r="M353" s="39">
        <v>1.0</v>
      </c>
      <c r="N353" s="41">
        <v>46163.0</v>
      </c>
      <c r="O353" s="42" t="b">
        <v>0</v>
      </c>
      <c r="P353" s="45"/>
      <c r="Q353" s="34"/>
      <c r="R353" s="34"/>
      <c r="S353" s="34"/>
      <c r="T353" s="34"/>
    </row>
    <row r="354" ht="15.75" customHeight="1">
      <c r="B354" s="33">
        <v>46162.0</v>
      </c>
      <c r="C354" s="35">
        <v>14117.0</v>
      </c>
      <c r="D354" s="35">
        <v>5000.0</v>
      </c>
      <c r="E354" s="37">
        <v>2.5144</v>
      </c>
      <c r="F354" s="38">
        <f t="shared" si="1"/>
        <v>12572</v>
      </c>
      <c r="G354" s="35" t="s">
        <v>1970</v>
      </c>
      <c r="H354" s="35" t="s">
        <v>1964</v>
      </c>
      <c r="I354" s="35" t="s">
        <v>39</v>
      </c>
      <c r="J354" s="35" t="s">
        <v>40</v>
      </c>
      <c r="K354" s="35" t="s">
        <v>35</v>
      </c>
      <c r="L354" s="35" t="s">
        <v>1965</v>
      </c>
      <c r="M354" s="39">
        <v>1.0</v>
      </c>
      <c r="N354" s="41">
        <v>46164.0</v>
      </c>
      <c r="O354" s="42" t="b">
        <v>0</v>
      </c>
      <c r="P354" s="45"/>
      <c r="Q354" s="34"/>
      <c r="R354" s="34"/>
      <c r="S354" s="34"/>
      <c r="T354" s="34"/>
    </row>
    <row r="355" ht="15.75" customHeight="1">
      <c r="B355" s="33">
        <v>46162.0</v>
      </c>
      <c r="C355" s="35" t="s">
        <v>35</v>
      </c>
      <c r="D355" s="35">
        <v>127.0</v>
      </c>
      <c r="E355" s="37">
        <v>390.0</v>
      </c>
      <c r="F355" s="38">
        <f t="shared" si="1"/>
        <v>49530</v>
      </c>
      <c r="G355" s="35" t="s">
        <v>2155</v>
      </c>
      <c r="H355" s="35" t="s">
        <v>35</v>
      </c>
      <c r="I355" s="35" t="s">
        <v>240</v>
      </c>
      <c r="J355" s="35" t="s">
        <v>34</v>
      </c>
      <c r="K355" s="35" t="s">
        <v>35</v>
      </c>
      <c r="L355" s="35" t="s">
        <v>585</v>
      </c>
      <c r="M355" s="39">
        <v>31.0</v>
      </c>
      <c r="N355" s="40">
        <v>46164.0</v>
      </c>
      <c r="O355" s="42" t="b">
        <v>1</v>
      </c>
      <c r="P355" s="44">
        <v>46167.0</v>
      </c>
      <c r="Q355" s="34"/>
      <c r="R355" s="34"/>
      <c r="S355" s="34"/>
      <c r="T355" s="34"/>
    </row>
    <row r="356" ht="15.75" customHeight="1">
      <c r="B356" s="33">
        <v>46162.0</v>
      </c>
      <c r="C356" s="35">
        <v>918577.0</v>
      </c>
      <c r="D356" s="35">
        <v>300.0</v>
      </c>
      <c r="E356" s="37">
        <v>149.9</v>
      </c>
      <c r="F356" s="38">
        <f t="shared" si="1"/>
        <v>44970</v>
      </c>
      <c r="G356" s="35" t="s">
        <v>901</v>
      </c>
      <c r="H356" s="35">
        <v>61152.0</v>
      </c>
      <c r="I356" s="35" t="s">
        <v>41</v>
      </c>
      <c r="J356" s="35" t="s">
        <v>34</v>
      </c>
      <c r="K356" s="35" t="s">
        <v>35</v>
      </c>
      <c r="L356" s="35" t="s">
        <v>74</v>
      </c>
      <c r="M356" s="39">
        <v>31.0</v>
      </c>
      <c r="N356" s="41">
        <v>46162.0</v>
      </c>
      <c r="O356" s="42" t="b">
        <v>0</v>
      </c>
      <c r="P356" s="36"/>
      <c r="Q356" s="34"/>
      <c r="R356" s="34"/>
      <c r="S356" s="34"/>
      <c r="T356" s="34"/>
    </row>
    <row r="357" ht="15.75" customHeight="1">
      <c r="B357" s="33">
        <v>46163.0</v>
      </c>
      <c r="C357" s="35">
        <v>310.0</v>
      </c>
      <c r="D357" s="35">
        <v>100.0</v>
      </c>
      <c r="E357" s="37">
        <v>250.0</v>
      </c>
      <c r="F357" s="38">
        <f t="shared" si="1"/>
        <v>25000</v>
      </c>
      <c r="G357" s="35" t="s">
        <v>1136</v>
      </c>
      <c r="H357" s="35">
        <v>115.0</v>
      </c>
      <c r="I357" s="35" t="s">
        <v>32</v>
      </c>
      <c r="J357" s="35" t="s">
        <v>34</v>
      </c>
      <c r="K357" s="35" t="s">
        <v>35</v>
      </c>
      <c r="L357" s="35" t="s">
        <v>515</v>
      </c>
      <c r="M357" s="39">
        <v>31.0</v>
      </c>
      <c r="N357" s="41">
        <v>46167.0</v>
      </c>
      <c r="O357" s="42" t="b">
        <v>1</v>
      </c>
      <c r="P357" s="44">
        <v>46168.0</v>
      </c>
      <c r="Q357" s="34"/>
      <c r="R357" s="34"/>
      <c r="S357" s="34"/>
      <c r="T357" s="35"/>
    </row>
    <row r="358" ht="15.75" customHeight="1">
      <c r="B358" s="33">
        <v>46163.0</v>
      </c>
      <c r="C358" s="35">
        <v>1030.0</v>
      </c>
      <c r="D358" s="35">
        <v>150.0</v>
      </c>
      <c r="E358" s="37">
        <v>180.0</v>
      </c>
      <c r="F358" s="38">
        <f t="shared" si="1"/>
        <v>27000</v>
      </c>
      <c r="G358" s="35" t="s">
        <v>1130</v>
      </c>
      <c r="H358" s="35" t="s">
        <v>1131</v>
      </c>
      <c r="I358" s="35" t="s">
        <v>41</v>
      </c>
      <c r="J358" s="35" t="s">
        <v>40</v>
      </c>
      <c r="K358" s="35" t="s">
        <v>35</v>
      </c>
      <c r="L358" s="35" t="s">
        <v>132</v>
      </c>
      <c r="M358" s="39">
        <v>31.0</v>
      </c>
      <c r="N358" s="40">
        <v>46163.0</v>
      </c>
      <c r="O358" s="42" t="b">
        <v>0</v>
      </c>
      <c r="P358" s="45"/>
      <c r="Q358" s="34"/>
      <c r="R358" s="34"/>
      <c r="S358" s="34"/>
      <c r="T358" s="34"/>
    </row>
    <row r="359" ht="15.75" customHeight="1">
      <c r="B359" s="33">
        <v>46163.0</v>
      </c>
      <c r="C359" s="46" t="s">
        <v>2160</v>
      </c>
      <c r="D359" s="35">
        <v>40.0</v>
      </c>
      <c r="E359" s="37">
        <v>300.0</v>
      </c>
      <c r="F359" s="38">
        <f t="shared" si="1"/>
        <v>12000</v>
      </c>
      <c r="G359" s="35" t="s">
        <v>1157</v>
      </c>
      <c r="H359" s="35" t="s">
        <v>1158</v>
      </c>
      <c r="I359" s="35" t="s">
        <v>41</v>
      </c>
      <c r="J359" s="35" t="s">
        <v>34</v>
      </c>
      <c r="K359" s="35" t="s">
        <v>35</v>
      </c>
      <c r="L359" s="35" t="s">
        <v>87</v>
      </c>
      <c r="M359" s="39">
        <v>31.0</v>
      </c>
      <c r="N359" s="40">
        <v>46164.0</v>
      </c>
      <c r="O359" s="42" t="b">
        <v>1</v>
      </c>
      <c r="P359" s="44">
        <v>46167.0</v>
      </c>
      <c r="Q359" s="34"/>
      <c r="R359" s="34"/>
      <c r="S359" s="34"/>
      <c r="T359" s="34"/>
    </row>
    <row r="360" ht="15.75" customHeight="1">
      <c r="B360" s="33">
        <v>46163.0</v>
      </c>
      <c r="C360" s="46" t="s">
        <v>2160</v>
      </c>
      <c r="D360" s="35">
        <v>60.0</v>
      </c>
      <c r="E360" s="37">
        <v>300.0</v>
      </c>
      <c r="F360" s="38">
        <f t="shared" si="1"/>
        <v>18000</v>
      </c>
      <c r="G360" s="35" t="s">
        <v>1157</v>
      </c>
      <c r="H360" s="35" t="s">
        <v>1158</v>
      </c>
      <c r="I360" s="35" t="s">
        <v>41</v>
      </c>
      <c r="J360" s="35" t="s">
        <v>40</v>
      </c>
      <c r="K360" s="35" t="s">
        <v>35</v>
      </c>
      <c r="L360" s="35" t="s">
        <v>87</v>
      </c>
      <c r="M360" s="39">
        <v>31.0</v>
      </c>
      <c r="N360" s="40">
        <v>46164.0</v>
      </c>
      <c r="O360" s="42" t="b">
        <v>1</v>
      </c>
      <c r="P360" s="44">
        <v>46167.0</v>
      </c>
      <c r="Q360" s="34"/>
      <c r="R360" s="34"/>
      <c r="S360" s="34"/>
      <c r="T360" s="34"/>
    </row>
    <row r="361" ht="15.75" customHeight="1">
      <c r="B361" s="33">
        <v>46163.0</v>
      </c>
      <c r="C361" s="35">
        <v>12262.0</v>
      </c>
      <c r="D361" s="35">
        <v>800.0</v>
      </c>
      <c r="E361" s="37">
        <v>7.2</v>
      </c>
      <c r="F361" s="38">
        <f t="shared" si="1"/>
        <v>5760</v>
      </c>
      <c r="G361" s="35" t="s">
        <v>2163</v>
      </c>
      <c r="H361" s="35" t="s">
        <v>2164</v>
      </c>
      <c r="I361" s="35" t="s">
        <v>32</v>
      </c>
      <c r="J361" s="35" t="s">
        <v>34</v>
      </c>
      <c r="K361" s="35" t="s">
        <v>35</v>
      </c>
      <c r="L361" s="35" t="s">
        <v>279</v>
      </c>
      <c r="M361" s="39">
        <v>1.0</v>
      </c>
      <c r="N361" s="40">
        <v>46163.0</v>
      </c>
      <c r="O361" s="42" t="b">
        <v>1</v>
      </c>
      <c r="P361" s="44">
        <v>46167.0</v>
      </c>
      <c r="Q361" s="34"/>
      <c r="R361" s="34"/>
      <c r="S361" s="34"/>
      <c r="T361" s="34"/>
    </row>
    <row r="362" ht="15.75" customHeight="1">
      <c r="B362" s="33">
        <v>46163.0</v>
      </c>
      <c r="C362" s="35">
        <v>692.0</v>
      </c>
      <c r="D362" s="35">
        <v>200.0</v>
      </c>
      <c r="E362" s="37">
        <v>78.0</v>
      </c>
      <c r="F362" s="38">
        <f t="shared" si="1"/>
        <v>15600</v>
      </c>
      <c r="G362" s="35" t="s">
        <v>2168</v>
      </c>
      <c r="H362" s="35" t="s">
        <v>2169</v>
      </c>
      <c r="I362" s="35" t="s">
        <v>77</v>
      </c>
      <c r="J362" s="35" t="s">
        <v>79</v>
      </c>
      <c r="K362" s="35" t="s">
        <v>35</v>
      </c>
      <c r="L362" s="35" t="s">
        <v>140</v>
      </c>
      <c r="M362" s="39">
        <v>31.0</v>
      </c>
      <c r="N362" s="41">
        <v>46168.0</v>
      </c>
      <c r="O362" s="42" t="b">
        <v>1</v>
      </c>
      <c r="P362" s="36"/>
      <c r="Q362" s="34"/>
      <c r="R362" s="34"/>
      <c r="S362" s="34"/>
      <c r="T362" s="34"/>
    </row>
    <row r="363" ht="15.75" customHeight="1">
      <c r="B363" s="33">
        <v>46163.0</v>
      </c>
      <c r="C363" s="58">
        <v>790615.0</v>
      </c>
      <c r="D363" s="35">
        <v>10000.0</v>
      </c>
      <c r="E363" s="37">
        <v>7.2951</v>
      </c>
      <c r="F363" s="38">
        <f t="shared" si="1"/>
        <v>72951</v>
      </c>
      <c r="G363" s="35" t="s">
        <v>2170</v>
      </c>
      <c r="H363" s="35" t="s">
        <v>2171</v>
      </c>
      <c r="I363" s="35" t="s">
        <v>41</v>
      </c>
      <c r="J363" s="35" t="s">
        <v>40</v>
      </c>
      <c r="K363" s="35" t="s">
        <v>35</v>
      </c>
      <c r="L363" s="35" t="s">
        <v>68</v>
      </c>
      <c r="M363" s="39">
        <v>31.0</v>
      </c>
      <c r="N363" s="41">
        <v>46181.0</v>
      </c>
      <c r="O363" s="42" t="b">
        <v>1</v>
      </c>
      <c r="P363" s="44">
        <v>46183.0</v>
      </c>
      <c r="Q363" s="34"/>
      <c r="R363" s="34"/>
      <c r="S363" s="34"/>
      <c r="T363" s="34"/>
    </row>
    <row r="364" ht="15.75" customHeight="1">
      <c r="B364" s="33">
        <v>46163.0</v>
      </c>
      <c r="C364" s="58">
        <v>790621.0</v>
      </c>
      <c r="D364" s="35">
        <v>500.0</v>
      </c>
      <c r="E364" s="37">
        <v>199.571</v>
      </c>
      <c r="F364" s="38">
        <f t="shared" si="1"/>
        <v>99785.5</v>
      </c>
      <c r="G364" s="35" t="s">
        <v>2174</v>
      </c>
      <c r="H364" s="35" t="s">
        <v>830</v>
      </c>
      <c r="I364" s="35" t="s">
        <v>41</v>
      </c>
      <c r="J364" s="35" t="s">
        <v>40</v>
      </c>
      <c r="K364" s="35" t="s">
        <v>35</v>
      </c>
      <c r="L364" s="35" t="s">
        <v>68</v>
      </c>
      <c r="M364" s="39">
        <v>31.0</v>
      </c>
      <c r="N364" s="41">
        <v>46183.0</v>
      </c>
      <c r="O364" s="42" t="b">
        <v>1</v>
      </c>
      <c r="P364" s="44">
        <v>46184.0</v>
      </c>
      <c r="Q364" s="34"/>
      <c r="R364" s="34"/>
      <c r="S364" s="34"/>
      <c r="T364" s="34"/>
    </row>
    <row r="365" ht="15.75" customHeight="1">
      <c r="B365" s="33">
        <v>46163.0</v>
      </c>
      <c r="C365" s="58">
        <v>790621.0</v>
      </c>
      <c r="D365" s="35">
        <v>240.0</v>
      </c>
      <c r="E365" s="37">
        <v>223.245</v>
      </c>
      <c r="F365" s="38">
        <f t="shared" si="1"/>
        <v>53578.8</v>
      </c>
      <c r="G365" s="35" t="s">
        <v>2177</v>
      </c>
      <c r="H365" s="35" t="s">
        <v>2178</v>
      </c>
      <c r="I365" s="35" t="s">
        <v>41</v>
      </c>
      <c r="J365" s="35" t="s">
        <v>40</v>
      </c>
      <c r="K365" s="35" t="s">
        <v>35</v>
      </c>
      <c r="L365" s="35" t="s">
        <v>68</v>
      </c>
      <c r="M365" s="39">
        <v>31.0</v>
      </c>
      <c r="N365" s="41">
        <v>46183.0</v>
      </c>
      <c r="O365" s="42" t="b">
        <v>1</v>
      </c>
      <c r="P365" s="44">
        <v>46184.0</v>
      </c>
      <c r="Q365" s="34"/>
      <c r="R365" s="34"/>
      <c r="S365" s="34"/>
      <c r="T365" s="34"/>
    </row>
    <row r="366" ht="15.75" customHeight="1">
      <c r="B366" s="33">
        <v>46164.0</v>
      </c>
      <c r="C366" s="46" t="s">
        <v>2179</v>
      </c>
      <c r="D366" s="35">
        <v>800.0</v>
      </c>
      <c r="E366" s="37">
        <v>42.0</v>
      </c>
      <c r="F366" s="38">
        <f t="shared" si="1"/>
        <v>33600</v>
      </c>
      <c r="G366" s="35" t="s">
        <v>1817</v>
      </c>
      <c r="H366" s="35" t="s">
        <v>1818</v>
      </c>
      <c r="I366" s="35" t="s">
        <v>32</v>
      </c>
      <c r="J366" s="35" t="s">
        <v>34</v>
      </c>
      <c r="K366" s="35" t="s">
        <v>35</v>
      </c>
      <c r="L366" s="35" t="s">
        <v>87</v>
      </c>
      <c r="M366" s="39">
        <v>31.0</v>
      </c>
      <c r="N366" s="41">
        <v>46164.0</v>
      </c>
      <c r="O366" s="42" t="b">
        <v>1</v>
      </c>
      <c r="P366" s="44">
        <v>46167.0</v>
      </c>
      <c r="Q366" s="34"/>
      <c r="R366" s="34"/>
      <c r="S366" s="34"/>
      <c r="T366" s="34"/>
    </row>
    <row r="367" ht="15.75" customHeight="1">
      <c r="B367" s="33">
        <v>46164.0</v>
      </c>
      <c r="C367" s="46" t="s">
        <v>2179</v>
      </c>
      <c r="D367" s="35">
        <v>200.0</v>
      </c>
      <c r="E367" s="37">
        <v>42.0</v>
      </c>
      <c r="F367" s="38">
        <f t="shared" si="1"/>
        <v>8400</v>
      </c>
      <c r="G367" s="35" t="s">
        <v>1817</v>
      </c>
      <c r="H367" s="35" t="s">
        <v>1818</v>
      </c>
      <c r="I367" s="35" t="s">
        <v>41</v>
      </c>
      <c r="J367" s="35" t="s">
        <v>34</v>
      </c>
      <c r="K367" s="35" t="s">
        <v>35</v>
      </c>
      <c r="L367" s="35" t="s">
        <v>87</v>
      </c>
      <c r="M367" s="39">
        <v>31.0</v>
      </c>
      <c r="N367" s="41">
        <v>46164.0</v>
      </c>
      <c r="O367" s="42" t="b">
        <v>1</v>
      </c>
      <c r="P367" s="44">
        <v>46167.0</v>
      </c>
      <c r="Q367" s="34"/>
      <c r="R367" s="34"/>
      <c r="S367" s="34"/>
      <c r="T367" s="35"/>
    </row>
    <row r="368" ht="15.75" customHeight="1">
      <c r="B368" s="33">
        <v>46164.0</v>
      </c>
      <c r="C368" s="35">
        <v>17220.0</v>
      </c>
      <c r="D368" s="35">
        <v>5.0</v>
      </c>
      <c r="E368" s="37">
        <v>229.9</v>
      </c>
      <c r="F368" s="38">
        <f t="shared" si="1"/>
        <v>1149.5</v>
      </c>
      <c r="G368" s="35" t="s">
        <v>471</v>
      </c>
      <c r="H368" s="35" t="s">
        <v>472</v>
      </c>
      <c r="I368" s="35" t="s">
        <v>41</v>
      </c>
      <c r="J368" s="35" t="s">
        <v>34</v>
      </c>
      <c r="K368" s="35" t="s">
        <v>35</v>
      </c>
      <c r="L368" s="35" t="s">
        <v>96</v>
      </c>
      <c r="M368" s="39">
        <v>31.0</v>
      </c>
      <c r="N368" s="41">
        <v>46168.0</v>
      </c>
      <c r="O368" s="42" t="b">
        <v>1</v>
      </c>
      <c r="P368" s="44">
        <v>46167.0</v>
      </c>
      <c r="Q368" s="34"/>
      <c r="R368" s="34"/>
      <c r="S368" s="34"/>
      <c r="T368" s="34"/>
    </row>
    <row r="369" ht="15.75" customHeight="1">
      <c r="B369" s="33">
        <v>46164.0</v>
      </c>
      <c r="C369" s="35">
        <v>17220.0</v>
      </c>
      <c r="D369" s="35">
        <v>20.0</v>
      </c>
      <c r="E369" s="37">
        <v>17.9</v>
      </c>
      <c r="F369" s="38">
        <f t="shared" si="1"/>
        <v>358</v>
      </c>
      <c r="G369" s="35" t="s">
        <v>1665</v>
      </c>
      <c r="H369" s="35" t="s">
        <v>828</v>
      </c>
      <c r="I369" s="35" t="s">
        <v>41</v>
      </c>
      <c r="J369" s="35" t="s">
        <v>34</v>
      </c>
      <c r="K369" s="35" t="s">
        <v>35</v>
      </c>
      <c r="L369" s="35" t="s">
        <v>96</v>
      </c>
      <c r="M369" s="39">
        <v>31.0</v>
      </c>
      <c r="N369" s="41">
        <v>46168.0</v>
      </c>
      <c r="O369" s="42" t="b">
        <v>1</v>
      </c>
      <c r="P369" s="44">
        <v>46167.0</v>
      </c>
      <c r="Q369" s="34"/>
      <c r="R369" s="34"/>
      <c r="S369" s="34"/>
      <c r="T369" s="34"/>
    </row>
    <row r="370" ht="15.75" customHeight="1">
      <c r="B370" s="33">
        <v>46164.0</v>
      </c>
      <c r="C370" s="35">
        <v>17220.0</v>
      </c>
      <c r="D370" s="35">
        <v>12.0</v>
      </c>
      <c r="E370" s="37">
        <v>329.9</v>
      </c>
      <c r="F370" s="38">
        <f t="shared" si="1"/>
        <v>3958.8</v>
      </c>
      <c r="G370" s="35" t="s">
        <v>2186</v>
      </c>
      <c r="H370" s="35" t="s">
        <v>2187</v>
      </c>
      <c r="I370" s="35" t="s">
        <v>41</v>
      </c>
      <c r="J370" s="35" t="s">
        <v>34</v>
      </c>
      <c r="K370" s="35" t="s">
        <v>35</v>
      </c>
      <c r="L370" s="35" t="s">
        <v>96</v>
      </c>
      <c r="M370" s="39">
        <v>31.0</v>
      </c>
      <c r="N370" s="41">
        <v>46168.0</v>
      </c>
      <c r="O370" s="42" t="b">
        <v>1</v>
      </c>
      <c r="P370" s="44">
        <v>46167.0</v>
      </c>
      <c r="Q370" s="34"/>
      <c r="R370" s="34"/>
      <c r="S370" s="34"/>
      <c r="T370" s="34"/>
    </row>
    <row r="371" ht="15.75" customHeight="1">
      <c r="B371" s="33">
        <v>46164.0</v>
      </c>
      <c r="C371" s="35">
        <v>17220.0</v>
      </c>
      <c r="D371" s="35">
        <v>10.0</v>
      </c>
      <c r="E371" s="37">
        <v>89.9</v>
      </c>
      <c r="F371" s="38">
        <f t="shared" si="1"/>
        <v>899</v>
      </c>
      <c r="G371" s="35" t="s">
        <v>2191</v>
      </c>
      <c r="H371" s="35" t="s">
        <v>2192</v>
      </c>
      <c r="I371" s="35" t="s">
        <v>41</v>
      </c>
      <c r="J371" s="35" t="s">
        <v>34</v>
      </c>
      <c r="K371" s="35" t="s">
        <v>35</v>
      </c>
      <c r="L371" s="35" t="s">
        <v>96</v>
      </c>
      <c r="M371" s="39">
        <v>31.0</v>
      </c>
      <c r="N371" s="41">
        <v>46168.0</v>
      </c>
      <c r="O371" s="42" t="b">
        <v>1</v>
      </c>
      <c r="P371" s="44">
        <v>46167.0</v>
      </c>
      <c r="Q371" s="34"/>
      <c r="R371" s="34"/>
      <c r="S371" s="34"/>
      <c r="T371" s="34"/>
    </row>
    <row r="372" ht="15.75" customHeight="1">
      <c r="B372" s="33">
        <v>46164.0</v>
      </c>
      <c r="C372" s="35">
        <v>17220.0</v>
      </c>
      <c r="D372" s="35">
        <v>12.0</v>
      </c>
      <c r="E372" s="37">
        <v>139.9</v>
      </c>
      <c r="F372" s="38">
        <f t="shared" si="1"/>
        <v>1678.8</v>
      </c>
      <c r="G372" s="35" t="s">
        <v>540</v>
      </c>
      <c r="H372" s="35" t="s">
        <v>541</v>
      </c>
      <c r="I372" s="35" t="s">
        <v>41</v>
      </c>
      <c r="J372" s="35" t="s">
        <v>34</v>
      </c>
      <c r="K372" s="35" t="s">
        <v>35</v>
      </c>
      <c r="L372" s="35" t="s">
        <v>96</v>
      </c>
      <c r="M372" s="39">
        <v>31.0</v>
      </c>
      <c r="N372" s="41">
        <v>46168.0</v>
      </c>
      <c r="O372" s="42" t="b">
        <v>1</v>
      </c>
      <c r="P372" s="44">
        <v>46167.0</v>
      </c>
      <c r="Q372" s="34"/>
      <c r="R372" s="34"/>
      <c r="S372" s="34"/>
      <c r="T372" s="34"/>
    </row>
    <row r="373" ht="15.75" customHeight="1">
      <c r="B373" s="33">
        <v>46164.0</v>
      </c>
      <c r="C373" s="35">
        <v>17220.0</v>
      </c>
      <c r="D373" s="35">
        <v>10.0</v>
      </c>
      <c r="E373" s="37">
        <v>109.9</v>
      </c>
      <c r="F373" s="38">
        <f t="shared" si="1"/>
        <v>1099</v>
      </c>
      <c r="G373" s="35" t="s">
        <v>2202</v>
      </c>
      <c r="H373" s="35" t="s">
        <v>2203</v>
      </c>
      <c r="I373" s="35" t="s">
        <v>41</v>
      </c>
      <c r="J373" s="35" t="s">
        <v>34</v>
      </c>
      <c r="K373" s="35" t="s">
        <v>35</v>
      </c>
      <c r="L373" s="35" t="s">
        <v>96</v>
      </c>
      <c r="M373" s="39">
        <v>31.0</v>
      </c>
      <c r="N373" s="41">
        <v>46168.0</v>
      </c>
      <c r="O373" s="42" t="b">
        <v>1</v>
      </c>
      <c r="P373" s="44">
        <v>46167.0</v>
      </c>
      <c r="Q373" s="34"/>
      <c r="R373" s="34"/>
      <c r="S373" s="34"/>
      <c r="T373" s="34"/>
    </row>
    <row r="374" ht="15.75" customHeight="1">
      <c r="B374" s="33">
        <v>46164.0</v>
      </c>
      <c r="C374" s="46" t="s">
        <v>2206</v>
      </c>
      <c r="D374" s="35">
        <v>120.0</v>
      </c>
      <c r="E374" s="37">
        <v>24.3</v>
      </c>
      <c r="F374" s="38">
        <f t="shared" si="1"/>
        <v>2916</v>
      </c>
      <c r="G374" s="35" t="s">
        <v>2208</v>
      </c>
      <c r="H374" s="35" t="s">
        <v>2209</v>
      </c>
      <c r="I374" s="35" t="s">
        <v>41</v>
      </c>
      <c r="J374" s="35" t="s">
        <v>34</v>
      </c>
      <c r="K374" s="35" t="s">
        <v>35</v>
      </c>
      <c r="L374" s="35" t="s">
        <v>241</v>
      </c>
      <c r="M374" s="39">
        <v>31.0</v>
      </c>
      <c r="N374" s="41">
        <v>46164.0</v>
      </c>
      <c r="O374" s="42" t="b">
        <v>1</v>
      </c>
      <c r="P374" s="44">
        <v>46168.0</v>
      </c>
      <c r="Q374" s="34"/>
      <c r="R374" s="34"/>
      <c r="S374" s="34"/>
      <c r="T374" s="34"/>
    </row>
    <row r="375" ht="15.75" customHeight="1">
      <c r="B375" s="33">
        <v>46164.0</v>
      </c>
      <c r="C375" s="35">
        <v>16740.0</v>
      </c>
      <c r="D375" s="35">
        <v>50.0</v>
      </c>
      <c r="E375" s="37">
        <v>12.555</v>
      </c>
      <c r="F375" s="38">
        <f t="shared" si="1"/>
        <v>627.75</v>
      </c>
      <c r="G375" s="35" t="s">
        <v>1753</v>
      </c>
      <c r="H375" s="35" t="s">
        <v>1754</v>
      </c>
      <c r="I375" s="35" t="s">
        <v>41</v>
      </c>
      <c r="J375" s="35" t="s">
        <v>34</v>
      </c>
      <c r="K375" s="35" t="s">
        <v>35</v>
      </c>
      <c r="L375" s="35" t="s">
        <v>210</v>
      </c>
      <c r="M375" s="39">
        <v>1.0</v>
      </c>
      <c r="N375" s="41">
        <v>46168.0</v>
      </c>
      <c r="O375" s="42" t="b">
        <v>1</v>
      </c>
      <c r="P375" s="44">
        <v>46170.0</v>
      </c>
      <c r="Q375" s="34"/>
      <c r="R375" s="34"/>
      <c r="S375" s="34"/>
      <c r="T375" s="34"/>
    </row>
    <row r="376" ht="15.75" customHeight="1">
      <c r="B376" s="33">
        <v>46164.0</v>
      </c>
      <c r="C376" s="35">
        <v>16740.0</v>
      </c>
      <c r="D376" s="35">
        <v>50.0</v>
      </c>
      <c r="E376" s="37">
        <v>17.205</v>
      </c>
      <c r="F376" s="38">
        <f t="shared" si="1"/>
        <v>860.25</v>
      </c>
      <c r="G376" s="35" t="s">
        <v>973</v>
      </c>
      <c r="H376" s="35" t="s">
        <v>974</v>
      </c>
      <c r="I376" s="35" t="s">
        <v>41</v>
      </c>
      <c r="J376" s="35" t="s">
        <v>34</v>
      </c>
      <c r="K376" s="35" t="s">
        <v>35</v>
      </c>
      <c r="L376" s="35" t="s">
        <v>210</v>
      </c>
      <c r="M376" s="39">
        <v>1.0</v>
      </c>
      <c r="N376" s="41">
        <v>46168.0</v>
      </c>
      <c r="O376" s="42" t="b">
        <v>1</v>
      </c>
      <c r="P376" s="44">
        <v>46170.0</v>
      </c>
      <c r="Q376" s="34"/>
      <c r="R376" s="34"/>
      <c r="S376" s="34"/>
      <c r="T376" s="34"/>
    </row>
    <row r="377" ht="15.75" customHeight="1">
      <c r="B377" s="33">
        <v>46164.0</v>
      </c>
      <c r="C377" s="35">
        <v>16740.0</v>
      </c>
      <c r="D377" s="35">
        <v>32.0</v>
      </c>
      <c r="E377" s="37">
        <v>23.994</v>
      </c>
      <c r="F377" s="38">
        <f t="shared" si="1"/>
        <v>767.808</v>
      </c>
      <c r="G377" s="35" t="s">
        <v>1669</v>
      </c>
      <c r="H377" s="35" t="s">
        <v>1671</v>
      </c>
      <c r="I377" s="35" t="s">
        <v>41</v>
      </c>
      <c r="J377" s="35" t="s">
        <v>34</v>
      </c>
      <c r="K377" s="35" t="s">
        <v>35</v>
      </c>
      <c r="L377" s="35" t="s">
        <v>210</v>
      </c>
      <c r="M377" s="39">
        <v>1.0</v>
      </c>
      <c r="N377" s="41">
        <v>46168.0</v>
      </c>
      <c r="O377" s="42" t="b">
        <v>1</v>
      </c>
      <c r="P377" s="44">
        <v>46170.0</v>
      </c>
      <c r="Q377" s="34"/>
      <c r="R377" s="34"/>
      <c r="S377" s="34"/>
      <c r="T377" s="34"/>
    </row>
    <row r="378" ht="15.75" customHeight="1">
      <c r="B378" s="33">
        <v>46164.0</v>
      </c>
      <c r="C378" s="35">
        <v>16740.0</v>
      </c>
      <c r="D378" s="35">
        <v>50.0</v>
      </c>
      <c r="E378" s="37">
        <v>15.81</v>
      </c>
      <c r="F378" s="38">
        <f t="shared" si="1"/>
        <v>790.5</v>
      </c>
      <c r="G378" s="35" t="s">
        <v>2222</v>
      </c>
      <c r="H378" s="35" t="s">
        <v>2223</v>
      </c>
      <c r="I378" s="35" t="s">
        <v>41</v>
      </c>
      <c r="J378" s="35" t="s">
        <v>34</v>
      </c>
      <c r="K378" s="35" t="s">
        <v>35</v>
      </c>
      <c r="L378" s="35" t="s">
        <v>210</v>
      </c>
      <c r="M378" s="39">
        <v>1.0</v>
      </c>
      <c r="N378" s="41">
        <v>46168.0</v>
      </c>
      <c r="O378" s="42" t="b">
        <v>1</v>
      </c>
      <c r="P378" s="44">
        <v>46170.0</v>
      </c>
      <c r="Q378" s="34"/>
      <c r="R378" s="34"/>
      <c r="S378" s="34"/>
      <c r="T378" s="34"/>
    </row>
    <row r="379" ht="15.75" customHeight="1">
      <c r="B379" s="33">
        <v>46164.0</v>
      </c>
      <c r="C379" s="35">
        <v>16740.0</v>
      </c>
      <c r="D379" s="35">
        <v>50.0</v>
      </c>
      <c r="E379" s="37">
        <v>8.37</v>
      </c>
      <c r="F379" s="38">
        <f t="shared" si="1"/>
        <v>418.5</v>
      </c>
      <c r="G379" s="35" t="s">
        <v>1792</v>
      </c>
      <c r="H379" s="35" t="s">
        <v>1793</v>
      </c>
      <c r="I379" s="35" t="s">
        <v>41</v>
      </c>
      <c r="J379" s="35" t="s">
        <v>34</v>
      </c>
      <c r="K379" s="35" t="s">
        <v>35</v>
      </c>
      <c r="L379" s="35" t="s">
        <v>210</v>
      </c>
      <c r="M379" s="39">
        <v>1.0</v>
      </c>
      <c r="N379" s="41">
        <v>46168.0</v>
      </c>
      <c r="O379" s="42" t="b">
        <v>1</v>
      </c>
      <c r="P379" s="44">
        <v>46170.0</v>
      </c>
      <c r="Q379" s="34"/>
      <c r="R379" s="34"/>
      <c r="S379" s="34"/>
      <c r="T379" s="34"/>
    </row>
    <row r="380" ht="15.75" customHeight="1">
      <c r="B380" s="33">
        <v>46164.0</v>
      </c>
      <c r="C380" s="35">
        <v>16750.0</v>
      </c>
      <c r="D380" s="35">
        <v>600.0</v>
      </c>
      <c r="E380" s="37">
        <v>1.767</v>
      </c>
      <c r="F380" s="38">
        <f t="shared" si="1"/>
        <v>1060.2</v>
      </c>
      <c r="G380" s="35" t="s">
        <v>2229</v>
      </c>
      <c r="H380" s="35" t="s">
        <v>2231</v>
      </c>
      <c r="I380" s="35" t="s">
        <v>41</v>
      </c>
      <c r="J380" s="35" t="s">
        <v>34</v>
      </c>
      <c r="K380" s="35" t="s">
        <v>35</v>
      </c>
      <c r="L380" s="35" t="s">
        <v>719</v>
      </c>
      <c r="M380" s="39">
        <v>1.0</v>
      </c>
      <c r="N380" s="41">
        <v>46168.0</v>
      </c>
      <c r="O380" s="42" t="b">
        <v>1</v>
      </c>
      <c r="P380" s="44">
        <v>46170.0</v>
      </c>
      <c r="Q380" s="34"/>
      <c r="R380" s="34"/>
      <c r="S380" s="34"/>
      <c r="T380" s="34"/>
    </row>
    <row r="381" ht="15.75" customHeight="1">
      <c r="B381" s="33">
        <v>46167.0</v>
      </c>
      <c r="C381" s="46" t="s">
        <v>2233</v>
      </c>
      <c r="D381" s="35">
        <v>6.0</v>
      </c>
      <c r="E381" s="37">
        <v>81.0</v>
      </c>
      <c r="F381" s="38">
        <f t="shared" si="1"/>
        <v>486</v>
      </c>
      <c r="G381" s="35" t="s">
        <v>919</v>
      </c>
      <c r="H381" s="35" t="s">
        <v>2234</v>
      </c>
      <c r="I381" s="35" t="s">
        <v>41</v>
      </c>
      <c r="J381" s="35" t="s">
        <v>34</v>
      </c>
      <c r="K381" s="35" t="s">
        <v>35</v>
      </c>
      <c r="L381" s="35" t="s">
        <v>241</v>
      </c>
      <c r="M381" s="39">
        <v>1.0</v>
      </c>
      <c r="N381" s="41">
        <v>46168.0</v>
      </c>
      <c r="O381" s="42" t="b">
        <v>0</v>
      </c>
      <c r="P381" s="44">
        <v>46183.0</v>
      </c>
      <c r="Q381" s="34"/>
      <c r="R381" s="34"/>
      <c r="S381" s="34"/>
      <c r="T381" s="34"/>
    </row>
    <row r="382" ht="15.75" customHeight="1">
      <c r="B382" s="33">
        <v>46167.0</v>
      </c>
      <c r="C382" s="46" t="s">
        <v>2237</v>
      </c>
      <c r="D382" s="35">
        <v>10.0</v>
      </c>
      <c r="E382" s="37">
        <v>89.0</v>
      </c>
      <c r="F382" s="38">
        <f t="shared" si="1"/>
        <v>890</v>
      </c>
      <c r="G382" s="35" t="s">
        <v>2238</v>
      </c>
      <c r="H382" s="35" t="s">
        <v>1077</v>
      </c>
      <c r="I382" s="35" t="s">
        <v>2239</v>
      </c>
      <c r="J382" s="35" t="s">
        <v>40</v>
      </c>
      <c r="K382" s="35" t="s">
        <v>35</v>
      </c>
      <c r="L382" s="35" t="s">
        <v>340</v>
      </c>
      <c r="M382" s="39">
        <v>1.0</v>
      </c>
      <c r="N382" s="41">
        <v>46168.0</v>
      </c>
      <c r="O382" s="42" t="b">
        <v>1</v>
      </c>
      <c r="P382" s="44">
        <v>46170.0</v>
      </c>
      <c r="Q382" s="34"/>
      <c r="R382" s="34"/>
      <c r="S382" s="34"/>
      <c r="T382" s="35"/>
    </row>
    <row r="383" ht="15.75" customHeight="1">
      <c r="B383" s="33">
        <v>46167.0</v>
      </c>
      <c r="C383" s="46" t="s">
        <v>2242</v>
      </c>
      <c r="D383" s="35">
        <v>20.0</v>
      </c>
      <c r="E383" s="37">
        <v>250.0</v>
      </c>
      <c r="F383" s="38">
        <f t="shared" si="1"/>
        <v>5000</v>
      </c>
      <c r="G383" s="35" t="s">
        <v>171</v>
      </c>
      <c r="H383" s="35" t="s">
        <v>173</v>
      </c>
      <c r="I383" s="35" t="s">
        <v>41</v>
      </c>
      <c r="J383" s="35" t="s">
        <v>40</v>
      </c>
      <c r="K383" s="35" t="s">
        <v>35</v>
      </c>
      <c r="L383" s="35" t="s">
        <v>87</v>
      </c>
      <c r="M383" s="39">
        <v>31.0</v>
      </c>
      <c r="N383" s="41">
        <v>46168.0</v>
      </c>
      <c r="O383" s="42" t="b">
        <v>1</v>
      </c>
      <c r="P383" s="44">
        <v>46169.0</v>
      </c>
      <c r="Q383" s="34"/>
      <c r="R383" s="34"/>
      <c r="S383" s="34"/>
      <c r="T383" s="34"/>
    </row>
    <row r="384" ht="15.75" customHeight="1">
      <c r="B384" s="33">
        <v>46167.0</v>
      </c>
      <c r="C384" s="46" t="s">
        <v>2242</v>
      </c>
      <c r="D384" s="35">
        <v>20.0</v>
      </c>
      <c r="E384" s="37">
        <v>250.0</v>
      </c>
      <c r="F384" s="38">
        <f t="shared" si="1"/>
        <v>5000</v>
      </c>
      <c r="G384" s="35" t="s">
        <v>171</v>
      </c>
      <c r="H384" s="35" t="s">
        <v>173</v>
      </c>
      <c r="I384" s="35" t="s">
        <v>41</v>
      </c>
      <c r="J384" s="35" t="s">
        <v>34</v>
      </c>
      <c r="K384" s="35" t="s">
        <v>35</v>
      </c>
      <c r="L384" s="35" t="s">
        <v>87</v>
      </c>
      <c r="M384" s="39">
        <v>31.0</v>
      </c>
      <c r="N384" s="41">
        <v>46168.0</v>
      </c>
      <c r="O384" s="42" t="b">
        <v>1</v>
      </c>
      <c r="P384" s="44">
        <v>46169.0</v>
      </c>
      <c r="Q384" s="34"/>
      <c r="R384" s="34"/>
      <c r="S384" s="34"/>
      <c r="T384" s="34"/>
    </row>
    <row r="385" ht="15.75" customHeight="1">
      <c r="B385" s="33">
        <v>46167.0</v>
      </c>
      <c r="C385" s="35">
        <v>1031.0</v>
      </c>
      <c r="D385" s="35">
        <v>50.0</v>
      </c>
      <c r="E385" s="37">
        <v>180.0</v>
      </c>
      <c r="F385" s="38">
        <f t="shared" si="1"/>
        <v>9000</v>
      </c>
      <c r="G385" s="35" t="s">
        <v>1130</v>
      </c>
      <c r="H385" s="35" t="s">
        <v>1131</v>
      </c>
      <c r="I385" s="35" t="s">
        <v>59</v>
      </c>
      <c r="J385" s="35" t="s">
        <v>34</v>
      </c>
      <c r="K385" s="35" t="s">
        <v>35</v>
      </c>
      <c r="L385" s="35" t="s">
        <v>132</v>
      </c>
      <c r="M385" s="39">
        <v>31.0</v>
      </c>
      <c r="N385" s="41">
        <v>46167.0</v>
      </c>
      <c r="O385" s="42" t="b">
        <v>1</v>
      </c>
      <c r="P385" s="44">
        <v>46168.0</v>
      </c>
      <c r="Q385" s="34"/>
      <c r="R385" s="34"/>
      <c r="S385" s="34"/>
      <c r="T385" s="34"/>
    </row>
    <row r="386" ht="15.75" customHeight="1">
      <c r="B386" s="33">
        <v>46167.0</v>
      </c>
      <c r="C386" s="35">
        <v>919248.0</v>
      </c>
      <c r="D386" s="35">
        <v>600.0</v>
      </c>
      <c r="E386" s="37">
        <v>135.0</v>
      </c>
      <c r="F386" s="38">
        <f t="shared" si="1"/>
        <v>81000</v>
      </c>
      <c r="G386" s="35" t="s">
        <v>2010</v>
      </c>
      <c r="H386" s="35">
        <v>57966.0</v>
      </c>
      <c r="I386" s="35" t="s">
        <v>59</v>
      </c>
      <c r="J386" s="35" t="s">
        <v>34</v>
      </c>
      <c r="K386" s="35" t="s">
        <v>35</v>
      </c>
      <c r="L386" s="35" t="s">
        <v>74</v>
      </c>
      <c r="M386" s="39">
        <v>31.0</v>
      </c>
      <c r="N386" s="41">
        <v>46174.0</v>
      </c>
      <c r="O386" s="42" t="b">
        <v>1</v>
      </c>
      <c r="P386" s="44">
        <v>46174.0</v>
      </c>
      <c r="Q386" s="34"/>
      <c r="R386" s="34"/>
      <c r="S386" s="34"/>
      <c r="T386" s="34"/>
    </row>
    <row r="387" ht="15.75" customHeight="1">
      <c r="B387" s="33">
        <v>46168.0</v>
      </c>
      <c r="C387" s="35">
        <v>240862.0</v>
      </c>
      <c r="D387" s="35">
        <v>100.0</v>
      </c>
      <c r="E387" s="37">
        <v>9.25</v>
      </c>
      <c r="F387" s="38">
        <f t="shared" si="1"/>
        <v>925</v>
      </c>
      <c r="G387" s="35" t="s">
        <v>2264</v>
      </c>
      <c r="H387" s="35" t="s">
        <v>2265</v>
      </c>
      <c r="I387" s="35" t="s">
        <v>240</v>
      </c>
      <c r="J387" s="35" t="s">
        <v>34</v>
      </c>
      <c r="K387" s="35" t="s">
        <v>35</v>
      </c>
      <c r="L387" s="35" t="s">
        <v>1144</v>
      </c>
      <c r="M387" s="39">
        <v>31.0</v>
      </c>
      <c r="N387" s="41">
        <v>46171.0</v>
      </c>
      <c r="O387" s="42" t="b">
        <v>1</v>
      </c>
      <c r="P387" s="44">
        <v>46174.0</v>
      </c>
      <c r="Q387" s="34"/>
      <c r="R387" s="34"/>
      <c r="S387" s="34"/>
      <c r="T387" s="34"/>
    </row>
    <row r="388" ht="15.75" customHeight="1">
      <c r="B388" s="33">
        <v>46168.0</v>
      </c>
      <c r="C388" s="35">
        <v>8180.0</v>
      </c>
      <c r="D388" s="35">
        <v>100.0</v>
      </c>
      <c r="E388" s="37">
        <v>95.0</v>
      </c>
      <c r="F388" s="38">
        <f t="shared" si="1"/>
        <v>9500</v>
      </c>
      <c r="G388" s="35" t="s">
        <v>959</v>
      </c>
      <c r="H388" s="35" t="s">
        <v>2269</v>
      </c>
      <c r="I388" s="35" t="s">
        <v>77</v>
      </c>
      <c r="J388" s="35" t="s">
        <v>79</v>
      </c>
      <c r="K388" s="35" t="s">
        <v>35</v>
      </c>
      <c r="L388" s="35" t="s">
        <v>37</v>
      </c>
      <c r="M388" s="39">
        <v>31.0</v>
      </c>
      <c r="N388" s="41">
        <v>46168.0</v>
      </c>
      <c r="O388" s="42" t="b">
        <v>1</v>
      </c>
      <c r="P388" s="36"/>
      <c r="Q388" s="34"/>
      <c r="R388" s="34"/>
      <c r="S388" s="34"/>
      <c r="T388" s="35"/>
    </row>
    <row r="389" ht="15.75" customHeight="1">
      <c r="B389" s="33">
        <v>46168.0</v>
      </c>
      <c r="C389" s="46" t="s">
        <v>2271</v>
      </c>
      <c r="D389" s="35">
        <v>60.0</v>
      </c>
      <c r="E389" s="37">
        <v>305.0</v>
      </c>
      <c r="F389" s="38">
        <f t="shared" si="1"/>
        <v>18300</v>
      </c>
      <c r="G389" s="35" t="s">
        <v>1822</v>
      </c>
      <c r="H389" s="35" t="s">
        <v>506</v>
      </c>
      <c r="I389" s="35" t="s">
        <v>59</v>
      </c>
      <c r="J389" s="35" t="s">
        <v>34</v>
      </c>
      <c r="K389" s="35" t="s">
        <v>35</v>
      </c>
      <c r="L389" s="35" t="s">
        <v>87</v>
      </c>
      <c r="M389" s="39">
        <v>31.0</v>
      </c>
      <c r="N389" s="41">
        <v>46168.0</v>
      </c>
      <c r="O389" s="42" t="b">
        <v>1</v>
      </c>
      <c r="P389" s="44">
        <v>46168.0</v>
      </c>
      <c r="Q389" s="34"/>
      <c r="R389" s="34"/>
      <c r="S389" s="34"/>
      <c r="T389" s="34"/>
    </row>
    <row r="390" ht="15.75" customHeight="1">
      <c r="B390" s="33">
        <v>46168.0</v>
      </c>
      <c r="C390" s="58" t="s">
        <v>35</v>
      </c>
      <c r="D390" s="35">
        <v>10.0</v>
      </c>
      <c r="E390" s="37">
        <v>270.0</v>
      </c>
      <c r="F390" s="38">
        <f t="shared" si="1"/>
        <v>2700</v>
      </c>
      <c r="G390" s="35" t="s">
        <v>2278</v>
      </c>
      <c r="H390" s="35" t="s">
        <v>227</v>
      </c>
      <c r="I390" s="35" t="s">
        <v>59</v>
      </c>
      <c r="J390" s="35" t="s">
        <v>34</v>
      </c>
      <c r="K390" s="35" t="s">
        <v>35</v>
      </c>
      <c r="L390" s="35" t="s">
        <v>314</v>
      </c>
      <c r="M390" s="39">
        <v>31.0</v>
      </c>
      <c r="N390" s="41">
        <v>46168.0</v>
      </c>
      <c r="O390" s="42" t="b">
        <v>1</v>
      </c>
      <c r="P390" s="44">
        <v>46169.0</v>
      </c>
      <c r="Q390" s="34"/>
      <c r="R390" s="34"/>
      <c r="S390" s="34"/>
      <c r="T390" s="34"/>
    </row>
    <row r="391" ht="15.75" customHeight="1">
      <c r="B391" s="33">
        <v>46168.0</v>
      </c>
      <c r="C391" s="46" t="s">
        <v>2280</v>
      </c>
      <c r="D391" s="35">
        <v>96.0</v>
      </c>
      <c r="E391" s="37">
        <v>98.0</v>
      </c>
      <c r="F391" s="38">
        <f t="shared" si="1"/>
        <v>9408</v>
      </c>
      <c r="G391" s="35" t="s">
        <v>2281</v>
      </c>
      <c r="H391" s="35" t="s">
        <v>2282</v>
      </c>
      <c r="I391" s="35" t="s">
        <v>32</v>
      </c>
      <c r="J391" s="35" t="s">
        <v>34</v>
      </c>
      <c r="K391" s="35" t="s">
        <v>35</v>
      </c>
      <c r="L391" s="35" t="s">
        <v>87</v>
      </c>
      <c r="M391" s="39">
        <v>1.0</v>
      </c>
      <c r="N391" s="41">
        <v>46169.0</v>
      </c>
      <c r="O391" s="42" t="b">
        <v>1</v>
      </c>
      <c r="P391" s="44">
        <v>46171.0</v>
      </c>
      <c r="Q391" s="34"/>
      <c r="R391" s="34"/>
      <c r="S391" s="34"/>
      <c r="T391" s="34"/>
    </row>
    <row r="392" ht="15.75" customHeight="1">
      <c r="B392" s="33">
        <v>46168.0</v>
      </c>
      <c r="C392" s="46" t="s">
        <v>2280</v>
      </c>
      <c r="D392" s="35">
        <v>100.0</v>
      </c>
      <c r="E392" s="37">
        <v>64.3</v>
      </c>
      <c r="F392" s="38">
        <f t="shared" si="1"/>
        <v>6430</v>
      </c>
      <c r="G392" s="35" t="s">
        <v>2286</v>
      </c>
      <c r="H392" s="35" t="s">
        <v>2287</v>
      </c>
      <c r="I392" s="35" t="s">
        <v>32</v>
      </c>
      <c r="J392" s="35" t="s">
        <v>34</v>
      </c>
      <c r="K392" s="35" t="s">
        <v>35</v>
      </c>
      <c r="L392" s="35" t="s">
        <v>87</v>
      </c>
      <c r="M392" s="39">
        <v>1.0</v>
      </c>
      <c r="N392" s="41">
        <v>46169.0</v>
      </c>
      <c r="O392" s="42" t="b">
        <v>1</v>
      </c>
      <c r="P392" s="44">
        <v>46171.0</v>
      </c>
      <c r="Q392" s="34"/>
      <c r="R392" s="34"/>
      <c r="S392" s="34"/>
      <c r="T392" s="34"/>
    </row>
    <row r="393" ht="15.75" customHeight="1">
      <c r="B393" s="33">
        <v>46168.0</v>
      </c>
      <c r="C393" s="35">
        <v>30109.0</v>
      </c>
      <c r="D393" s="35">
        <v>120.0</v>
      </c>
      <c r="E393" s="37">
        <v>47.2</v>
      </c>
      <c r="F393" s="38">
        <f t="shared" si="1"/>
        <v>5664</v>
      </c>
      <c r="G393" s="35" t="s">
        <v>2291</v>
      </c>
      <c r="H393" s="35" t="s">
        <v>2292</v>
      </c>
      <c r="I393" s="35" t="s">
        <v>41</v>
      </c>
      <c r="J393" s="35" t="s">
        <v>34</v>
      </c>
      <c r="K393" s="35" t="s">
        <v>35</v>
      </c>
      <c r="L393" s="35" t="s">
        <v>160</v>
      </c>
      <c r="M393" s="39">
        <v>31.0</v>
      </c>
      <c r="N393" s="41">
        <v>46168.0</v>
      </c>
      <c r="O393" s="42" t="b">
        <v>1</v>
      </c>
      <c r="P393" s="44">
        <v>46170.0</v>
      </c>
      <c r="Q393" s="34"/>
      <c r="R393" s="34"/>
      <c r="S393" s="34"/>
      <c r="T393" s="34"/>
    </row>
    <row r="394" ht="15.75" customHeight="1">
      <c r="B394" s="33">
        <v>46168.0</v>
      </c>
      <c r="C394" s="35">
        <v>8582.0</v>
      </c>
      <c r="D394" s="35">
        <v>154.0</v>
      </c>
      <c r="E394" s="37">
        <v>389.0</v>
      </c>
      <c r="F394" s="38">
        <f t="shared" si="1"/>
        <v>59906</v>
      </c>
      <c r="G394" s="35" t="s">
        <v>2296</v>
      </c>
      <c r="H394" s="35" t="s">
        <v>2297</v>
      </c>
      <c r="I394" s="35" t="s">
        <v>32</v>
      </c>
      <c r="J394" s="35" t="s">
        <v>34</v>
      </c>
      <c r="K394" s="35" t="s">
        <v>35</v>
      </c>
      <c r="L394" s="35" t="s">
        <v>81</v>
      </c>
      <c r="M394" s="39">
        <v>31.0</v>
      </c>
      <c r="N394" s="41">
        <v>46171.0</v>
      </c>
      <c r="O394" s="42" t="b">
        <v>1</v>
      </c>
      <c r="P394" s="44">
        <v>46171.0</v>
      </c>
      <c r="Q394" s="34"/>
      <c r="R394" s="34"/>
      <c r="S394" s="34"/>
      <c r="T394" s="34"/>
    </row>
    <row r="395" ht="15.75" customHeight="1">
      <c r="B395" s="33">
        <v>46168.0</v>
      </c>
      <c r="C395" s="35">
        <v>8582.0</v>
      </c>
      <c r="D395" s="35">
        <v>327.0</v>
      </c>
      <c r="E395" s="37">
        <v>389.0</v>
      </c>
      <c r="F395" s="38">
        <f t="shared" si="1"/>
        <v>127203</v>
      </c>
      <c r="G395" s="35" t="s">
        <v>2302</v>
      </c>
      <c r="H395" s="35" t="s">
        <v>2303</v>
      </c>
      <c r="I395" s="35" t="s">
        <v>32</v>
      </c>
      <c r="J395" s="35" t="s">
        <v>34</v>
      </c>
      <c r="K395" s="35" t="s">
        <v>35</v>
      </c>
      <c r="L395" s="35" t="s">
        <v>81</v>
      </c>
      <c r="M395" s="39">
        <v>31.0</v>
      </c>
      <c r="N395" s="41">
        <v>46171.0</v>
      </c>
      <c r="O395" s="42" t="b">
        <v>1</v>
      </c>
      <c r="P395" s="44">
        <v>46171.0</v>
      </c>
      <c r="Q395" s="34"/>
      <c r="R395" s="34"/>
      <c r="S395" s="34"/>
      <c r="T395" s="34"/>
    </row>
    <row r="396" ht="15.75" customHeight="1">
      <c r="B396" s="33">
        <v>46168.0</v>
      </c>
      <c r="C396" s="58">
        <v>791105.0</v>
      </c>
      <c r="D396" s="35">
        <v>500.0</v>
      </c>
      <c r="E396" s="37">
        <v>191.6798</v>
      </c>
      <c r="F396" s="38">
        <f t="shared" si="1"/>
        <v>95839.9</v>
      </c>
      <c r="G396" s="35" t="s">
        <v>2306</v>
      </c>
      <c r="H396" s="46" t="s">
        <v>2307</v>
      </c>
      <c r="I396" s="35" t="s">
        <v>41</v>
      </c>
      <c r="J396" s="35" t="s">
        <v>40</v>
      </c>
      <c r="K396" s="35" t="s">
        <v>35</v>
      </c>
      <c r="L396" s="35" t="s">
        <v>68</v>
      </c>
      <c r="M396" s="39">
        <v>31.0</v>
      </c>
      <c r="N396" s="41">
        <v>46183.0</v>
      </c>
      <c r="O396" s="42" t="b">
        <v>1</v>
      </c>
      <c r="P396" s="44">
        <v>46184.0</v>
      </c>
      <c r="Q396" s="34"/>
      <c r="R396" s="34"/>
      <c r="S396" s="34"/>
      <c r="T396" s="34"/>
    </row>
    <row r="397" ht="15.75" customHeight="1">
      <c r="B397" s="33">
        <v>46168.0</v>
      </c>
      <c r="C397" s="46" t="s">
        <v>2310</v>
      </c>
      <c r="D397" s="35">
        <v>1.0</v>
      </c>
      <c r="E397" s="37">
        <v>10400.0</v>
      </c>
      <c r="F397" s="38">
        <f t="shared" si="1"/>
        <v>10400</v>
      </c>
      <c r="G397" s="35" t="s">
        <v>2313</v>
      </c>
      <c r="H397" s="35" t="s">
        <v>2314</v>
      </c>
      <c r="I397" s="35" t="s">
        <v>39</v>
      </c>
      <c r="J397" s="35" t="s">
        <v>183</v>
      </c>
      <c r="K397" s="35" t="s">
        <v>35</v>
      </c>
      <c r="L397" s="35" t="s">
        <v>151</v>
      </c>
      <c r="M397" s="39">
        <v>31.0</v>
      </c>
      <c r="N397" s="41">
        <v>46169.0</v>
      </c>
      <c r="O397" s="42" t="b">
        <v>1</v>
      </c>
      <c r="P397" s="45"/>
      <c r="Q397" s="34"/>
      <c r="R397" s="34"/>
      <c r="S397" s="34"/>
      <c r="T397" s="34"/>
    </row>
    <row r="398" ht="15.75" customHeight="1">
      <c r="B398" s="33">
        <v>46168.0</v>
      </c>
      <c r="C398" s="46" t="s">
        <v>2310</v>
      </c>
      <c r="D398" s="35">
        <v>1.0</v>
      </c>
      <c r="E398" s="37">
        <v>600.0</v>
      </c>
      <c r="F398" s="38">
        <f t="shared" si="1"/>
        <v>600</v>
      </c>
      <c r="G398" s="35" t="s">
        <v>2317</v>
      </c>
      <c r="H398" s="35" t="s">
        <v>2318</v>
      </c>
      <c r="I398" s="35" t="s">
        <v>39</v>
      </c>
      <c r="J398" s="35" t="s">
        <v>183</v>
      </c>
      <c r="K398" s="35" t="s">
        <v>35</v>
      </c>
      <c r="L398" s="35" t="s">
        <v>151</v>
      </c>
      <c r="M398" s="39">
        <v>31.0</v>
      </c>
      <c r="N398" s="41">
        <v>46169.0</v>
      </c>
      <c r="O398" s="42" t="b">
        <v>1</v>
      </c>
      <c r="P398" s="45"/>
      <c r="Q398" s="34"/>
      <c r="R398" s="34"/>
      <c r="S398" s="34"/>
      <c r="T398" s="34"/>
    </row>
    <row r="399" ht="15.75" customHeight="1">
      <c r="B399" s="33">
        <v>46168.0</v>
      </c>
      <c r="C399" s="35">
        <v>17610.0</v>
      </c>
      <c r="D399" s="35">
        <v>10.0</v>
      </c>
      <c r="E399" s="37">
        <v>79.9</v>
      </c>
      <c r="F399" s="38">
        <f t="shared" si="1"/>
        <v>799</v>
      </c>
      <c r="G399" s="35" t="s">
        <v>2262</v>
      </c>
      <c r="H399" s="35" t="s">
        <v>2263</v>
      </c>
      <c r="I399" s="35" t="s">
        <v>240</v>
      </c>
      <c r="J399" s="35" t="s">
        <v>1036</v>
      </c>
      <c r="K399" s="35" t="s">
        <v>1037</v>
      </c>
      <c r="L399" s="35" t="s">
        <v>96</v>
      </c>
      <c r="M399" s="39">
        <v>31.0</v>
      </c>
      <c r="N399" s="41">
        <v>46169.0</v>
      </c>
      <c r="O399" s="42" t="b">
        <v>1</v>
      </c>
      <c r="P399" s="44">
        <v>46171.0</v>
      </c>
      <c r="Q399" s="34"/>
      <c r="R399" s="34"/>
      <c r="S399" s="34"/>
      <c r="T399" s="34"/>
    </row>
    <row r="400" ht="15.75" customHeight="1">
      <c r="B400" s="33">
        <v>46168.0</v>
      </c>
      <c r="C400" s="35">
        <v>17610.0</v>
      </c>
      <c r="D400" s="35">
        <v>24.0</v>
      </c>
      <c r="E400" s="37">
        <v>19.9</v>
      </c>
      <c r="F400" s="38">
        <f t="shared" si="1"/>
        <v>477.6</v>
      </c>
      <c r="G400" s="35" t="s">
        <v>2328</v>
      </c>
      <c r="H400" s="35" t="s">
        <v>753</v>
      </c>
      <c r="I400" s="35" t="s">
        <v>240</v>
      </c>
      <c r="J400" s="35" t="s">
        <v>1036</v>
      </c>
      <c r="K400" s="35" t="s">
        <v>1037</v>
      </c>
      <c r="L400" s="35" t="s">
        <v>96</v>
      </c>
      <c r="M400" s="39">
        <v>31.0</v>
      </c>
      <c r="N400" s="41">
        <v>46169.0</v>
      </c>
      <c r="O400" s="42" t="b">
        <v>1</v>
      </c>
      <c r="P400" s="44">
        <v>46171.0</v>
      </c>
      <c r="Q400" s="34"/>
      <c r="R400" s="34"/>
      <c r="S400" s="34"/>
      <c r="T400" s="34"/>
    </row>
    <row r="401" ht="15.75" customHeight="1">
      <c r="B401" s="33">
        <v>46168.0</v>
      </c>
      <c r="C401" s="35">
        <v>17610.0</v>
      </c>
      <c r="D401" s="35">
        <v>72.0</v>
      </c>
      <c r="E401" s="37">
        <v>10.9</v>
      </c>
      <c r="F401" s="38">
        <f t="shared" si="1"/>
        <v>784.8</v>
      </c>
      <c r="G401" s="35" t="s">
        <v>2332</v>
      </c>
      <c r="H401" s="35" t="s">
        <v>641</v>
      </c>
      <c r="I401" s="35" t="s">
        <v>240</v>
      </c>
      <c r="J401" s="35" t="s">
        <v>1036</v>
      </c>
      <c r="K401" s="35" t="s">
        <v>1037</v>
      </c>
      <c r="L401" s="35" t="s">
        <v>96</v>
      </c>
      <c r="M401" s="39">
        <v>31.0</v>
      </c>
      <c r="N401" s="41">
        <v>46169.0</v>
      </c>
      <c r="O401" s="42" t="b">
        <v>1</v>
      </c>
      <c r="P401" s="44">
        <v>46171.0</v>
      </c>
      <c r="Q401" s="34"/>
      <c r="R401" s="34"/>
      <c r="S401" s="34"/>
      <c r="T401" s="34"/>
    </row>
    <row r="402" ht="15.75" customHeight="1">
      <c r="B402" s="33">
        <v>46168.0</v>
      </c>
      <c r="C402" s="35">
        <v>17610.0</v>
      </c>
      <c r="D402" s="35">
        <v>30.0</v>
      </c>
      <c r="E402" s="37">
        <v>19.9</v>
      </c>
      <c r="F402" s="38">
        <f t="shared" si="1"/>
        <v>597</v>
      </c>
      <c r="G402" s="35" t="s">
        <v>2335</v>
      </c>
      <c r="H402" s="35" t="s">
        <v>2336</v>
      </c>
      <c r="I402" s="35" t="s">
        <v>240</v>
      </c>
      <c r="J402" s="35" t="s">
        <v>1036</v>
      </c>
      <c r="K402" s="35" t="s">
        <v>1037</v>
      </c>
      <c r="L402" s="35" t="s">
        <v>96</v>
      </c>
      <c r="M402" s="39">
        <v>31.0</v>
      </c>
      <c r="N402" s="41">
        <v>46169.0</v>
      </c>
      <c r="O402" s="42" t="b">
        <v>1</v>
      </c>
      <c r="P402" s="44">
        <v>46171.0</v>
      </c>
      <c r="Q402" s="34"/>
      <c r="R402" s="34"/>
      <c r="S402" s="34"/>
      <c r="T402" s="34"/>
    </row>
    <row r="403" ht="15.75" customHeight="1">
      <c r="B403" s="33">
        <v>46168.0</v>
      </c>
      <c r="C403" s="35">
        <v>17610.0</v>
      </c>
      <c r="D403" s="35">
        <v>400.0</v>
      </c>
      <c r="E403" s="37">
        <v>6.99</v>
      </c>
      <c r="F403" s="38">
        <f t="shared" si="1"/>
        <v>2796</v>
      </c>
      <c r="G403" s="35" t="s">
        <v>2339</v>
      </c>
      <c r="H403" s="35" t="s">
        <v>1856</v>
      </c>
      <c r="I403" s="35" t="s">
        <v>240</v>
      </c>
      <c r="J403" s="35" t="s">
        <v>1036</v>
      </c>
      <c r="K403" s="35" t="s">
        <v>1037</v>
      </c>
      <c r="L403" s="35" t="s">
        <v>96</v>
      </c>
      <c r="M403" s="39">
        <v>31.0</v>
      </c>
      <c r="N403" s="41">
        <v>46169.0</v>
      </c>
      <c r="O403" s="42" t="b">
        <v>1</v>
      </c>
      <c r="P403" s="44">
        <v>46171.0</v>
      </c>
      <c r="Q403" s="34"/>
      <c r="R403" s="34"/>
      <c r="S403" s="34"/>
      <c r="T403" s="34"/>
    </row>
    <row r="404" ht="15.75" customHeight="1">
      <c r="B404" s="33">
        <v>46168.0</v>
      </c>
      <c r="C404" s="35">
        <v>17610.0</v>
      </c>
      <c r="D404" s="35">
        <v>60.0</v>
      </c>
      <c r="E404" s="37">
        <v>7.9</v>
      </c>
      <c r="F404" s="38">
        <f t="shared" si="1"/>
        <v>474</v>
      </c>
      <c r="G404" s="35" t="s">
        <v>2341</v>
      </c>
      <c r="H404" s="35" t="s">
        <v>663</v>
      </c>
      <c r="I404" s="35" t="s">
        <v>240</v>
      </c>
      <c r="J404" s="35" t="s">
        <v>1036</v>
      </c>
      <c r="K404" s="35" t="s">
        <v>1037</v>
      </c>
      <c r="L404" s="35" t="s">
        <v>96</v>
      </c>
      <c r="M404" s="39">
        <v>31.0</v>
      </c>
      <c r="N404" s="41">
        <v>46169.0</v>
      </c>
      <c r="O404" s="42" t="b">
        <v>1</v>
      </c>
      <c r="P404" s="44">
        <v>46171.0</v>
      </c>
      <c r="Q404" s="34"/>
      <c r="R404" s="34"/>
      <c r="S404" s="34"/>
      <c r="T404" s="34"/>
    </row>
    <row r="405" ht="15.75" customHeight="1">
      <c r="B405" s="33">
        <v>46168.0</v>
      </c>
      <c r="C405" s="35">
        <v>17610.0</v>
      </c>
      <c r="D405" s="35">
        <v>100.0</v>
      </c>
      <c r="E405" s="37">
        <v>12.8</v>
      </c>
      <c r="F405" s="38">
        <f t="shared" si="1"/>
        <v>1280</v>
      </c>
      <c r="G405" s="35" t="s">
        <v>1867</v>
      </c>
      <c r="H405" s="35" t="s">
        <v>1868</v>
      </c>
      <c r="I405" s="35" t="s">
        <v>240</v>
      </c>
      <c r="J405" s="35" t="s">
        <v>1036</v>
      </c>
      <c r="K405" s="35" t="s">
        <v>1037</v>
      </c>
      <c r="L405" s="35" t="s">
        <v>96</v>
      </c>
      <c r="M405" s="39">
        <v>31.0</v>
      </c>
      <c r="N405" s="41">
        <v>46169.0</v>
      </c>
      <c r="O405" s="42" t="b">
        <v>1</v>
      </c>
      <c r="P405" s="44">
        <v>46171.0</v>
      </c>
      <c r="Q405" s="34"/>
      <c r="R405" s="34"/>
      <c r="S405" s="34"/>
      <c r="T405" s="35"/>
    </row>
    <row r="406" ht="15.75" customHeight="1">
      <c r="B406" s="33">
        <v>46168.0</v>
      </c>
      <c r="C406" s="35">
        <v>17610.0</v>
      </c>
      <c r="D406" s="35">
        <v>96.0</v>
      </c>
      <c r="E406" s="37">
        <v>6.99</v>
      </c>
      <c r="F406" s="38">
        <f t="shared" si="1"/>
        <v>671.04</v>
      </c>
      <c r="G406" s="35" t="s">
        <v>2347</v>
      </c>
      <c r="H406" s="35" t="s">
        <v>2348</v>
      </c>
      <c r="I406" s="35" t="s">
        <v>240</v>
      </c>
      <c r="J406" s="35" t="s">
        <v>1036</v>
      </c>
      <c r="K406" s="35" t="s">
        <v>1037</v>
      </c>
      <c r="L406" s="35" t="s">
        <v>96</v>
      </c>
      <c r="M406" s="39">
        <v>31.0</v>
      </c>
      <c r="N406" s="41">
        <v>46169.0</v>
      </c>
      <c r="O406" s="42" t="b">
        <v>1</v>
      </c>
      <c r="P406" s="44">
        <v>46171.0</v>
      </c>
      <c r="Q406" s="34"/>
      <c r="R406" s="34"/>
      <c r="S406" s="34"/>
      <c r="T406" s="34"/>
    </row>
    <row r="407" ht="15.75" customHeight="1">
      <c r="B407" s="33">
        <v>46168.0</v>
      </c>
      <c r="C407" s="35">
        <v>17610.0</v>
      </c>
      <c r="D407" s="35">
        <v>10.0</v>
      </c>
      <c r="E407" s="37">
        <v>99.9</v>
      </c>
      <c r="F407" s="38">
        <f t="shared" si="1"/>
        <v>999</v>
      </c>
      <c r="G407" s="35" t="s">
        <v>214</v>
      </c>
      <c r="H407" s="35" t="s">
        <v>1915</v>
      </c>
      <c r="I407" s="35" t="s">
        <v>240</v>
      </c>
      <c r="J407" s="35" t="s">
        <v>1036</v>
      </c>
      <c r="K407" s="35" t="s">
        <v>1037</v>
      </c>
      <c r="L407" s="35" t="s">
        <v>96</v>
      </c>
      <c r="M407" s="39">
        <v>31.0</v>
      </c>
      <c r="N407" s="41">
        <v>46169.0</v>
      </c>
      <c r="O407" s="42" t="b">
        <v>1</v>
      </c>
      <c r="P407" s="44">
        <v>46171.0</v>
      </c>
      <c r="Q407" s="34"/>
      <c r="R407" s="34"/>
      <c r="S407" s="34"/>
      <c r="T407" s="34"/>
    </row>
    <row r="408" ht="15.75" customHeight="1">
      <c r="B408" s="33">
        <v>46168.0</v>
      </c>
      <c r="C408" s="35" t="s">
        <v>35</v>
      </c>
      <c r="D408" s="35">
        <v>12.0</v>
      </c>
      <c r="E408" s="37">
        <v>2200.0</v>
      </c>
      <c r="F408" s="38">
        <f t="shared" si="1"/>
        <v>26400</v>
      </c>
      <c r="G408" s="35" t="s">
        <v>2355</v>
      </c>
      <c r="H408" s="35" t="s">
        <v>2356</v>
      </c>
      <c r="I408" s="35" t="s">
        <v>157</v>
      </c>
      <c r="J408" s="35" t="s">
        <v>34</v>
      </c>
      <c r="K408" s="35" t="s">
        <v>35</v>
      </c>
      <c r="L408" s="35" t="s">
        <v>2357</v>
      </c>
      <c r="M408" s="39">
        <v>31.0</v>
      </c>
      <c r="N408" s="52">
        <v>46175.0</v>
      </c>
      <c r="O408" s="42" t="b">
        <v>0</v>
      </c>
      <c r="P408" s="45"/>
      <c r="Q408" s="34"/>
      <c r="R408" s="34"/>
      <c r="S408" s="34"/>
      <c r="T408" s="34"/>
    </row>
    <row r="409" ht="15.75" customHeight="1">
      <c r="B409" s="33">
        <v>46169.0</v>
      </c>
      <c r="C409" s="46" t="s">
        <v>2360</v>
      </c>
      <c r="D409" s="35">
        <v>1000.0</v>
      </c>
      <c r="E409" s="37">
        <v>48.5</v>
      </c>
      <c r="F409" s="38">
        <f t="shared" si="1"/>
        <v>48500</v>
      </c>
      <c r="G409" s="35" t="s">
        <v>2361</v>
      </c>
      <c r="H409" s="35" t="s">
        <v>2362</v>
      </c>
      <c r="I409" s="35" t="s">
        <v>41</v>
      </c>
      <c r="J409" s="35" t="s">
        <v>40</v>
      </c>
      <c r="K409" s="35" t="s">
        <v>35</v>
      </c>
      <c r="L409" s="35" t="s">
        <v>87</v>
      </c>
      <c r="M409" s="39">
        <v>31.0</v>
      </c>
      <c r="N409" s="52">
        <v>46169.0</v>
      </c>
      <c r="O409" s="42" t="b">
        <v>1</v>
      </c>
      <c r="P409" s="44">
        <v>46170.0</v>
      </c>
      <c r="Q409" s="34"/>
      <c r="R409" s="34"/>
      <c r="S409" s="34"/>
      <c r="T409" s="34"/>
    </row>
    <row r="410" ht="15.75" customHeight="1">
      <c r="B410" s="33">
        <v>46169.0</v>
      </c>
      <c r="C410" s="46" t="s">
        <v>2367</v>
      </c>
      <c r="D410" s="35">
        <v>8.0</v>
      </c>
      <c r="E410" s="37">
        <v>360.0</v>
      </c>
      <c r="F410" s="38">
        <f t="shared" si="1"/>
        <v>2880</v>
      </c>
      <c r="G410" s="35" t="s">
        <v>2368</v>
      </c>
      <c r="H410" s="35" t="s">
        <v>2369</v>
      </c>
      <c r="I410" s="35" t="s">
        <v>32</v>
      </c>
      <c r="J410" s="35" t="s">
        <v>34</v>
      </c>
      <c r="K410" s="35" t="s">
        <v>35</v>
      </c>
      <c r="L410" s="35" t="s">
        <v>87</v>
      </c>
      <c r="M410" s="39">
        <v>31.0</v>
      </c>
      <c r="N410" s="41">
        <v>46171.0</v>
      </c>
      <c r="O410" s="42" t="b">
        <v>1</v>
      </c>
      <c r="P410" s="44">
        <v>46171.0</v>
      </c>
      <c r="Q410" s="34"/>
      <c r="R410" s="34"/>
      <c r="S410" s="34"/>
      <c r="T410" s="34"/>
    </row>
    <row r="411" ht="15.75" customHeight="1">
      <c r="B411" s="33">
        <v>46169.0</v>
      </c>
      <c r="C411" s="35">
        <v>17676.0</v>
      </c>
      <c r="D411" s="35">
        <v>12.0</v>
      </c>
      <c r="E411" s="37">
        <v>379.9</v>
      </c>
      <c r="F411" s="38">
        <f t="shared" si="1"/>
        <v>4558.8</v>
      </c>
      <c r="G411" s="35" t="s">
        <v>2374</v>
      </c>
      <c r="H411" s="35" t="s">
        <v>1218</v>
      </c>
      <c r="I411" s="35" t="s">
        <v>41</v>
      </c>
      <c r="J411" s="35" t="s">
        <v>34</v>
      </c>
      <c r="K411" s="35" t="s">
        <v>35</v>
      </c>
      <c r="L411" s="35" t="s">
        <v>96</v>
      </c>
      <c r="M411" s="39">
        <v>31.0</v>
      </c>
      <c r="N411" s="41">
        <v>46169.0</v>
      </c>
      <c r="O411" s="42" t="b">
        <v>0</v>
      </c>
      <c r="P411" s="45"/>
      <c r="Q411" s="34"/>
      <c r="R411" s="34"/>
      <c r="S411" s="34"/>
      <c r="T411" s="34"/>
    </row>
    <row r="412" ht="15.75" customHeight="1">
      <c r="B412" s="33">
        <v>46169.0</v>
      </c>
      <c r="C412" s="35">
        <v>17676.0</v>
      </c>
      <c r="D412" s="35">
        <v>20.0</v>
      </c>
      <c r="E412" s="37">
        <v>17.9</v>
      </c>
      <c r="F412" s="38">
        <f t="shared" si="1"/>
        <v>358</v>
      </c>
      <c r="G412" s="35" t="s">
        <v>1665</v>
      </c>
      <c r="H412" s="35" t="s">
        <v>828</v>
      </c>
      <c r="I412" s="35" t="s">
        <v>41</v>
      </c>
      <c r="J412" s="35" t="s">
        <v>34</v>
      </c>
      <c r="K412" s="35" t="s">
        <v>35</v>
      </c>
      <c r="L412" s="35" t="s">
        <v>96</v>
      </c>
      <c r="M412" s="39">
        <v>31.0</v>
      </c>
      <c r="N412" s="52">
        <v>46169.0</v>
      </c>
      <c r="O412" s="42" t="b">
        <v>0</v>
      </c>
      <c r="P412" s="45"/>
      <c r="Q412" s="34"/>
      <c r="R412" s="34"/>
      <c r="S412" s="34"/>
      <c r="T412" s="34"/>
    </row>
    <row r="413" ht="15.75" customHeight="1">
      <c r="B413" s="33">
        <v>46169.0</v>
      </c>
      <c r="C413" s="46" t="s">
        <v>2378</v>
      </c>
      <c r="D413" s="35">
        <v>20.0</v>
      </c>
      <c r="E413" s="37">
        <v>85.0</v>
      </c>
      <c r="F413" s="38">
        <f t="shared" si="1"/>
        <v>1700</v>
      </c>
      <c r="G413" s="35" t="s">
        <v>2379</v>
      </c>
      <c r="H413" s="35" t="s">
        <v>2190</v>
      </c>
      <c r="I413" s="35" t="s">
        <v>59</v>
      </c>
      <c r="J413" s="35" t="s">
        <v>34</v>
      </c>
      <c r="K413" s="35" t="s">
        <v>35</v>
      </c>
      <c r="L413" s="35" t="s">
        <v>87</v>
      </c>
      <c r="M413" s="39">
        <v>31.0</v>
      </c>
      <c r="N413" s="41">
        <v>46169.0</v>
      </c>
      <c r="O413" s="42" t="b">
        <v>1</v>
      </c>
      <c r="P413" s="44">
        <v>46169.0</v>
      </c>
      <c r="Q413" s="34"/>
      <c r="R413" s="34"/>
      <c r="S413" s="34"/>
      <c r="T413" s="34"/>
    </row>
    <row r="414" ht="15.75" customHeight="1">
      <c r="B414" s="33">
        <v>46169.0</v>
      </c>
      <c r="C414" s="46" t="s">
        <v>2381</v>
      </c>
      <c r="D414" s="35">
        <v>200.0</v>
      </c>
      <c r="E414" s="37">
        <v>85.0</v>
      </c>
      <c r="F414" s="38">
        <f t="shared" si="1"/>
        <v>17000</v>
      </c>
      <c r="G414" s="35" t="s">
        <v>2379</v>
      </c>
      <c r="H414" s="35" t="s">
        <v>2190</v>
      </c>
      <c r="I414" s="35" t="s">
        <v>59</v>
      </c>
      <c r="J414" s="35" t="s">
        <v>40</v>
      </c>
      <c r="K414" s="35" t="s">
        <v>35</v>
      </c>
      <c r="L414" s="35" t="s">
        <v>87</v>
      </c>
      <c r="M414" s="39">
        <v>31.0</v>
      </c>
      <c r="N414" s="41">
        <v>46169.0</v>
      </c>
      <c r="O414" s="42" t="b">
        <v>1</v>
      </c>
      <c r="P414" s="44">
        <v>46169.0</v>
      </c>
      <c r="Q414" s="34"/>
      <c r="R414" s="34"/>
      <c r="S414" s="34"/>
      <c r="T414" s="34"/>
    </row>
    <row r="415" ht="15.75" customHeight="1">
      <c r="B415" s="33">
        <v>46169.0</v>
      </c>
      <c r="C415" s="46" t="s">
        <v>2381</v>
      </c>
      <c r="D415" s="35">
        <v>200.0</v>
      </c>
      <c r="E415" s="37">
        <v>82.0</v>
      </c>
      <c r="F415" s="38">
        <f t="shared" si="1"/>
        <v>16400</v>
      </c>
      <c r="G415" s="35" t="s">
        <v>2382</v>
      </c>
      <c r="H415" s="35" t="s">
        <v>2383</v>
      </c>
      <c r="I415" s="35" t="s">
        <v>59</v>
      </c>
      <c r="J415" s="35" t="s">
        <v>40</v>
      </c>
      <c r="K415" s="35" t="s">
        <v>35</v>
      </c>
      <c r="L415" s="35" t="s">
        <v>87</v>
      </c>
      <c r="M415" s="39">
        <v>31.0</v>
      </c>
      <c r="N415" s="41">
        <v>46169.0</v>
      </c>
      <c r="O415" s="42" t="b">
        <v>1</v>
      </c>
      <c r="P415" s="44">
        <v>46169.0</v>
      </c>
      <c r="Q415" s="34"/>
      <c r="R415" s="34"/>
      <c r="S415" s="34"/>
      <c r="T415" s="34"/>
    </row>
    <row r="416" ht="15.75" customHeight="1">
      <c r="B416" s="33">
        <v>46169.0</v>
      </c>
      <c r="C416" s="35">
        <v>919506.0</v>
      </c>
      <c r="D416" s="35">
        <v>1000.0</v>
      </c>
      <c r="E416" s="37">
        <v>71.0</v>
      </c>
      <c r="F416" s="38">
        <f t="shared" si="1"/>
        <v>71000</v>
      </c>
      <c r="G416" s="35" t="s">
        <v>2384</v>
      </c>
      <c r="H416" s="35">
        <v>65576.0</v>
      </c>
      <c r="I416" s="35" t="s">
        <v>41</v>
      </c>
      <c r="J416" s="35" t="s">
        <v>40</v>
      </c>
      <c r="K416" s="35" t="s">
        <v>35</v>
      </c>
      <c r="L416" s="35" t="s">
        <v>74</v>
      </c>
      <c r="M416" s="39">
        <v>31.0</v>
      </c>
      <c r="N416" s="41">
        <v>46174.0</v>
      </c>
      <c r="O416" s="42" t="b">
        <v>1</v>
      </c>
      <c r="P416" s="44">
        <v>46176.0</v>
      </c>
      <c r="Q416" s="34"/>
      <c r="R416" s="34"/>
      <c r="S416" s="34"/>
      <c r="T416" s="34"/>
    </row>
    <row r="417" ht="15.75" customHeight="1">
      <c r="B417" s="33">
        <v>46169.0</v>
      </c>
      <c r="C417" s="35" t="s">
        <v>35</v>
      </c>
      <c r="D417" s="35">
        <v>4.0</v>
      </c>
      <c r="E417" s="37">
        <v>280.96</v>
      </c>
      <c r="F417" s="38">
        <f t="shared" si="1"/>
        <v>1123.84</v>
      </c>
      <c r="G417" s="35" t="s">
        <v>2385</v>
      </c>
      <c r="H417" s="35" t="s">
        <v>35</v>
      </c>
      <c r="I417" s="35" t="s">
        <v>174</v>
      </c>
      <c r="J417" s="35" t="s">
        <v>175</v>
      </c>
      <c r="K417" s="35" t="s">
        <v>35</v>
      </c>
      <c r="L417" s="35" t="s">
        <v>1265</v>
      </c>
      <c r="M417" s="39">
        <v>1.0</v>
      </c>
      <c r="N417" s="41">
        <v>46171.0</v>
      </c>
      <c r="O417" s="42" t="b">
        <v>1</v>
      </c>
      <c r="P417" s="44">
        <v>46171.0</v>
      </c>
      <c r="Q417" s="34"/>
      <c r="R417" s="34"/>
      <c r="S417" s="34"/>
      <c r="T417" s="34"/>
    </row>
    <row r="418" ht="15.75" customHeight="1">
      <c r="B418" s="33">
        <v>46169.0</v>
      </c>
      <c r="C418" s="35" t="s">
        <v>35</v>
      </c>
      <c r="D418" s="35">
        <v>2.0</v>
      </c>
      <c r="E418" s="37">
        <v>280.96</v>
      </c>
      <c r="F418" s="38">
        <f t="shared" si="1"/>
        <v>561.92</v>
      </c>
      <c r="G418" s="35" t="s">
        <v>2385</v>
      </c>
      <c r="H418" s="35" t="s">
        <v>35</v>
      </c>
      <c r="I418" s="35" t="s">
        <v>174</v>
      </c>
      <c r="J418" s="35" t="s">
        <v>175</v>
      </c>
      <c r="K418" s="35" t="s">
        <v>35</v>
      </c>
      <c r="L418" s="35" t="s">
        <v>1265</v>
      </c>
      <c r="M418" s="39">
        <v>1.0</v>
      </c>
      <c r="N418" s="41">
        <v>46171.0</v>
      </c>
      <c r="O418" s="42" t="b">
        <v>1</v>
      </c>
      <c r="P418" s="44">
        <v>46171.0</v>
      </c>
      <c r="Q418" s="34"/>
      <c r="R418" s="34"/>
      <c r="S418" s="34"/>
      <c r="T418" s="34"/>
    </row>
    <row r="419" ht="15.75" customHeight="1">
      <c r="B419" s="33">
        <v>46169.0</v>
      </c>
      <c r="C419" s="46" t="s">
        <v>2390</v>
      </c>
      <c r="D419" s="35">
        <v>100.0</v>
      </c>
      <c r="E419" s="37">
        <v>85.5</v>
      </c>
      <c r="F419" s="38">
        <f t="shared" si="1"/>
        <v>8550</v>
      </c>
      <c r="G419" s="35" t="s">
        <v>2392</v>
      </c>
      <c r="H419" s="35" t="s">
        <v>164</v>
      </c>
      <c r="I419" s="35" t="s">
        <v>41</v>
      </c>
      <c r="J419" s="35" t="s">
        <v>34</v>
      </c>
      <c r="K419" s="35" t="s">
        <v>35</v>
      </c>
      <c r="L419" s="35" t="s">
        <v>46</v>
      </c>
      <c r="M419" s="39">
        <v>1.0</v>
      </c>
      <c r="N419" s="41">
        <v>46169.0</v>
      </c>
      <c r="O419" s="42" t="b">
        <v>1</v>
      </c>
      <c r="P419" s="44">
        <v>46171.0</v>
      </c>
      <c r="Q419" s="34"/>
      <c r="R419" s="34"/>
      <c r="S419" s="34"/>
      <c r="T419" s="34"/>
    </row>
    <row r="420" ht="15.75" customHeight="1">
      <c r="B420" s="33">
        <v>46169.0</v>
      </c>
      <c r="C420" s="35" t="s">
        <v>35</v>
      </c>
      <c r="D420" s="35">
        <v>1.0</v>
      </c>
      <c r="E420" s="37">
        <v>1203.9</v>
      </c>
      <c r="F420" s="38">
        <f t="shared" si="1"/>
        <v>1203.9</v>
      </c>
      <c r="G420" s="35" t="s">
        <v>2397</v>
      </c>
      <c r="H420" s="35">
        <v>118201.0</v>
      </c>
      <c r="I420" s="35" t="s">
        <v>174</v>
      </c>
      <c r="J420" s="35" t="s">
        <v>175</v>
      </c>
      <c r="K420" s="35" t="s">
        <v>35</v>
      </c>
      <c r="L420" s="35" t="s">
        <v>2400</v>
      </c>
      <c r="M420" s="39">
        <v>1.0</v>
      </c>
      <c r="N420" s="41">
        <v>46177.0</v>
      </c>
      <c r="O420" s="42" t="b">
        <v>1</v>
      </c>
      <c r="P420" s="44">
        <v>46176.0</v>
      </c>
      <c r="Q420" s="34"/>
      <c r="R420" s="34"/>
      <c r="S420" s="34"/>
      <c r="T420" s="34"/>
    </row>
    <row r="421" ht="15.75" customHeight="1">
      <c r="B421" s="33">
        <v>46169.0</v>
      </c>
      <c r="C421" s="35" t="s">
        <v>35</v>
      </c>
      <c r="D421" s="35">
        <v>10.0</v>
      </c>
      <c r="E421" s="37">
        <v>270.0</v>
      </c>
      <c r="F421" s="38">
        <f t="shared" si="1"/>
        <v>2700</v>
      </c>
      <c r="G421" s="35" t="s">
        <v>2403</v>
      </c>
      <c r="H421" s="35" t="s">
        <v>227</v>
      </c>
      <c r="I421" s="35" t="s">
        <v>41</v>
      </c>
      <c r="J421" s="35" t="s">
        <v>34</v>
      </c>
      <c r="K421" s="35" t="s">
        <v>35</v>
      </c>
      <c r="L421" s="35" t="s">
        <v>314</v>
      </c>
      <c r="M421" s="39">
        <v>31.0</v>
      </c>
      <c r="N421" s="41">
        <v>46169.0</v>
      </c>
      <c r="O421" s="42" t="b">
        <v>1</v>
      </c>
      <c r="P421" s="44">
        <v>46171.0</v>
      </c>
      <c r="Q421" s="34"/>
      <c r="R421" s="34"/>
      <c r="S421" s="34"/>
      <c r="T421" s="34"/>
    </row>
    <row r="422" ht="15.75" customHeight="1">
      <c r="B422" s="33">
        <v>46169.0</v>
      </c>
      <c r="C422" s="35" t="s">
        <v>35</v>
      </c>
      <c r="D422" s="35">
        <v>10.0</v>
      </c>
      <c r="E422" s="37">
        <v>270.0</v>
      </c>
      <c r="F422" s="38">
        <f t="shared" si="1"/>
        <v>2700</v>
      </c>
      <c r="G422" s="35" t="s">
        <v>2408</v>
      </c>
      <c r="H422" s="35" t="s">
        <v>227</v>
      </c>
      <c r="I422" s="35" t="s">
        <v>41</v>
      </c>
      <c r="J422" s="35" t="s">
        <v>34</v>
      </c>
      <c r="K422" s="35" t="s">
        <v>35</v>
      </c>
      <c r="L422" s="35" t="s">
        <v>314</v>
      </c>
      <c r="M422" s="39">
        <v>31.0</v>
      </c>
      <c r="N422" s="41">
        <v>46169.0</v>
      </c>
      <c r="O422" s="42" t="b">
        <v>1</v>
      </c>
      <c r="P422" s="44">
        <v>46171.0</v>
      </c>
      <c r="Q422" s="34"/>
      <c r="R422" s="34"/>
      <c r="S422" s="34"/>
      <c r="T422" s="34"/>
    </row>
    <row r="423" ht="15.75" customHeight="1">
      <c r="B423" s="33">
        <v>46169.0</v>
      </c>
      <c r="C423" s="35">
        <v>17308.0</v>
      </c>
      <c r="D423" s="35">
        <v>200.0</v>
      </c>
      <c r="E423" s="37">
        <v>2.976</v>
      </c>
      <c r="F423" s="38">
        <f t="shared" si="1"/>
        <v>595.2</v>
      </c>
      <c r="G423" s="35" t="s">
        <v>1411</v>
      </c>
      <c r="H423" s="35" t="s">
        <v>2413</v>
      </c>
      <c r="I423" s="35" t="s">
        <v>41</v>
      </c>
      <c r="J423" s="35" t="s">
        <v>34</v>
      </c>
      <c r="K423" s="35" t="s">
        <v>35</v>
      </c>
      <c r="L423" s="35" t="s">
        <v>719</v>
      </c>
      <c r="M423" s="39">
        <v>1.0</v>
      </c>
      <c r="N423" s="73">
        <v>46171.0</v>
      </c>
      <c r="O423" s="42" t="b">
        <v>1</v>
      </c>
      <c r="P423" s="44">
        <v>46174.0</v>
      </c>
      <c r="Q423" s="34"/>
      <c r="R423" s="34"/>
      <c r="S423" s="34"/>
      <c r="T423" s="34"/>
    </row>
    <row r="424" ht="15.75" customHeight="1">
      <c r="B424" s="33">
        <v>46169.0</v>
      </c>
      <c r="C424" s="35">
        <v>17308.0</v>
      </c>
      <c r="D424" s="35">
        <v>100.0</v>
      </c>
      <c r="E424" s="37">
        <v>4.185</v>
      </c>
      <c r="F424" s="38">
        <f t="shared" si="1"/>
        <v>418.5</v>
      </c>
      <c r="G424" s="35" t="s">
        <v>2421</v>
      </c>
      <c r="H424" s="35" t="s">
        <v>2422</v>
      </c>
      <c r="I424" s="35" t="s">
        <v>41</v>
      </c>
      <c r="J424" s="35" t="s">
        <v>34</v>
      </c>
      <c r="K424" s="35" t="s">
        <v>35</v>
      </c>
      <c r="L424" s="35" t="s">
        <v>719</v>
      </c>
      <c r="M424" s="39">
        <v>1.0</v>
      </c>
      <c r="N424" s="73">
        <v>46171.0</v>
      </c>
      <c r="O424" s="42" t="b">
        <v>1</v>
      </c>
      <c r="P424" s="44">
        <v>46174.0</v>
      </c>
      <c r="Q424" s="34"/>
      <c r="R424" s="34"/>
      <c r="S424" s="34"/>
      <c r="T424" s="34"/>
    </row>
    <row r="425" ht="15.75" customHeight="1">
      <c r="B425" s="33">
        <v>46169.0</v>
      </c>
      <c r="C425" s="46" t="s">
        <v>2423</v>
      </c>
      <c r="D425" s="35">
        <v>100.0</v>
      </c>
      <c r="E425" s="37">
        <v>300.0</v>
      </c>
      <c r="F425" s="38">
        <f t="shared" si="1"/>
        <v>30000</v>
      </c>
      <c r="G425" s="35" t="s">
        <v>1157</v>
      </c>
      <c r="H425" s="35" t="s">
        <v>1158</v>
      </c>
      <c r="I425" s="35" t="s">
        <v>41</v>
      </c>
      <c r="J425" s="35" t="s">
        <v>34</v>
      </c>
      <c r="K425" s="35" t="s">
        <v>35</v>
      </c>
      <c r="L425" s="35" t="s">
        <v>87</v>
      </c>
      <c r="M425" s="39">
        <v>31.0</v>
      </c>
      <c r="N425" s="41">
        <v>46171.0</v>
      </c>
      <c r="O425" s="42" t="b">
        <v>0</v>
      </c>
      <c r="P425" s="45"/>
      <c r="Q425" s="34"/>
      <c r="R425" s="34"/>
      <c r="S425" s="34"/>
      <c r="T425" s="34"/>
    </row>
    <row r="426" ht="15.75" customHeight="1">
      <c r="B426" s="33">
        <v>46169.0</v>
      </c>
      <c r="C426" s="46" t="s">
        <v>2429</v>
      </c>
      <c r="D426" s="35">
        <v>100.0</v>
      </c>
      <c r="E426" s="37">
        <v>12.834</v>
      </c>
      <c r="F426" s="38">
        <f t="shared" si="1"/>
        <v>1283.4</v>
      </c>
      <c r="G426" s="35" t="s">
        <v>2430</v>
      </c>
      <c r="H426" s="35" t="s">
        <v>1197</v>
      </c>
      <c r="I426" s="35" t="s">
        <v>32</v>
      </c>
      <c r="J426" s="35" t="s">
        <v>34</v>
      </c>
      <c r="K426" s="35" t="s">
        <v>35</v>
      </c>
      <c r="L426" s="35" t="s">
        <v>1189</v>
      </c>
      <c r="M426" s="39">
        <v>1.0</v>
      </c>
      <c r="N426" s="41">
        <v>46170.0</v>
      </c>
      <c r="O426" s="42" t="b">
        <v>1</v>
      </c>
      <c r="P426" s="44">
        <v>46174.0</v>
      </c>
      <c r="Q426" s="34"/>
      <c r="R426" s="34"/>
      <c r="S426" s="34"/>
      <c r="T426" s="34"/>
    </row>
    <row r="427" ht="15.75" customHeight="1">
      <c r="B427" s="33">
        <v>46169.0</v>
      </c>
      <c r="C427" s="35">
        <v>17339.0</v>
      </c>
      <c r="D427" s="35">
        <v>400.0</v>
      </c>
      <c r="E427" s="37">
        <v>6.789</v>
      </c>
      <c r="F427" s="38">
        <f t="shared" si="1"/>
        <v>2715.6</v>
      </c>
      <c r="G427" s="35" t="s">
        <v>2436</v>
      </c>
      <c r="H427" s="35" t="s">
        <v>269</v>
      </c>
      <c r="I427" s="35" t="s">
        <v>32</v>
      </c>
      <c r="J427" s="35" t="s">
        <v>34</v>
      </c>
      <c r="K427" s="35" t="s">
        <v>35</v>
      </c>
      <c r="L427" s="35" t="s">
        <v>719</v>
      </c>
      <c r="M427" s="39">
        <v>31.0</v>
      </c>
      <c r="N427" s="40">
        <v>46171.0</v>
      </c>
      <c r="O427" s="42" t="b">
        <v>1</v>
      </c>
      <c r="P427" s="44">
        <v>46174.0</v>
      </c>
      <c r="Q427" s="34"/>
      <c r="R427" s="34"/>
      <c r="S427" s="34"/>
      <c r="T427" s="34"/>
    </row>
    <row r="428" ht="15.75" customHeight="1">
      <c r="B428" s="33">
        <v>46169.0</v>
      </c>
      <c r="C428" s="46" t="s">
        <v>2439</v>
      </c>
      <c r="D428" s="35">
        <v>12.0</v>
      </c>
      <c r="E428" s="37">
        <v>68.4</v>
      </c>
      <c r="F428" s="38">
        <f t="shared" si="1"/>
        <v>820.8</v>
      </c>
      <c r="G428" s="35" t="s">
        <v>2443</v>
      </c>
      <c r="H428" s="35" t="s">
        <v>2444</v>
      </c>
      <c r="I428" s="35" t="s">
        <v>2239</v>
      </c>
      <c r="J428" s="35" t="s">
        <v>35</v>
      </c>
      <c r="K428" s="35" t="s">
        <v>35</v>
      </c>
      <c r="L428" s="35" t="s">
        <v>340</v>
      </c>
      <c r="M428" s="39">
        <v>1.0</v>
      </c>
      <c r="N428" s="41">
        <v>46171.0</v>
      </c>
      <c r="O428" s="42" t="b">
        <v>1</v>
      </c>
      <c r="P428" s="44">
        <v>46174.0</v>
      </c>
      <c r="Q428" s="34"/>
      <c r="R428" s="34"/>
      <c r="S428" s="34"/>
      <c r="T428" s="34"/>
    </row>
    <row r="429" ht="15.75" customHeight="1">
      <c r="B429" s="33">
        <v>46169.0</v>
      </c>
      <c r="C429" s="46" t="s">
        <v>2439</v>
      </c>
      <c r="D429" s="35">
        <v>2.0</v>
      </c>
      <c r="E429" s="37">
        <v>351.0</v>
      </c>
      <c r="F429" s="38">
        <f t="shared" si="1"/>
        <v>702</v>
      </c>
      <c r="G429" s="35" t="s">
        <v>2449</v>
      </c>
      <c r="H429" s="35" t="s">
        <v>2450</v>
      </c>
      <c r="I429" s="35" t="s">
        <v>2239</v>
      </c>
      <c r="J429" s="35" t="s">
        <v>183</v>
      </c>
      <c r="K429" s="35" t="s">
        <v>35</v>
      </c>
      <c r="L429" s="35" t="s">
        <v>340</v>
      </c>
      <c r="M429" s="39">
        <v>1.0</v>
      </c>
      <c r="N429" s="41">
        <v>46171.0</v>
      </c>
      <c r="O429" s="42" t="b">
        <v>1</v>
      </c>
      <c r="P429" s="44">
        <v>46174.0</v>
      </c>
      <c r="Q429" s="34"/>
      <c r="R429" s="34"/>
      <c r="S429" s="34"/>
      <c r="T429" s="34"/>
    </row>
    <row r="430" ht="15.75" customHeight="1">
      <c r="B430" s="33">
        <v>46170.0</v>
      </c>
      <c r="C430" s="46" t="s">
        <v>2452</v>
      </c>
      <c r="D430" s="35">
        <v>30.0</v>
      </c>
      <c r="E430" s="37">
        <v>68.4</v>
      </c>
      <c r="F430" s="38">
        <f t="shared" si="1"/>
        <v>2052</v>
      </c>
      <c r="G430" s="35" t="s">
        <v>2456</v>
      </c>
      <c r="H430" s="35" t="s">
        <v>2457</v>
      </c>
      <c r="I430" s="35" t="s">
        <v>32</v>
      </c>
      <c r="J430" s="35" t="s">
        <v>34</v>
      </c>
      <c r="K430" s="35" t="s">
        <v>35</v>
      </c>
      <c r="L430" s="35" t="s">
        <v>62</v>
      </c>
      <c r="M430" s="39">
        <v>31.0</v>
      </c>
      <c r="N430" s="41">
        <v>46175.0</v>
      </c>
      <c r="O430" s="42" t="b">
        <v>0</v>
      </c>
      <c r="P430" s="45"/>
      <c r="Q430" s="34"/>
      <c r="R430" s="34"/>
      <c r="S430" s="34"/>
      <c r="T430" s="34"/>
    </row>
    <row r="431" ht="15.0" customHeight="1">
      <c r="B431" s="33">
        <v>46170.0</v>
      </c>
      <c r="C431" s="35">
        <v>12887.0</v>
      </c>
      <c r="D431" s="35">
        <v>10.0</v>
      </c>
      <c r="E431" s="37">
        <v>25.2</v>
      </c>
      <c r="F431" s="38">
        <f t="shared" si="1"/>
        <v>252</v>
      </c>
      <c r="G431" s="35" t="s">
        <v>2078</v>
      </c>
      <c r="H431" s="35" t="s">
        <v>2462</v>
      </c>
      <c r="I431" s="35" t="s">
        <v>32</v>
      </c>
      <c r="J431" s="35" t="s">
        <v>34</v>
      </c>
      <c r="K431" s="35" t="s">
        <v>35</v>
      </c>
      <c r="L431" s="35" t="s">
        <v>279</v>
      </c>
      <c r="M431" s="39">
        <v>31.0</v>
      </c>
      <c r="N431" s="41">
        <v>46170.0</v>
      </c>
      <c r="O431" s="42" t="b">
        <v>1</v>
      </c>
      <c r="P431" s="44">
        <v>46170.0</v>
      </c>
      <c r="Q431" s="34"/>
      <c r="R431" s="34"/>
      <c r="S431" s="34"/>
      <c r="T431" s="34"/>
    </row>
    <row r="432" ht="15.75" customHeight="1">
      <c r="B432" s="33">
        <v>46170.0</v>
      </c>
      <c r="C432" s="35">
        <v>12887.0</v>
      </c>
      <c r="D432" s="35">
        <v>40.0</v>
      </c>
      <c r="E432" s="37">
        <v>34.2</v>
      </c>
      <c r="F432" s="38">
        <f t="shared" si="1"/>
        <v>1368</v>
      </c>
      <c r="G432" s="35" t="s">
        <v>2467</v>
      </c>
      <c r="H432" s="35" t="s">
        <v>2468</v>
      </c>
      <c r="I432" s="35" t="s">
        <v>32</v>
      </c>
      <c r="J432" s="35" t="s">
        <v>34</v>
      </c>
      <c r="K432" s="35" t="s">
        <v>35</v>
      </c>
      <c r="L432" s="35" t="s">
        <v>279</v>
      </c>
      <c r="M432" s="39">
        <v>31.0</v>
      </c>
      <c r="N432" s="41">
        <v>46170.0</v>
      </c>
      <c r="O432" s="42" t="b">
        <v>1</v>
      </c>
      <c r="P432" s="44">
        <v>46170.0</v>
      </c>
      <c r="Q432" s="34"/>
      <c r="R432" s="34"/>
      <c r="S432" s="34"/>
      <c r="T432" s="34"/>
    </row>
    <row r="433" ht="15.75" customHeight="1">
      <c r="B433" s="33">
        <v>46170.0</v>
      </c>
      <c r="C433" s="35">
        <v>12887.0</v>
      </c>
      <c r="D433" s="35">
        <v>12.0</v>
      </c>
      <c r="E433" s="37">
        <v>58.5</v>
      </c>
      <c r="F433" s="38">
        <f t="shared" si="1"/>
        <v>702</v>
      </c>
      <c r="G433" s="35" t="s">
        <v>2472</v>
      </c>
      <c r="H433" s="35" t="s">
        <v>2473</v>
      </c>
      <c r="I433" s="35" t="s">
        <v>32</v>
      </c>
      <c r="J433" s="35" t="s">
        <v>34</v>
      </c>
      <c r="K433" s="35" t="s">
        <v>35</v>
      </c>
      <c r="L433" s="35" t="s">
        <v>279</v>
      </c>
      <c r="M433" s="39">
        <v>31.0</v>
      </c>
      <c r="N433" s="41">
        <v>46170.0</v>
      </c>
      <c r="O433" s="42" t="b">
        <v>1</v>
      </c>
      <c r="P433" s="44">
        <v>46170.0</v>
      </c>
      <c r="Q433" s="34"/>
      <c r="R433" s="34"/>
      <c r="S433" s="34"/>
      <c r="T433" s="35"/>
    </row>
    <row r="434" ht="15.75" customHeight="1">
      <c r="B434" s="33">
        <v>46170.0</v>
      </c>
      <c r="C434" s="35">
        <v>12887.0</v>
      </c>
      <c r="D434" s="35">
        <v>100.0</v>
      </c>
      <c r="E434" s="37">
        <v>25.2</v>
      </c>
      <c r="F434" s="38">
        <f t="shared" si="1"/>
        <v>2520</v>
      </c>
      <c r="G434" s="35" t="s">
        <v>2474</v>
      </c>
      <c r="H434" s="35" t="s">
        <v>2475</v>
      </c>
      <c r="I434" s="35" t="s">
        <v>32</v>
      </c>
      <c r="J434" s="35" t="s">
        <v>34</v>
      </c>
      <c r="K434" s="35" t="s">
        <v>35</v>
      </c>
      <c r="L434" s="35" t="s">
        <v>279</v>
      </c>
      <c r="M434" s="39">
        <v>31.0</v>
      </c>
      <c r="N434" s="41">
        <v>46170.0</v>
      </c>
      <c r="O434" s="42" t="b">
        <v>1</v>
      </c>
      <c r="P434" s="44">
        <v>46170.0</v>
      </c>
      <c r="Q434" s="34"/>
      <c r="R434" s="34"/>
      <c r="S434" s="34"/>
      <c r="T434" s="34"/>
    </row>
    <row r="435" ht="15.75" customHeight="1">
      <c r="B435" s="33">
        <v>46170.0</v>
      </c>
      <c r="C435" s="35">
        <v>12887.0</v>
      </c>
      <c r="D435" s="35">
        <v>100.0</v>
      </c>
      <c r="E435" s="37">
        <v>7.92</v>
      </c>
      <c r="F435" s="38">
        <f t="shared" si="1"/>
        <v>792</v>
      </c>
      <c r="G435" s="35" t="s">
        <v>2479</v>
      </c>
      <c r="H435" s="35" t="s">
        <v>2480</v>
      </c>
      <c r="I435" s="35" t="s">
        <v>32</v>
      </c>
      <c r="J435" s="35" t="s">
        <v>34</v>
      </c>
      <c r="K435" s="35" t="s">
        <v>35</v>
      </c>
      <c r="L435" s="35" t="s">
        <v>279</v>
      </c>
      <c r="M435" s="39">
        <v>31.0</v>
      </c>
      <c r="N435" s="41">
        <v>46170.0</v>
      </c>
      <c r="O435" s="42" t="b">
        <v>1</v>
      </c>
      <c r="P435" s="44">
        <v>46170.0</v>
      </c>
      <c r="Q435" s="34"/>
      <c r="R435" s="34"/>
      <c r="S435" s="34"/>
      <c r="T435" s="34"/>
    </row>
    <row r="436" ht="15.75" customHeight="1">
      <c r="B436" s="33">
        <v>46170.0</v>
      </c>
      <c r="C436" s="35">
        <v>12887.0</v>
      </c>
      <c r="D436" s="35">
        <v>15.0</v>
      </c>
      <c r="E436" s="37">
        <v>38.7</v>
      </c>
      <c r="F436" s="38">
        <f t="shared" si="1"/>
        <v>580.5</v>
      </c>
      <c r="G436" s="35" t="s">
        <v>2484</v>
      </c>
      <c r="H436" s="35" t="s">
        <v>2485</v>
      </c>
      <c r="I436" s="35" t="s">
        <v>32</v>
      </c>
      <c r="J436" s="35" t="s">
        <v>34</v>
      </c>
      <c r="K436" s="35" t="s">
        <v>35</v>
      </c>
      <c r="L436" s="35" t="s">
        <v>279</v>
      </c>
      <c r="M436" s="39">
        <v>31.0</v>
      </c>
      <c r="N436" s="41">
        <v>46170.0</v>
      </c>
      <c r="O436" s="42" t="b">
        <v>1</v>
      </c>
      <c r="P436" s="44">
        <v>46170.0</v>
      </c>
      <c r="Q436" s="34"/>
      <c r="R436" s="34"/>
      <c r="S436" s="34"/>
      <c r="T436" s="34"/>
    </row>
    <row r="437" ht="15.75" customHeight="1">
      <c r="B437" s="33">
        <v>46170.0</v>
      </c>
      <c r="C437" s="35">
        <v>530166.0</v>
      </c>
      <c r="D437" s="35">
        <v>40.0</v>
      </c>
      <c r="E437" s="37">
        <v>25.6</v>
      </c>
      <c r="F437" s="38">
        <f t="shared" si="1"/>
        <v>1024</v>
      </c>
      <c r="G437" s="35" t="s">
        <v>2489</v>
      </c>
      <c r="H437" s="35" t="s">
        <v>2490</v>
      </c>
      <c r="I437" s="35" t="s">
        <v>32</v>
      </c>
      <c r="J437" s="35" t="s">
        <v>34</v>
      </c>
      <c r="K437" s="35" t="s">
        <v>35</v>
      </c>
      <c r="L437" s="35" t="s">
        <v>160</v>
      </c>
      <c r="M437" s="39">
        <v>31.0</v>
      </c>
      <c r="N437" s="41">
        <v>46170.0</v>
      </c>
      <c r="O437" s="42" t="b">
        <v>1</v>
      </c>
      <c r="P437" s="44">
        <v>46170.0</v>
      </c>
      <c r="Q437" s="34"/>
      <c r="R437" s="34"/>
      <c r="S437" s="34"/>
      <c r="T437" s="34"/>
    </row>
    <row r="438" ht="15.75" customHeight="1">
      <c r="B438" s="44">
        <v>46170.0</v>
      </c>
      <c r="C438" s="35">
        <v>17842.0</v>
      </c>
      <c r="D438" s="35">
        <v>10.0</v>
      </c>
      <c r="E438" s="37">
        <v>249.9</v>
      </c>
      <c r="F438" s="38">
        <f t="shared" si="1"/>
        <v>2499</v>
      </c>
      <c r="G438" s="35" t="s">
        <v>2205</v>
      </c>
      <c r="H438" s="35" t="s">
        <v>2207</v>
      </c>
      <c r="I438" s="35" t="s">
        <v>32</v>
      </c>
      <c r="J438" s="35" t="s">
        <v>34</v>
      </c>
      <c r="K438" s="35" t="s">
        <v>35</v>
      </c>
      <c r="L438" s="35" t="s">
        <v>96</v>
      </c>
      <c r="M438" s="39">
        <v>31.0</v>
      </c>
      <c r="N438" s="41">
        <v>46170.0</v>
      </c>
      <c r="O438" s="42" t="b">
        <v>1</v>
      </c>
      <c r="P438" s="44">
        <v>46170.0</v>
      </c>
      <c r="Q438" s="34"/>
      <c r="R438" s="34"/>
      <c r="S438" s="34"/>
      <c r="T438" s="34"/>
    </row>
    <row r="439" ht="15.75" customHeight="1">
      <c r="B439" s="44">
        <v>46170.0</v>
      </c>
      <c r="C439" s="35">
        <v>17842.0</v>
      </c>
      <c r="D439" s="35">
        <v>60.0</v>
      </c>
      <c r="E439" s="37">
        <v>17.99</v>
      </c>
      <c r="F439" s="38">
        <f t="shared" si="1"/>
        <v>1079.4</v>
      </c>
      <c r="G439" s="35" t="s">
        <v>2497</v>
      </c>
      <c r="H439" s="35" t="s">
        <v>2498</v>
      </c>
      <c r="I439" s="35" t="s">
        <v>32</v>
      </c>
      <c r="J439" s="35" t="s">
        <v>34</v>
      </c>
      <c r="K439" s="35" t="s">
        <v>35</v>
      </c>
      <c r="L439" s="35" t="s">
        <v>96</v>
      </c>
      <c r="M439" s="39">
        <v>31.0</v>
      </c>
      <c r="N439" s="41">
        <v>46170.0</v>
      </c>
      <c r="O439" s="42" t="b">
        <v>1</v>
      </c>
      <c r="P439" s="44">
        <v>46170.0</v>
      </c>
      <c r="Q439" s="34"/>
      <c r="R439" s="34"/>
      <c r="S439" s="34"/>
      <c r="T439" s="34"/>
    </row>
    <row r="440" ht="15.75" customHeight="1">
      <c r="B440" s="44">
        <v>46170.0</v>
      </c>
      <c r="C440" s="35">
        <v>17842.0</v>
      </c>
      <c r="D440" s="35">
        <v>10.0</v>
      </c>
      <c r="E440" s="37">
        <v>79.9</v>
      </c>
      <c r="F440" s="38">
        <f t="shared" si="1"/>
        <v>799</v>
      </c>
      <c r="G440" s="35" t="s">
        <v>2504</v>
      </c>
      <c r="H440" s="35" t="s">
        <v>517</v>
      </c>
      <c r="I440" s="35" t="s">
        <v>32</v>
      </c>
      <c r="J440" s="35" t="s">
        <v>34</v>
      </c>
      <c r="K440" s="35" t="s">
        <v>35</v>
      </c>
      <c r="L440" s="35" t="s">
        <v>96</v>
      </c>
      <c r="M440" s="39">
        <v>31.0</v>
      </c>
      <c r="N440" s="41">
        <v>46170.0</v>
      </c>
      <c r="O440" s="42" t="b">
        <v>1</v>
      </c>
      <c r="P440" s="44">
        <v>46170.0</v>
      </c>
      <c r="Q440" s="34"/>
      <c r="R440" s="34"/>
      <c r="S440" s="34"/>
      <c r="T440" s="34"/>
    </row>
    <row r="441" ht="15.75" customHeight="1">
      <c r="B441" s="44">
        <v>46170.0</v>
      </c>
      <c r="C441" s="35">
        <v>17842.0</v>
      </c>
      <c r="D441" s="35">
        <v>24.0</v>
      </c>
      <c r="E441" s="37">
        <v>26.9</v>
      </c>
      <c r="F441" s="38">
        <f t="shared" si="1"/>
        <v>645.6</v>
      </c>
      <c r="G441" s="35" t="s">
        <v>1748</v>
      </c>
      <c r="H441" s="35" t="s">
        <v>1551</v>
      </c>
      <c r="I441" s="35" t="s">
        <v>32</v>
      </c>
      <c r="J441" s="35" t="s">
        <v>34</v>
      </c>
      <c r="K441" s="35" t="s">
        <v>35</v>
      </c>
      <c r="L441" s="35" t="s">
        <v>96</v>
      </c>
      <c r="M441" s="39">
        <v>31.0</v>
      </c>
      <c r="N441" s="41">
        <v>46170.0</v>
      </c>
      <c r="O441" s="42" t="b">
        <v>1</v>
      </c>
      <c r="P441" s="44">
        <v>46170.0</v>
      </c>
      <c r="Q441" s="34"/>
      <c r="R441" s="34"/>
      <c r="S441" s="34"/>
      <c r="T441" s="34"/>
    </row>
    <row r="442" ht="15.75" customHeight="1">
      <c r="B442" s="44">
        <v>46170.0</v>
      </c>
      <c r="C442" s="35">
        <v>17842.0</v>
      </c>
      <c r="D442" s="35">
        <v>20.0</v>
      </c>
      <c r="E442" s="37">
        <v>79.9</v>
      </c>
      <c r="F442" s="38">
        <f t="shared" si="1"/>
        <v>1598</v>
      </c>
      <c r="G442" s="35" t="s">
        <v>2510</v>
      </c>
      <c r="H442" s="35" t="s">
        <v>2263</v>
      </c>
      <c r="I442" s="35" t="s">
        <v>32</v>
      </c>
      <c r="J442" s="35" t="s">
        <v>34</v>
      </c>
      <c r="K442" s="35" t="s">
        <v>35</v>
      </c>
      <c r="L442" s="35" t="s">
        <v>96</v>
      </c>
      <c r="M442" s="39">
        <v>31.0</v>
      </c>
      <c r="N442" s="41">
        <v>46170.0</v>
      </c>
      <c r="O442" s="42" t="b">
        <v>1</v>
      </c>
      <c r="P442" s="44">
        <v>46170.0</v>
      </c>
      <c r="Q442" s="34"/>
      <c r="R442" s="34"/>
      <c r="S442" s="34"/>
      <c r="T442" s="34"/>
    </row>
    <row r="443" ht="15.75" customHeight="1">
      <c r="B443" s="44">
        <v>46170.0</v>
      </c>
      <c r="C443" s="35">
        <v>17842.0</v>
      </c>
      <c r="D443" s="35">
        <v>20.0</v>
      </c>
      <c r="E443" s="37">
        <v>59.9</v>
      </c>
      <c r="F443" s="38">
        <f t="shared" si="1"/>
        <v>1198</v>
      </c>
      <c r="G443" s="35" t="s">
        <v>2515</v>
      </c>
      <c r="H443" s="35" t="s">
        <v>2517</v>
      </c>
      <c r="I443" s="35" t="s">
        <v>32</v>
      </c>
      <c r="J443" s="35" t="s">
        <v>34</v>
      </c>
      <c r="K443" s="35" t="s">
        <v>35</v>
      </c>
      <c r="L443" s="35" t="s">
        <v>96</v>
      </c>
      <c r="M443" s="39">
        <v>31.0</v>
      </c>
      <c r="N443" s="41">
        <v>46170.0</v>
      </c>
      <c r="O443" s="42" t="b">
        <v>1</v>
      </c>
      <c r="P443" s="44">
        <v>46170.0</v>
      </c>
      <c r="Q443" s="34"/>
      <c r="R443" s="34"/>
      <c r="S443" s="34"/>
      <c r="T443" s="34"/>
    </row>
    <row r="444" ht="15.75" customHeight="1">
      <c r="B444" s="44">
        <v>46170.0</v>
      </c>
      <c r="C444" s="35">
        <v>17842.0</v>
      </c>
      <c r="D444" s="35">
        <v>20.0</v>
      </c>
      <c r="E444" s="37">
        <v>109.9</v>
      </c>
      <c r="F444" s="38">
        <f t="shared" si="1"/>
        <v>2198</v>
      </c>
      <c r="G444" s="35" t="s">
        <v>416</v>
      </c>
      <c r="H444" s="35" t="s">
        <v>417</v>
      </c>
      <c r="I444" s="35" t="s">
        <v>32</v>
      </c>
      <c r="J444" s="35" t="s">
        <v>34</v>
      </c>
      <c r="K444" s="35" t="s">
        <v>35</v>
      </c>
      <c r="L444" s="35" t="s">
        <v>96</v>
      </c>
      <c r="M444" s="39">
        <v>31.0</v>
      </c>
      <c r="N444" s="41">
        <v>46170.0</v>
      </c>
      <c r="O444" s="42" t="b">
        <v>1</v>
      </c>
      <c r="P444" s="44">
        <v>46170.0</v>
      </c>
      <c r="Q444" s="34"/>
      <c r="R444" s="34"/>
      <c r="S444" s="34"/>
      <c r="T444" s="34"/>
    </row>
    <row r="445" ht="15.75" customHeight="1">
      <c r="B445" s="44">
        <v>46170.0</v>
      </c>
      <c r="C445" s="35">
        <v>17842.0</v>
      </c>
      <c r="D445" s="35">
        <v>20.0</v>
      </c>
      <c r="E445" s="37">
        <v>21.9</v>
      </c>
      <c r="F445" s="38">
        <f t="shared" si="1"/>
        <v>438</v>
      </c>
      <c r="G445" s="35" t="s">
        <v>2522</v>
      </c>
      <c r="H445" s="35" t="s">
        <v>2524</v>
      </c>
      <c r="I445" s="35" t="s">
        <v>32</v>
      </c>
      <c r="J445" s="35" t="s">
        <v>34</v>
      </c>
      <c r="K445" s="35" t="s">
        <v>35</v>
      </c>
      <c r="L445" s="35" t="s">
        <v>96</v>
      </c>
      <c r="M445" s="39">
        <v>31.0</v>
      </c>
      <c r="N445" s="41">
        <v>46170.0</v>
      </c>
      <c r="O445" s="42" t="b">
        <v>1</v>
      </c>
      <c r="P445" s="44">
        <v>46170.0</v>
      </c>
      <c r="Q445" s="34"/>
      <c r="R445" s="34"/>
      <c r="S445" s="34"/>
      <c r="T445" s="34"/>
    </row>
    <row r="446" ht="15.75" customHeight="1">
      <c r="B446" s="44">
        <v>46170.0</v>
      </c>
      <c r="C446" s="35">
        <v>17842.0</v>
      </c>
      <c r="D446" s="35">
        <v>20.0</v>
      </c>
      <c r="E446" s="37">
        <v>26.99</v>
      </c>
      <c r="F446" s="38">
        <f t="shared" si="1"/>
        <v>539.8</v>
      </c>
      <c r="G446" s="35" t="s">
        <v>2530</v>
      </c>
      <c r="H446" s="35" t="s">
        <v>2532</v>
      </c>
      <c r="I446" s="35" t="s">
        <v>32</v>
      </c>
      <c r="J446" s="35" t="s">
        <v>34</v>
      </c>
      <c r="K446" s="35" t="s">
        <v>35</v>
      </c>
      <c r="L446" s="35" t="s">
        <v>96</v>
      </c>
      <c r="M446" s="39">
        <v>31.0</v>
      </c>
      <c r="N446" s="41">
        <v>46170.0</v>
      </c>
      <c r="O446" s="42" t="b">
        <v>1</v>
      </c>
      <c r="P446" s="44">
        <v>46170.0</v>
      </c>
      <c r="Q446" s="34"/>
      <c r="R446" s="34"/>
      <c r="S446" s="34"/>
      <c r="T446" s="34"/>
    </row>
    <row r="447" ht="15.75" customHeight="1">
      <c r="B447" s="44">
        <v>46170.0</v>
      </c>
      <c r="C447" s="35">
        <v>17842.0</v>
      </c>
      <c r="D447" s="35">
        <v>100.0</v>
      </c>
      <c r="E447" s="37">
        <v>12.9</v>
      </c>
      <c r="F447" s="38">
        <f t="shared" si="1"/>
        <v>1290</v>
      </c>
      <c r="G447" s="35" t="s">
        <v>266</v>
      </c>
      <c r="H447" s="35" t="s">
        <v>2537</v>
      </c>
      <c r="I447" s="35" t="s">
        <v>32</v>
      </c>
      <c r="J447" s="35" t="s">
        <v>34</v>
      </c>
      <c r="K447" s="35" t="s">
        <v>35</v>
      </c>
      <c r="L447" s="35" t="s">
        <v>96</v>
      </c>
      <c r="M447" s="39">
        <v>31.0</v>
      </c>
      <c r="N447" s="41">
        <v>46170.0</v>
      </c>
      <c r="O447" s="42" t="b">
        <v>1</v>
      </c>
      <c r="P447" s="44">
        <v>46170.0</v>
      </c>
      <c r="Q447" s="34"/>
      <c r="R447" s="34"/>
      <c r="S447" s="34"/>
      <c r="T447" s="34"/>
    </row>
    <row r="448" ht="15.75" customHeight="1">
      <c r="B448" s="44">
        <v>46170.0</v>
      </c>
      <c r="C448" s="35">
        <v>17842.0</v>
      </c>
      <c r="D448" s="35">
        <v>50.0</v>
      </c>
      <c r="E448" s="37">
        <v>12.99</v>
      </c>
      <c r="F448" s="38">
        <f t="shared" si="1"/>
        <v>649.5</v>
      </c>
      <c r="G448" s="35" t="s">
        <v>2544</v>
      </c>
      <c r="H448" s="35" t="s">
        <v>894</v>
      </c>
      <c r="I448" s="35" t="s">
        <v>32</v>
      </c>
      <c r="J448" s="35" t="s">
        <v>34</v>
      </c>
      <c r="K448" s="35" t="s">
        <v>35</v>
      </c>
      <c r="L448" s="35" t="s">
        <v>96</v>
      </c>
      <c r="M448" s="39">
        <v>31.0</v>
      </c>
      <c r="N448" s="41">
        <v>46170.0</v>
      </c>
      <c r="O448" s="42" t="b">
        <v>1</v>
      </c>
      <c r="P448" s="44">
        <v>46170.0</v>
      </c>
      <c r="Q448" s="34"/>
      <c r="R448" s="34"/>
      <c r="S448" s="34"/>
      <c r="T448" s="34"/>
    </row>
    <row r="449" ht="15.75" customHeight="1">
      <c r="B449" s="33">
        <v>46170.0</v>
      </c>
      <c r="C449" s="35">
        <v>1032.0</v>
      </c>
      <c r="D449" s="35">
        <v>200.0</v>
      </c>
      <c r="E449" s="37">
        <v>180.0</v>
      </c>
      <c r="F449" s="38">
        <f t="shared" si="1"/>
        <v>36000</v>
      </c>
      <c r="G449" s="35" t="s">
        <v>1130</v>
      </c>
      <c r="H449" s="35" t="s">
        <v>1131</v>
      </c>
      <c r="I449" s="35" t="s">
        <v>41</v>
      </c>
      <c r="J449" s="35" t="s">
        <v>40</v>
      </c>
      <c r="K449" s="35" t="s">
        <v>35</v>
      </c>
      <c r="L449" s="35" t="s">
        <v>132</v>
      </c>
      <c r="M449" s="39">
        <v>31.0</v>
      </c>
      <c r="N449" s="41">
        <v>46171.0</v>
      </c>
      <c r="O449" s="42" t="b">
        <v>1</v>
      </c>
      <c r="P449" s="44"/>
      <c r="Q449" s="34"/>
      <c r="R449" s="34"/>
      <c r="S449" s="34"/>
      <c r="T449" s="34"/>
    </row>
    <row r="450" ht="15.75" customHeight="1">
      <c r="B450" s="33">
        <v>46170.0</v>
      </c>
      <c r="C450" s="46" t="s">
        <v>2550</v>
      </c>
      <c r="D450" s="35">
        <v>5.0</v>
      </c>
      <c r="E450" s="37">
        <v>290.0</v>
      </c>
      <c r="F450" s="38">
        <f t="shared" si="1"/>
        <v>1450</v>
      </c>
      <c r="G450" s="35" t="s">
        <v>2551</v>
      </c>
      <c r="H450" s="35" t="s">
        <v>2552</v>
      </c>
      <c r="I450" s="35" t="s">
        <v>59</v>
      </c>
      <c r="J450" s="35" t="s">
        <v>34</v>
      </c>
      <c r="K450" s="35" t="s">
        <v>35</v>
      </c>
      <c r="L450" s="35" t="s">
        <v>87</v>
      </c>
      <c r="M450" s="39">
        <v>31.0</v>
      </c>
      <c r="N450" s="41">
        <v>46171.0</v>
      </c>
      <c r="O450" s="42" t="b">
        <v>1</v>
      </c>
      <c r="P450" s="44">
        <v>46171.0</v>
      </c>
      <c r="Q450" s="34"/>
      <c r="R450" s="34"/>
      <c r="S450" s="34"/>
      <c r="T450" s="34"/>
    </row>
    <row r="451" ht="15.75" customHeight="1">
      <c r="B451" s="33">
        <v>46170.0</v>
      </c>
      <c r="C451" s="35">
        <v>17463.0</v>
      </c>
      <c r="D451" s="35">
        <v>200.0</v>
      </c>
      <c r="E451" s="37">
        <v>9.486</v>
      </c>
      <c r="F451" s="38">
        <f t="shared" si="1"/>
        <v>1897.2</v>
      </c>
      <c r="G451" s="35" t="s">
        <v>1181</v>
      </c>
      <c r="H451" s="35" t="s">
        <v>561</v>
      </c>
      <c r="I451" s="35" t="s">
        <v>77</v>
      </c>
      <c r="J451" s="35" t="s">
        <v>79</v>
      </c>
      <c r="K451" s="35" t="s">
        <v>35</v>
      </c>
      <c r="L451" s="35" t="s">
        <v>719</v>
      </c>
      <c r="M451" s="39">
        <v>1.0</v>
      </c>
      <c r="N451" s="41">
        <v>46171.0</v>
      </c>
      <c r="O451" s="42" t="b">
        <v>1</v>
      </c>
      <c r="P451" s="44"/>
      <c r="Q451" s="34"/>
      <c r="R451" s="34"/>
      <c r="S451" s="34"/>
      <c r="T451" s="34"/>
    </row>
    <row r="452" ht="15.75" customHeight="1">
      <c r="B452" s="33">
        <v>46170.0</v>
      </c>
      <c r="C452" s="35">
        <v>17896.0</v>
      </c>
      <c r="D452" s="35">
        <v>100.0</v>
      </c>
      <c r="E452" s="37">
        <v>12.8</v>
      </c>
      <c r="F452" s="38">
        <f t="shared" si="1"/>
        <v>1280</v>
      </c>
      <c r="G452" s="35" t="s">
        <v>2561</v>
      </c>
      <c r="H452" s="35" t="s">
        <v>2562</v>
      </c>
      <c r="I452" s="35" t="s">
        <v>32</v>
      </c>
      <c r="J452" s="35" t="s">
        <v>34</v>
      </c>
      <c r="K452" s="35" t="s">
        <v>35</v>
      </c>
      <c r="L452" s="35" t="s">
        <v>96</v>
      </c>
      <c r="M452" s="39">
        <v>31.0</v>
      </c>
      <c r="N452" s="77" t="str">
        <f t="shared" ref="N452:N454" si="4">IF(B452="","",IF(B452&lt;TODAY()-2,"ATRASADO","EM DIA"))</f>
        <v>ATRASADO</v>
      </c>
      <c r="O452" s="42" t="b">
        <v>0</v>
      </c>
      <c r="P452" s="36"/>
      <c r="Q452" s="34"/>
      <c r="R452" s="34"/>
      <c r="S452" s="34"/>
      <c r="T452" s="34"/>
    </row>
    <row r="453" ht="15.75" customHeight="1">
      <c r="B453" s="33">
        <v>46170.0</v>
      </c>
      <c r="C453" s="35">
        <v>17896.0</v>
      </c>
      <c r="D453" s="35">
        <v>100.0</v>
      </c>
      <c r="E453" s="37">
        <v>11.99</v>
      </c>
      <c r="F453" s="38">
        <f t="shared" si="1"/>
        <v>1199</v>
      </c>
      <c r="G453" s="35" t="s">
        <v>2583</v>
      </c>
      <c r="H453" s="35" t="s">
        <v>2584</v>
      </c>
      <c r="I453" s="35" t="s">
        <v>32</v>
      </c>
      <c r="J453" s="35" t="s">
        <v>34</v>
      </c>
      <c r="K453" s="35" t="s">
        <v>35</v>
      </c>
      <c r="L453" s="35" t="s">
        <v>96</v>
      </c>
      <c r="M453" s="39">
        <v>31.0</v>
      </c>
      <c r="N453" s="77" t="str">
        <f t="shared" si="4"/>
        <v>ATRASADO</v>
      </c>
      <c r="O453" s="42" t="b">
        <v>0</v>
      </c>
      <c r="P453" s="36"/>
      <c r="Q453" s="34"/>
      <c r="R453" s="34"/>
      <c r="S453" s="34"/>
      <c r="T453" s="34"/>
    </row>
    <row r="454" ht="15.75" customHeight="1">
      <c r="B454" s="33">
        <v>46170.0</v>
      </c>
      <c r="C454" s="35">
        <v>12927.0</v>
      </c>
      <c r="D454" s="35">
        <v>40.0</v>
      </c>
      <c r="E454" s="37">
        <v>32.4</v>
      </c>
      <c r="F454" s="38">
        <f t="shared" si="1"/>
        <v>1296</v>
      </c>
      <c r="G454" s="35" t="s">
        <v>2591</v>
      </c>
      <c r="H454" s="35" t="s">
        <v>1421</v>
      </c>
      <c r="I454" s="35" t="s">
        <v>32</v>
      </c>
      <c r="J454" s="35" t="s">
        <v>34</v>
      </c>
      <c r="K454" s="35" t="s">
        <v>35</v>
      </c>
      <c r="L454" s="35" t="s">
        <v>279</v>
      </c>
      <c r="M454" s="39">
        <v>31.0</v>
      </c>
      <c r="N454" s="77" t="str">
        <f t="shared" si="4"/>
        <v>ATRASADO</v>
      </c>
      <c r="O454" s="42" t="b">
        <v>0</v>
      </c>
      <c r="P454" s="45"/>
      <c r="Q454" s="34"/>
      <c r="R454" s="34"/>
      <c r="S454" s="34"/>
      <c r="T454" s="34"/>
    </row>
    <row r="455" ht="16.5" customHeight="1">
      <c r="B455" s="33">
        <v>46170.0</v>
      </c>
      <c r="C455" s="35">
        <v>17675.0</v>
      </c>
      <c r="D455" s="35">
        <v>3.0</v>
      </c>
      <c r="E455" s="37">
        <v>249.9</v>
      </c>
      <c r="F455" s="38">
        <f t="shared" si="1"/>
        <v>749.7</v>
      </c>
      <c r="G455" s="35" t="s">
        <v>2594</v>
      </c>
      <c r="H455" s="35" t="s">
        <v>2595</v>
      </c>
      <c r="I455" s="35" t="s">
        <v>32</v>
      </c>
      <c r="J455" s="35" t="s">
        <v>34</v>
      </c>
      <c r="K455" s="35" t="s">
        <v>35</v>
      </c>
      <c r="L455" s="35" t="s">
        <v>96</v>
      </c>
      <c r="M455" s="39">
        <v>31.0</v>
      </c>
      <c r="N455" s="41">
        <v>46183.0</v>
      </c>
      <c r="O455" s="42" t="b">
        <v>0</v>
      </c>
      <c r="P455" s="45"/>
      <c r="Q455" s="34"/>
      <c r="R455" s="34"/>
      <c r="S455" s="34"/>
      <c r="T455" s="34"/>
    </row>
    <row r="456" ht="15.75" customHeight="1">
      <c r="B456" s="33">
        <v>46170.0</v>
      </c>
      <c r="C456" s="35">
        <v>17675.0</v>
      </c>
      <c r="D456" s="35">
        <v>3.0</v>
      </c>
      <c r="E456" s="37">
        <v>229.9</v>
      </c>
      <c r="F456" s="38">
        <f t="shared" si="1"/>
        <v>689.7</v>
      </c>
      <c r="G456" s="35" t="s">
        <v>471</v>
      </c>
      <c r="H456" s="35" t="s">
        <v>472</v>
      </c>
      <c r="I456" s="35" t="s">
        <v>32</v>
      </c>
      <c r="J456" s="35" t="s">
        <v>34</v>
      </c>
      <c r="K456" s="35" t="s">
        <v>35</v>
      </c>
      <c r="L456" s="35" t="s">
        <v>96</v>
      </c>
      <c r="M456" s="39">
        <v>31.0</v>
      </c>
      <c r="N456" s="41">
        <v>46183.0</v>
      </c>
      <c r="O456" s="42" t="b">
        <v>0</v>
      </c>
      <c r="P456" s="45"/>
      <c r="Q456" s="34"/>
      <c r="R456" s="34"/>
      <c r="S456" s="34"/>
      <c r="T456" s="34"/>
    </row>
    <row r="457" ht="15.75" customHeight="1">
      <c r="B457" s="33">
        <v>46170.0</v>
      </c>
      <c r="C457" s="35">
        <v>17675.0</v>
      </c>
      <c r="D457" s="35">
        <v>5.0</v>
      </c>
      <c r="E457" s="37">
        <v>179.9</v>
      </c>
      <c r="F457" s="38">
        <f t="shared" si="1"/>
        <v>899.5</v>
      </c>
      <c r="G457" s="35" t="s">
        <v>1940</v>
      </c>
      <c r="H457" s="35" t="s">
        <v>1942</v>
      </c>
      <c r="I457" s="35" t="s">
        <v>32</v>
      </c>
      <c r="J457" s="35" t="s">
        <v>34</v>
      </c>
      <c r="K457" s="35" t="s">
        <v>35</v>
      </c>
      <c r="L457" s="35" t="s">
        <v>96</v>
      </c>
      <c r="M457" s="39">
        <v>31.0</v>
      </c>
      <c r="N457" s="41">
        <v>46183.0</v>
      </c>
      <c r="O457" s="42" t="b">
        <v>0</v>
      </c>
      <c r="P457" s="45"/>
      <c r="Q457" s="34"/>
      <c r="R457" s="34"/>
      <c r="S457" s="34"/>
      <c r="T457" s="34"/>
    </row>
    <row r="458" ht="15.75" customHeight="1">
      <c r="B458" s="33">
        <v>46170.0</v>
      </c>
      <c r="C458" s="35">
        <v>17675.0</v>
      </c>
      <c r="D458" s="35">
        <v>5.0</v>
      </c>
      <c r="E458" s="37">
        <v>219.9</v>
      </c>
      <c r="F458" s="38">
        <f t="shared" si="1"/>
        <v>1099.5</v>
      </c>
      <c r="G458" s="35" t="s">
        <v>1940</v>
      </c>
      <c r="H458" s="35" t="s">
        <v>1999</v>
      </c>
      <c r="I458" s="35" t="s">
        <v>32</v>
      </c>
      <c r="J458" s="35" t="s">
        <v>34</v>
      </c>
      <c r="K458" s="35" t="s">
        <v>35</v>
      </c>
      <c r="L458" s="35" t="s">
        <v>96</v>
      </c>
      <c r="M458" s="39">
        <v>31.0</v>
      </c>
      <c r="N458" s="41">
        <v>46183.0</v>
      </c>
      <c r="O458" s="42" t="b">
        <v>0</v>
      </c>
      <c r="P458" s="36"/>
      <c r="Q458" s="34"/>
      <c r="R458" s="34"/>
      <c r="S458" s="34"/>
      <c r="T458" s="34"/>
    </row>
    <row r="459" ht="15.75" customHeight="1">
      <c r="B459" s="33">
        <v>46170.0</v>
      </c>
      <c r="C459" s="35">
        <v>17675.0</v>
      </c>
      <c r="D459" s="35">
        <v>2.0</v>
      </c>
      <c r="E459" s="37">
        <v>379.9</v>
      </c>
      <c r="F459" s="38">
        <f t="shared" si="1"/>
        <v>759.8</v>
      </c>
      <c r="G459" s="35" t="s">
        <v>2374</v>
      </c>
      <c r="H459" s="35" t="s">
        <v>1218</v>
      </c>
      <c r="I459" s="35" t="s">
        <v>32</v>
      </c>
      <c r="J459" s="35" t="s">
        <v>34</v>
      </c>
      <c r="K459" s="35" t="s">
        <v>35</v>
      </c>
      <c r="L459" s="35" t="s">
        <v>96</v>
      </c>
      <c r="M459" s="39">
        <v>31.0</v>
      </c>
      <c r="N459" s="41">
        <v>46183.0</v>
      </c>
      <c r="O459" s="42" t="b">
        <v>0</v>
      </c>
      <c r="P459" s="45"/>
      <c r="Q459" s="34"/>
      <c r="R459" s="34"/>
      <c r="S459" s="34"/>
      <c r="T459" s="34"/>
    </row>
    <row r="460" ht="15.75" customHeight="1">
      <c r="B460" s="33">
        <v>46170.0</v>
      </c>
      <c r="C460" s="35">
        <v>17675.0</v>
      </c>
      <c r="D460" s="35">
        <v>12.0</v>
      </c>
      <c r="E460" s="37">
        <v>59.9</v>
      </c>
      <c r="F460" s="38">
        <f t="shared" si="1"/>
        <v>718.8</v>
      </c>
      <c r="G460" s="35" t="s">
        <v>2431</v>
      </c>
      <c r="H460" s="35" t="s">
        <v>2432</v>
      </c>
      <c r="I460" s="35" t="s">
        <v>32</v>
      </c>
      <c r="J460" s="35" t="s">
        <v>34</v>
      </c>
      <c r="K460" s="35" t="s">
        <v>35</v>
      </c>
      <c r="L460" s="35" t="s">
        <v>96</v>
      </c>
      <c r="M460" s="39">
        <v>31.0</v>
      </c>
      <c r="N460" s="41">
        <v>46183.0</v>
      </c>
      <c r="O460" s="42" t="b">
        <v>0</v>
      </c>
      <c r="P460" s="45"/>
      <c r="Q460" s="34"/>
      <c r="R460" s="34"/>
      <c r="S460" s="34"/>
      <c r="T460" s="34"/>
    </row>
    <row r="461" ht="15.75" customHeight="1">
      <c r="B461" s="33">
        <v>46170.0</v>
      </c>
      <c r="C461" s="35">
        <v>17675.0</v>
      </c>
      <c r="D461" s="35">
        <v>48.0</v>
      </c>
      <c r="E461" s="37">
        <v>89.9</v>
      </c>
      <c r="F461" s="38">
        <f t="shared" si="1"/>
        <v>4315.2</v>
      </c>
      <c r="G461" s="35" t="s">
        <v>2616</v>
      </c>
      <c r="H461" s="35" t="s">
        <v>2617</v>
      </c>
      <c r="I461" s="35" t="s">
        <v>32</v>
      </c>
      <c r="J461" s="35" t="s">
        <v>34</v>
      </c>
      <c r="K461" s="35" t="s">
        <v>35</v>
      </c>
      <c r="L461" s="35" t="s">
        <v>96</v>
      </c>
      <c r="M461" s="39">
        <v>31.0</v>
      </c>
      <c r="N461" s="41">
        <v>46183.0</v>
      </c>
      <c r="O461" s="42" t="b">
        <v>0</v>
      </c>
      <c r="P461" s="45"/>
      <c r="Q461" s="34"/>
      <c r="R461" s="34"/>
      <c r="S461" s="34"/>
      <c r="T461" s="34"/>
    </row>
    <row r="462" ht="15.75" customHeight="1">
      <c r="B462" s="33">
        <v>46170.0</v>
      </c>
      <c r="C462" s="35">
        <v>17675.0</v>
      </c>
      <c r="D462" s="35">
        <v>50.0</v>
      </c>
      <c r="E462" s="37">
        <v>129.9</v>
      </c>
      <c r="F462" s="38">
        <f t="shared" si="1"/>
        <v>6495</v>
      </c>
      <c r="G462" s="35" t="s">
        <v>2409</v>
      </c>
      <c r="H462" s="35" t="s">
        <v>2622</v>
      </c>
      <c r="I462" s="35" t="s">
        <v>32</v>
      </c>
      <c r="J462" s="35" t="s">
        <v>34</v>
      </c>
      <c r="K462" s="35" t="s">
        <v>35</v>
      </c>
      <c r="L462" s="35" t="s">
        <v>96</v>
      </c>
      <c r="M462" s="39">
        <v>31.0</v>
      </c>
      <c r="N462" s="41">
        <v>46183.0</v>
      </c>
      <c r="O462" s="42" t="b">
        <v>0</v>
      </c>
      <c r="P462" s="45"/>
      <c r="Q462" s="34"/>
      <c r="R462" s="34"/>
      <c r="S462" s="34"/>
      <c r="T462" s="34"/>
    </row>
    <row r="463" ht="15.75" customHeight="1">
      <c r="B463" s="33">
        <v>46170.0</v>
      </c>
      <c r="C463" s="35">
        <v>17675.0</v>
      </c>
      <c r="D463" s="35">
        <v>50.0</v>
      </c>
      <c r="E463" s="37">
        <v>89.9</v>
      </c>
      <c r="F463" s="38">
        <f t="shared" si="1"/>
        <v>4495</v>
      </c>
      <c r="G463" s="35" t="s">
        <v>2409</v>
      </c>
      <c r="H463" s="35" t="s">
        <v>2633</v>
      </c>
      <c r="I463" s="35" t="s">
        <v>32</v>
      </c>
      <c r="J463" s="35" t="s">
        <v>34</v>
      </c>
      <c r="K463" s="35" t="s">
        <v>35</v>
      </c>
      <c r="L463" s="35" t="s">
        <v>96</v>
      </c>
      <c r="M463" s="39">
        <v>31.0</v>
      </c>
      <c r="N463" s="41">
        <v>46183.0</v>
      </c>
      <c r="O463" s="42" t="b">
        <v>0</v>
      </c>
      <c r="P463" s="45"/>
      <c r="Q463" s="34"/>
      <c r="R463" s="34"/>
      <c r="S463" s="34"/>
      <c r="T463" s="34"/>
    </row>
    <row r="464" ht="15.75" customHeight="1">
      <c r="B464" s="33">
        <v>46170.0</v>
      </c>
      <c r="C464" s="35">
        <v>17675.0</v>
      </c>
      <c r="D464" s="35">
        <v>100.0</v>
      </c>
      <c r="E464" s="37">
        <v>11.9</v>
      </c>
      <c r="F464" s="38">
        <f t="shared" si="1"/>
        <v>1190</v>
      </c>
      <c r="G464" s="35" t="s">
        <v>2638</v>
      </c>
      <c r="H464" s="35" t="s">
        <v>2639</v>
      </c>
      <c r="I464" s="35" t="s">
        <v>32</v>
      </c>
      <c r="J464" s="35" t="s">
        <v>34</v>
      </c>
      <c r="K464" s="35" t="s">
        <v>35</v>
      </c>
      <c r="L464" s="35" t="s">
        <v>96</v>
      </c>
      <c r="M464" s="39">
        <v>31.0</v>
      </c>
      <c r="N464" s="41">
        <v>46183.0</v>
      </c>
      <c r="O464" s="42" t="b">
        <v>0</v>
      </c>
      <c r="P464" s="45"/>
      <c r="Q464" s="34"/>
      <c r="R464" s="34"/>
      <c r="S464" s="34"/>
      <c r="T464" s="34"/>
    </row>
    <row r="465" ht="15.75" customHeight="1">
      <c r="B465" s="33">
        <v>46170.0</v>
      </c>
      <c r="C465" s="35">
        <v>17675.0</v>
      </c>
      <c r="D465" s="35">
        <v>20.0</v>
      </c>
      <c r="E465" s="37">
        <v>79.9</v>
      </c>
      <c r="F465" s="38">
        <f t="shared" si="1"/>
        <v>1598</v>
      </c>
      <c r="G465" s="35" t="s">
        <v>2644</v>
      </c>
      <c r="H465" s="35" t="s">
        <v>2645</v>
      </c>
      <c r="I465" s="35" t="s">
        <v>32</v>
      </c>
      <c r="J465" s="35" t="s">
        <v>34</v>
      </c>
      <c r="K465" s="35" t="s">
        <v>35</v>
      </c>
      <c r="L465" s="35" t="s">
        <v>96</v>
      </c>
      <c r="M465" s="39">
        <v>31.0</v>
      </c>
      <c r="N465" s="41">
        <v>46183.0</v>
      </c>
      <c r="O465" s="42" t="b">
        <v>0</v>
      </c>
      <c r="P465" s="36"/>
      <c r="Q465" s="34"/>
      <c r="R465" s="34"/>
      <c r="S465" s="34"/>
      <c r="T465" s="34"/>
    </row>
    <row r="466" ht="15.75" customHeight="1">
      <c r="B466" s="33">
        <v>46170.0</v>
      </c>
      <c r="C466" s="35">
        <v>17675.0</v>
      </c>
      <c r="D466" s="35">
        <v>20.0</v>
      </c>
      <c r="E466" s="37">
        <v>62.9</v>
      </c>
      <c r="F466" s="38">
        <f t="shared" si="1"/>
        <v>1258</v>
      </c>
      <c r="G466" s="35" t="s">
        <v>2649</v>
      </c>
      <c r="H466" s="35" t="s">
        <v>2651</v>
      </c>
      <c r="I466" s="35" t="s">
        <v>32</v>
      </c>
      <c r="J466" s="35" t="s">
        <v>34</v>
      </c>
      <c r="K466" s="35" t="s">
        <v>35</v>
      </c>
      <c r="L466" s="35" t="s">
        <v>96</v>
      </c>
      <c r="M466" s="39">
        <v>31.0</v>
      </c>
      <c r="N466" s="41">
        <v>46183.0</v>
      </c>
      <c r="O466" s="42" t="b">
        <v>0</v>
      </c>
      <c r="P466" s="36"/>
      <c r="Q466" s="34"/>
      <c r="R466" s="34"/>
      <c r="S466" s="34"/>
      <c r="T466" s="34"/>
    </row>
    <row r="467" ht="15.75" customHeight="1">
      <c r="B467" s="33">
        <v>46170.0</v>
      </c>
      <c r="C467" s="46" t="s">
        <v>2118</v>
      </c>
      <c r="D467" s="35">
        <v>12.0</v>
      </c>
      <c r="E467" s="37">
        <v>52.2</v>
      </c>
      <c r="F467" s="38">
        <f t="shared" si="1"/>
        <v>626.4</v>
      </c>
      <c r="G467" s="35" t="s">
        <v>2654</v>
      </c>
      <c r="H467" s="35" t="s">
        <v>2656</v>
      </c>
      <c r="I467" s="35" t="s">
        <v>41</v>
      </c>
      <c r="J467" s="35" t="s">
        <v>34</v>
      </c>
      <c r="K467" s="35" t="s">
        <v>35</v>
      </c>
      <c r="L467" s="35" t="s">
        <v>241</v>
      </c>
      <c r="M467" s="39">
        <v>1.0</v>
      </c>
      <c r="N467" s="41">
        <v>46171.0</v>
      </c>
      <c r="O467" s="42" t="b">
        <v>1</v>
      </c>
      <c r="P467" s="44">
        <v>46174.0</v>
      </c>
      <c r="Q467" s="34"/>
      <c r="R467" s="34"/>
      <c r="S467" s="34"/>
      <c r="T467" s="34"/>
    </row>
    <row r="468" ht="15.75" customHeight="1">
      <c r="B468" s="33">
        <v>46170.0</v>
      </c>
      <c r="C468" s="46" t="s">
        <v>2118</v>
      </c>
      <c r="D468" s="35">
        <v>4.0</v>
      </c>
      <c r="E468" s="37">
        <v>160.2</v>
      </c>
      <c r="F468" s="38">
        <f t="shared" si="1"/>
        <v>640.8</v>
      </c>
      <c r="G468" s="35" t="s">
        <v>1098</v>
      </c>
      <c r="H468" s="35" t="s">
        <v>2662</v>
      </c>
      <c r="I468" s="35" t="s">
        <v>41</v>
      </c>
      <c r="J468" s="35" t="s">
        <v>34</v>
      </c>
      <c r="K468" s="35" t="s">
        <v>35</v>
      </c>
      <c r="L468" s="35" t="s">
        <v>241</v>
      </c>
      <c r="M468" s="39">
        <v>1.0</v>
      </c>
      <c r="N468" s="41">
        <v>46171.0</v>
      </c>
      <c r="O468" s="42" t="b">
        <v>1</v>
      </c>
      <c r="P468" s="44">
        <v>46174.0</v>
      </c>
      <c r="Q468" s="34"/>
      <c r="R468" s="34"/>
      <c r="S468" s="34"/>
      <c r="T468" s="34"/>
    </row>
    <row r="469" ht="15.75" customHeight="1">
      <c r="B469" s="33">
        <v>46170.0</v>
      </c>
      <c r="C469" s="35">
        <v>16010.0</v>
      </c>
      <c r="D469" s="35">
        <v>200.0</v>
      </c>
      <c r="E469" s="37">
        <v>26.4</v>
      </c>
      <c r="F469" s="38">
        <f t="shared" si="1"/>
        <v>5280</v>
      </c>
      <c r="G469" s="35" t="s">
        <v>1293</v>
      </c>
      <c r="H469" s="35" t="s">
        <v>35</v>
      </c>
      <c r="I469" s="35" t="s">
        <v>59</v>
      </c>
      <c r="J469" s="35" t="s">
        <v>34</v>
      </c>
      <c r="K469" s="35" t="s">
        <v>35</v>
      </c>
      <c r="L469" s="35" t="s">
        <v>877</v>
      </c>
      <c r="M469" s="39">
        <v>31.0</v>
      </c>
      <c r="N469" s="41">
        <v>46175.0</v>
      </c>
      <c r="O469" s="42" t="b">
        <v>1</v>
      </c>
      <c r="P469" s="44">
        <v>46175.0</v>
      </c>
      <c r="Q469" s="34"/>
      <c r="R469" s="34"/>
      <c r="S469" s="34"/>
      <c r="T469" s="34"/>
    </row>
    <row r="470" ht="15.75" customHeight="1">
      <c r="B470" s="33">
        <v>46170.0</v>
      </c>
      <c r="C470" s="35">
        <v>16010.0</v>
      </c>
      <c r="D470" s="35">
        <v>100.0</v>
      </c>
      <c r="E470" s="37">
        <v>13.8</v>
      </c>
      <c r="F470" s="38">
        <f t="shared" si="1"/>
        <v>1380</v>
      </c>
      <c r="G470" s="35" t="s">
        <v>1318</v>
      </c>
      <c r="H470" s="35" t="s">
        <v>35</v>
      </c>
      <c r="I470" s="35" t="s">
        <v>59</v>
      </c>
      <c r="J470" s="35" t="s">
        <v>34</v>
      </c>
      <c r="K470" s="35" t="s">
        <v>35</v>
      </c>
      <c r="L470" s="35" t="s">
        <v>877</v>
      </c>
      <c r="M470" s="39">
        <v>31.0</v>
      </c>
      <c r="N470" s="41">
        <v>46175.0</v>
      </c>
      <c r="O470" s="42" t="b">
        <v>1</v>
      </c>
      <c r="P470" s="44">
        <v>46175.0</v>
      </c>
      <c r="Q470" s="34"/>
      <c r="R470" s="34"/>
      <c r="S470" s="34"/>
      <c r="T470" s="34"/>
    </row>
    <row r="471" ht="15.75" customHeight="1">
      <c r="B471" s="33">
        <v>46170.0</v>
      </c>
      <c r="C471" s="35">
        <v>16003.0</v>
      </c>
      <c r="D471" s="35">
        <v>1000.0</v>
      </c>
      <c r="E471" s="37">
        <v>118.0</v>
      </c>
      <c r="F471" s="38">
        <f t="shared" si="1"/>
        <v>118000</v>
      </c>
      <c r="G471" s="35" t="s">
        <v>874</v>
      </c>
      <c r="H471" s="35" t="s">
        <v>2670</v>
      </c>
      <c r="I471" s="35" t="s">
        <v>41</v>
      </c>
      <c r="J471" s="35" t="s">
        <v>40</v>
      </c>
      <c r="K471" s="35" t="s">
        <v>35</v>
      </c>
      <c r="L471" s="35" t="s">
        <v>877</v>
      </c>
      <c r="M471" s="39">
        <v>31.0</v>
      </c>
      <c r="N471" s="77" t="str">
        <f>IF(B471="","",IF(B471&lt;TODAY()-2,"ATRASADO","EM DIA"))</f>
        <v>ATRASADO</v>
      </c>
      <c r="O471" s="42" t="b">
        <v>0</v>
      </c>
      <c r="P471" s="36"/>
      <c r="Q471" s="34"/>
      <c r="R471" s="34"/>
      <c r="S471" s="34"/>
      <c r="T471" s="34"/>
    </row>
    <row r="472" ht="15.75" customHeight="1">
      <c r="B472" s="33">
        <v>46170.0</v>
      </c>
      <c r="C472" s="35">
        <v>16002.0</v>
      </c>
      <c r="D472" s="35">
        <v>2000.0</v>
      </c>
      <c r="E472" s="37">
        <v>26.4</v>
      </c>
      <c r="F472" s="38">
        <f t="shared" si="1"/>
        <v>52800</v>
      </c>
      <c r="G472" s="35" t="s">
        <v>1293</v>
      </c>
      <c r="H472" s="35" t="s">
        <v>35</v>
      </c>
      <c r="I472" s="35" t="s">
        <v>32</v>
      </c>
      <c r="J472" s="35" t="s">
        <v>34</v>
      </c>
      <c r="K472" s="35" t="s">
        <v>35</v>
      </c>
      <c r="L472" s="35" t="s">
        <v>877</v>
      </c>
      <c r="M472" s="39">
        <v>31.0</v>
      </c>
      <c r="N472" s="41">
        <v>46176.0</v>
      </c>
      <c r="O472" s="42" t="b">
        <v>1</v>
      </c>
      <c r="P472" s="44">
        <v>46176.0</v>
      </c>
      <c r="Q472" s="34"/>
      <c r="R472" s="34"/>
      <c r="S472" s="34"/>
      <c r="T472" s="34"/>
    </row>
    <row r="473" ht="15.75" customHeight="1">
      <c r="B473" s="33">
        <v>46170.0</v>
      </c>
      <c r="C473" s="35">
        <v>16002.0</v>
      </c>
      <c r="D473" s="35">
        <v>2000.0</v>
      </c>
      <c r="E473" s="37">
        <v>41.7</v>
      </c>
      <c r="F473" s="38">
        <f t="shared" si="1"/>
        <v>83400</v>
      </c>
      <c r="G473" s="35" t="s">
        <v>1457</v>
      </c>
      <c r="H473" s="35" t="s">
        <v>35</v>
      </c>
      <c r="I473" s="35" t="s">
        <v>32</v>
      </c>
      <c r="J473" s="35" t="s">
        <v>34</v>
      </c>
      <c r="K473" s="35" t="s">
        <v>35</v>
      </c>
      <c r="L473" s="35" t="s">
        <v>877</v>
      </c>
      <c r="M473" s="39">
        <v>31.0</v>
      </c>
      <c r="N473" s="41">
        <v>46176.0</v>
      </c>
      <c r="O473" s="42" t="b">
        <v>1</v>
      </c>
      <c r="P473" s="44">
        <v>46176.0</v>
      </c>
      <c r="Q473" s="34"/>
      <c r="R473" s="34"/>
      <c r="S473" s="34"/>
      <c r="T473" s="34"/>
    </row>
    <row r="474" ht="15.75" customHeight="1">
      <c r="B474" s="33">
        <v>46171.0</v>
      </c>
      <c r="C474" s="46" t="s">
        <v>2682</v>
      </c>
      <c r="D474" s="35">
        <v>1.0</v>
      </c>
      <c r="E474" s="37">
        <v>522.0</v>
      </c>
      <c r="F474" s="38">
        <f t="shared" si="1"/>
        <v>522</v>
      </c>
      <c r="G474" s="35" t="s">
        <v>2684</v>
      </c>
      <c r="H474" s="35" t="s">
        <v>2685</v>
      </c>
      <c r="I474" s="35" t="s">
        <v>41</v>
      </c>
      <c r="J474" s="35" t="s">
        <v>34</v>
      </c>
      <c r="K474" s="35" t="s">
        <v>35</v>
      </c>
      <c r="L474" s="35" t="s">
        <v>151</v>
      </c>
      <c r="M474" s="39">
        <v>1.0</v>
      </c>
      <c r="N474" s="41">
        <v>46171.0</v>
      </c>
      <c r="O474" s="42" t="b">
        <v>1</v>
      </c>
      <c r="P474" s="44">
        <v>46174.0</v>
      </c>
      <c r="Q474" s="34"/>
      <c r="R474" s="34"/>
      <c r="S474" s="34"/>
      <c r="T474" s="34"/>
    </row>
    <row r="475" ht="15.75" customHeight="1">
      <c r="B475" s="33">
        <v>46171.0</v>
      </c>
      <c r="C475" s="35">
        <v>17995.0</v>
      </c>
      <c r="D475" s="35">
        <v>1.0</v>
      </c>
      <c r="E475" s="37">
        <v>359.9</v>
      </c>
      <c r="F475" s="38">
        <f t="shared" si="1"/>
        <v>359.9</v>
      </c>
      <c r="G475" s="35" t="s">
        <v>2690</v>
      </c>
      <c r="H475" s="35" t="s">
        <v>2691</v>
      </c>
      <c r="I475" s="35" t="s">
        <v>32</v>
      </c>
      <c r="J475" s="35" t="s">
        <v>34</v>
      </c>
      <c r="K475" s="35" t="s">
        <v>35</v>
      </c>
      <c r="L475" s="35" t="s">
        <v>96</v>
      </c>
      <c r="M475" s="39">
        <v>1.0</v>
      </c>
      <c r="N475" s="41">
        <v>46175.0</v>
      </c>
      <c r="O475" s="42" t="b">
        <v>0</v>
      </c>
      <c r="P475" s="36"/>
      <c r="Q475" s="34"/>
      <c r="R475" s="34"/>
      <c r="S475" s="34"/>
      <c r="T475" s="34"/>
    </row>
    <row r="476" ht="15.75" customHeight="1">
      <c r="B476" s="33">
        <v>46171.0</v>
      </c>
      <c r="C476" s="35">
        <v>17995.0</v>
      </c>
      <c r="D476" s="35">
        <v>10.0</v>
      </c>
      <c r="E476" s="37">
        <v>139.9</v>
      </c>
      <c r="F476" s="38">
        <f t="shared" si="1"/>
        <v>1399</v>
      </c>
      <c r="G476" s="35" t="s">
        <v>2696</v>
      </c>
      <c r="H476" s="35" t="s">
        <v>1566</v>
      </c>
      <c r="I476" s="35" t="s">
        <v>32</v>
      </c>
      <c r="J476" s="35" t="s">
        <v>34</v>
      </c>
      <c r="K476" s="35" t="s">
        <v>35</v>
      </c>
      <c r="L476" s="35" t="s">
        <v>96</v>
      </c>
      <c r="M476" s="39">
        <v>1.0</v>
      </c>
      <c r="N476" s="41">
        <v>46175.0</v>
      </c>
      <c r="O476" s="42" t="b">
        <v>1</v>
      </c>
      <c r="P476" s="44">
        <v>46176.0</v>
      </c>
      <c r="Q476" s="34"/>
      <c r="R476" s="34"/>
      <c r="S476" s="34"/>
      <c r="T476" s="34"/>
    </row>
    <row r="477" ht="15.75" customHeight="1">
      <c r="B477" s="33">
        <v>46171.0</v>
      </c>
      <c r="C477" s="35">
        <v>17995.0</v>
      </c>
      <c r="D477" s="35">
        <v>5.0</v>
      </c>
      <c r="E477" s="37">
        <v>299.9</v>
      </c>
      <c r="F477" s="38">
        <f t="shared" si="1"/>
        <v>1499.5</v>
      </c>
      <c r="G477" s="35" t="s">
        <v>1326</v>
      </c>
      <c r="H477" s="35" t="s">
        <v>1327</v>
      </c>
      <c r="I477" s="35" t="s">
        <v>32</v>
      </c>
      <c r="J477" s="35" t="s">
        <v>34</v>
      </c>
      <c r="K477" s="35" t="s">
        <v>35</v>
      </c>
      <c r="L477" s="35" t="s">
        <v>96</v>
      </c>
      <c r="M477" s="39">
        <v>1.0</v>
      </c>
      <c r="N477" s="41">
        <v>46175.0</v>
      </c>
      <c r="O477" s="42" t="b">
        <v>1</v>
      </c>
      <c r="P477" s="44">
        <v>46176.0</v>
      </c>
      <c r="Q477" s="34"/>
      <c r="R477" s="34"/>
      <c r="S477" s="34"/>
      <c r="T477" s="34"/>
    </row>
    <row r="478" ht="15.75" customHeight="1">
      <c r="B478" s="33">
        <v>46171.0</v>
      </c>
      <c r="C478" s="35">
        <v>9368.0</v>
      </c>
      <c r="D478" s="35">
        <v>600.0</v>
      </c>
      <c r="E478" s="37">
        <v>18.0</v>
      </c>
      <c r="F478" s="38">
        <f t="shared" si="1"/>
        <v>10800</v>
      </c>
      <c r="G478" s="35" t="s">
        <v>2708</v>
      </c>
      <c r="H478" s="35" t="s">
        <v>2709</v>
      </c>
      <c r="I478" s="35" t="s">
        <v>41</v>
      </c>
      <c r="J478" s="35" t="s">
        <v>34</v>
      </c>
      <c r="K478" s="35" t="s">
        <v>35</v>
      </c>
      <c r="L478" s="35" t="s">
        <v>87</v>
      </c>
      <c r="M478" s="39">
        <v>31.0</v>
      </c>
      <c r="N478" s="41">
        <v>46174.0</v>
      </c>
      <c r="O478" s="42" t="b">
        <v>1</v>
      </c>
      <c r="P478" s="44">
        <v>46176.0</v>
      </c>
      <c r="Q478" s="34"/>
      <c r="R478" s="34"/>
      <c r="S478" s="34"/>
      <c r="T478" s="34"/>
    </row>
    <row r="479" ht="15.75" customHeight="1">
      <c r="B479" s="33">
        <v>46171.0</v>
      </c>
      <c r="C479" s="35" t="s">
        <v>35</v>
      </c>
      <c r="D479" s="35">
        <v>287.0</v>
      </c>
      <c r="E479" s="37">
        <v>486.56</v>
      </c>
      <c r="F479" s="38">
        <f t="shared" si="1"/>
        <v>139642.72</v>
      </c>
      <c r="G479" s="35" t="s">
        <v>2711</v>
      </c>
      <c r="H479" s="35" t="s">
        <v>35</v>
      </c>
      <c r="I479" s="35" t="s">
        <v>59</v>
      </c>
      <c r="J479" s="35" t="s">
        <v>34</v>
      </c>
      <c r="K479" s="35" t="s">
        <v>35</v>
      </c>
      <c r="L479" s="35" t="s">
        <v>365</v>
      </c>
      <c r="M479" s="39">
        <v>31.0</v>
      </c>
      <c r="N479" s="41">
        <v>46171.0</v>
      </c>
      <c r="O479" s="42" t="b">
        <v>0</v>
      </c>
      <c r="P479" s="44"/>
      <c r="Q479" s="34"/>
      <c r="R479" s="34"/>
      <c r="S479" s="34"/>
      <c r="T479" s="34"/>
    </row>
    <row r="480" ht="15.75" customHeight="1">
      <c r="B480" s="33">
        <v>46171.0</v>
      </c>
      <c r="C480" s="35" t="s">
        <v>35</v>
      </c>
      <c r="D480" s="35">
        <v>25.0</v>
      </c>
      <c r="E480" s="37">
        <v>453.69</v>
      </c>
      <c r="F480" s="38">
        <f t="shared" si="1"/>
        <v>11342.25</v>
      </c>
      <c r="G480" s="35" t="s">
        <v>2715</v>
      </c>
      <c r="H480" s="35" t="s">
        <v>35</v>
      </c>
      <c r="I480" s="35" t="s">
        <v>59</v>
      </c>
      <c r="J480" s="35" t="s">
        <v>34</v>
      </c>
      <c r="K480" s="35" t="s">
        <v>35</v>
      </c>
      <c r="L480" s="35" t="s">
        <v>365</v>
      </c>
      <c r="M480" s="39">
        <v>31.0</v>
      </c>
      <c r="N480" s="41">
        <v>46171.0</v>
      </c>
      <c r="O480" s="42" t="b">
        <v>0</v>
      </c>
      <c r="P480" s="44"/>
      <c r="Q480" s="34"/>
      <c r="R480" s="34"/>
      <c r="S480" s="34"/>
      <c r="T480" s="34"/>
    </row>
    <row r="481" ht="15.75" customHeight="1">
      <c r="B481" s="33">
        <v>46171.0</v>
      </c>
      <c r="C481" s="35" t="s">
        <v>35</v>
      </c>
      <c r="D481" s="35">
        <v>26.0</v>
      </c>
      <c r="E481" s="37">
        <v>208.58</v>
      </c>
      <c r="F481" s="38">
        <f t="shared" si="1"/>
        <v>5423.08</v>
      </c>
      <c r="G481" s="35" t="s">
        <v>2716</v>
      </c>
      <c r="H481" s="35" t="s">
        <v>35</v>
      </c>
      <c r="I481" s="35" t="s">
        <v>59</v>
      </c>
      <c r="J481" s="35" t="s">
        <v>34</v>
      </c>
      <c r="K481" s="35" t="s">
        <v>35</v>
      </c>
      <c r="L481" s="35" t="s">
        <v>365</v>
      </c>
      <c r="M481" s="39">
        <v>31.0</v>
      </c>
      <c r="N481" s="41">
        <v>46171.0</v>
      </c>
      <c r="O481" s="42" t="b">
        <v>0</v>
      </c>
      <c r="P481" s="44"/>
      <c r="Q481" s="34"/>
      <c r="R481" s="34"/>
      <c r="S481" s="34"/>
      <c r="T481" s="34"/>
    </row>
    <row r="482" ht="15.75" customHeight="1">
      <c r="B482" s="33">
        <v>46171.0</v>
      </c>
      <c r="C482" s="35" t="s">
        <v>35</v>
      </c>
      <c r="D482" s="35">
        <v>50.0</v>
      </c>
      <c r="E482" s="37">
        <v>914.03</v>
      </c>
      <c r="F482" s="38">
        <f t="shared" si="1"/>
        <v>45701.5</v>
      </c>
      <c r="G482" s="35" t="s">
        <v>2720</v>
      </c>
      <c r="H482" s="35" t="s">
        <v>35</v>
      </c>
      <c r="I482" s="35" t="s">
        <v>59</v>
      </c>
      <c r="J482" s="35" t="s">
        <v>34</v>
      </c>
      <c r="K482" s="35" t="s">
        <v>35</v>
      </c>
      <c r="L482" s="35" t="s">
        <v>365</v>
      </c>
      <c r="M482" s="39">
        <v>31.0</v>
      </c>
      <c r="N482" s="41">
        <v>46171.0</v>
      </c>
      <c r="O482" s="42" t="b">
        <v>0</v>
      </c>
      <c r="P482" s="44"/>
      <c r="Q482" s="34"/>
      <c r="R482" s="34"/>
      <c r="S482" s="34"/>
      <c r="T482" s="34"/>
    </row>
  </sheetData>
  <autoFilter ref="$A$7:$T$482"/>
  <mergeCells count="3">
    <mergeCell ref="B1:F1"/>
    <mergeCell ref="C2:F2"/>
    <mergeCell ref="C3:F3"/>
  </mergeCells>
  <conditionalFormatting sqref="O8:O482">
    <cfRule type="expression" dxfId="1" priority="1">
      <formula>$O8=TRUE</formula>
    </cfRule>
  </conditionalFormatting>
  <conditionalFormatting sqref="N8:N39 N41 N43:N51 N53:N83 N85:N89 N91:N109 N112:N136 N138:N139 N141:N142 N144:N157 N159:N186 N189:N213 N216:N219 N221:N226 N228:N236 N238:N328 N330:N482">
    <cfRule type="containsBlanks" dxfId="2" priority="2">
      <formula>LEN(TRIM(N8))=0</formula>
    </cfRule>
  </conditionalFormatting>
  <conditionalFormatting sqref="N1:N39 N41 N43:N51 N53:N83 N85:N89 N91:N109 N112:N136 N138:N139 N141:N142 N144:N157 N159:N186 N189:N213 N216:N219 N221:N226 N228:N236 N238:N328 N330:N482">
    <cfRule type="containsText" dxfId="3" priority="3" operator="containsText" text="EM DIA">
      <formula>NOT(ISERROR(SEARCH(("EM DIA"),(N1))))</formula>
    </cfRule>
  </conditionalFormatting>
  <conditionalFormatting sqref="N1:N39 N41 N43:N51 N53:N83 N85:N89 N91:N109 N112:N136 N138:N139 N141:N142 N144:N157 N159:N186 N189:N213 N216:N219 N221:N226 N228:N236 N238:N328 N330:N482">
    <cfRule type="containsText" dxfId="4" priority="4" operator="containsText" text="ATRASADO">
      <formula>NOT(ISERROR(SEARCH(("ATRASADO"),(N1))))</formula>
    </cfRule>
  </conditionalFormatting>
  <hyperlinks>
    <hyperlink r:id="rId4" ref="C3"/>
  </hyperlinks>
  <printOptions/>
  <pageMargins bottom="0.787401575" footer="0.0" header="0.0" left="0.511811024" right="0.511811024" top="0.787401575"/>
  <pageSetup orientation="landscape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0.43"/>
    <col customWidth="1" min="2" max="2" width="17.29"/>
    <col customWidth="1" min="3" max="3" width="12.57"/>
    <col customWidth="1" min="4" max="4" width="8.86"/>
    <col customWidth="1" min="5" max="5" width="15.71"/>
    <col customWidth="1" min="6" max="6" width="15.43"/>
    <col customWidth="1" min="7" max="7" width="51.57"/>
    <col customWidth="1" min="8" max="8" width="15.0"/>
    <col customWidth="1" min="9" max="9" width="14.14"/>
    <col customWidth="1" min="10" max="10" width="16.14"/>
    <col customWidth="1" min="11" max="11" width="21.71"/>
    <col customWidth="1" min="12" max="12" width="17.14"/>
    <col customWidth="1" min="13" max="13" width="11.14"/>
    <col customWidth="1" min="14" max="14" width="16.43"/>
    <col customWidth="1" min="15" max="15" width="15.57"/>
    <col customWidth="1" min="16" max="17" width="22.29"/>
    <col customWidth="1" min="18" max="20" width="15.29"/>
  </cols>
  <sheetData>
    <row r="1" ht="63.75" customHeight="1">
      <c r="B1" s="2" t="s">
        <v>1</v>
      </c>
      <c r="C1" s="3"/>
      <c r="D1" s="3"/>
      <c r="E1" s="3"/>
      <c r="F1" s="3"/>
      <c r="G1" s="4"/>
      <c r="N1" s="6"/>
      <c r="Q1" s="7"/>
    </row>
    <row r="2" ht="39.0" customHeight="1">
      <c r="B2" s="8" t="s">
        <v>2</v>
      </c>
      <c r="C2" s="9" t="s">
        <v>3</v>
      </c>
      <c r="D2" s="10"/>
      <c r="E2" s="10"/>
      <c r="F2" s="11"/>
      <c r="N2" s="6"/>
      <c r="Q2" s="7"/>
    </row>
    <row r="3" ht="32.25" customHeight="1">
      <c r="B3" s="14" t="s">
        <v>7</v>
      </c>
      <c r="C3" s="15" t="s">
        <v>5</v>
      </c>
      <c r="D3" s="16"/>
      <c r="E3" s="16"/>
      <c r="F3" s="17"/>
      <c r="N3" s="6"/>
      <c r="Q3" s="7"/>
    </row>
    <row r="4">
      <c r="B4" s="7"/>
      <c r="E4" s="18"/>
      <c r="F4" s="12"/>
      <c r="N4" s="6"/>
      <c r="Q4" s="7"/>
    </row>
    <row r="5">
      <c r="B5" s="19">
        <f>TODAY()</f>
        <v>46294</v>
      </c>
      <c r="E5" s="18"/>
      <c r="F5" s="12"/>
      <c r="N5" s="6"/>
      <c r="Q5" s="7"/>
    </row>
    <row r="6" ht="12.0" customHeight="1">
      <c r="B6" s="7"/>
      <c r="E6" s="18"/>
      <c r="F6" s="12"/>
      <c r="N6" s="6"/>
      <c r="Q6" s="7"/>
    </row>
    <row r="7" ht="13.5" customHeight="1">
      <c r="B7" s="20" t="s">
        <v>8</v>
      </c>
      <c r="C7" s="21" t="s">
        <v>9</v>
      </c>
      <c r="D7" s="21" t="s">
        <v>10</v>
      </c>
      <c r="E7" s="22" t="s">
        <v>11</v>
      </c>
      <c r="F7" s="23" t="s">
        <v>13</v>
      </c>
      <c r="G7" s="23" t="s">
        <v>15</v>
      </c>
      <c r="H7" s="25" t="s">
        <v>16</v>
      </c>
      <c r="I7" s="25" t="s">
        <v>17</v>
      </c>
      <c r="J7" s="25" t="s">
        <v>18</v>
      </c>
      <c r="K7" s="29" t="s">
        <v>19</v>
      </c>
      <c r="L7" s="25" t="s">
        <v>21</v>
      </c>
      <c r="M7" s="28" t="s">
        <v>22</v>
      </c>
      <c r="N7" s="30" t="s">
        <v>23</v>
      </c>
      <c r="O7" s="31" t="s">
        <v>25</v>
      </c>
      <c r="P7" s="24" t="s">
        <v>24</v>
      </c>
      <c r="Q7" s="21" t="s">
        <v>28</v>
      </c>
      <c r="R7" s="32" t="s">
        <v>26</v>
      </c>
      <c r="S7" s="24" t="s">
        <v>27</v>
      </c>
      <c r="T7" s="24" t="s">
        <v>27</v>
      </c>
    </row>
    <row r="8" ht="15.75" customHeight="1">
      <c r="B8" s="33">
        <v>46204.0</v>
      </c>
      <c r="C8" s="35">
        <v>1060.0</v>
      </c>
      <c r="D8" s="35">
        <v>264.0</v>
      </c>
      <c r="E8" s="37">
        <v>329.0</v>
      </c>
      <c r="F8" s="38">
        <f t="shared" ref="F8:F31" si="1">E8*D8</f>
        <v>86856</v>
      </c>
      <c r="G8" s="35" t="s">
        <v>30</v>
      </c>
      <c r="H8" s="35" t="s">
        <v>31</v>
      </c>
      <c r="I8" s="35" t="s">
        <v>32</v>
      </c>
      <c r="J8" s="35" t="s">
        <v>34</v>
      </c>
      <c r="K8" s="35" t="s">
        <v>35</v>
      </c>
      <c r="L8" s="35" t="s">
        <v>37</v>
      </c>
      <c r="M8" s="39">
        <v>31.0</v>
      </c>
      <c r="N8" s="40">
        <v>46205.0</v>
      </c>
      <c r="O8" s="42" t="b">
        <v>1</v>
      </c>
      <c r="P8" s="44">
        <v>46205.0</v>
      </c>
      <c r="Q8" s="34"/>
      <c r="R8" s="33">
        <v>46204.0</v>
      </c>
      <c r="S8" s="34"/>
      <c r="T8" s="34"/>
    </row>
    <row r="9" ht="15.75" customHeight="1">
      <c r="B9" s="33">
        <v>46204.0</v>
      </c>
      <c r="C9" s="35" t="s">
        <v>35</v>
      </c>
      <c r="D9" s="35">
        <v>300.0</v>
      </c>
      <c r="E9" s="37">
        <v>75.0</v>
      </c>
      <c r="F9" s="38">
        <f t="shared" si="1"/>
        <v>22500</v>
      </c>
      <c r="G9" s="35" t="s">
        <v>75</v>
      </c>
      <c r="H9" s="35" t="s">
        <v>76</v>
      </c>
      <c r="I9" s="35" t="s">
        <v>77</v>
      </c>
      <c r="J9" s="35" t="s">
        <v>79</v>
      </c>
      <c r="K9" s="35" t="s">
        <v>35</v>
      </c>
      <c r="L9" s="35" t="s">
        <v>67</v>
      </c>
      <c r="M9" s="39">
        <v>31.0</v>
      </c>
      <c r="N9" s="40">
        <v>46206.0</v>
      </c>
      <c r="O9" s="42" t="b">
        <v>1</v>
      </c>
      <c r="P9" s="35" t="s">
        <v>84</v>
      </c>
      <c r="Q9" s="34"/>
      <c r="R9" s="33"/>
      <c r="S9" s="34"/>
      <c r="T9" s="34"/>
    </row>
    <row r="10" ht="15.75" customHeight="1">
      <c r="B10" s="33">
        <v>46204.0</v>
      </c>
      <c r="C10" s="35" t="s">
        <v>35</v>
      </c>
      <c r="D10" s="35">
        <v>300.0</v>
      </c>
      <c r="E10" s="37">
        <v>88.0</v>
      </c>
      <c r="F10" s="38">
        <f t="shared" si="1"/>
        <v>26400</v>
      </c>
      <c r="G10" s="35" t="s">
        <v>88</v>
      </c>
      <c r="H10" s="35" t="s">
        <v>89</v>
      </c>
      <c r="I10" s="35" t="s">
        <v>77</v>
      </c>
      <c r="J10" s="35" t="s">
        <v>79</v>
      </c>
      <c r="K10" s="35" t="s">
        <v>35</v>
      </c>
      <c r="L10" s="35" t="s">
        <v>67</v>
      </c>
      <c r="M10" s="39">
        <v>31.0</v>
      </c>
      <c r="N10" s="40">
        <v>46206.0</v>
      </c>
      <c r="O10" s="42" t="b">
        <v>1</v>
      </c>
      <c r="P10" s="35" t="s">
        <v>84</v>
      </c>
      <c r="Q10" s="34"/>
      <c r="R10" s="34"/>
      <c r="S10" s="34"/>
      <c r="T10" s="35"/>
    </row>
    <row r="11" ht="15.75" customHeight="1">
      <c r="B11" s="33">
        <v>46204.0</v>
      </c>
      <c r="C11" s="35">
        <v>21820.0</v>
      </c>
      <c r="D11" s="35">
        <v>120.0</v>
      </c>
      <c r="E11" s="37">
        <v>39.9</v>
      </c>
      <c r="F11" s="38">
        <f t="shared" si="1"/>
        <v>4788</v>
      </c>
      <c r="G11" s="35" t="s">
        <v>94</v>
      </c>
      <c r="H11" s="35" t="s">
        <v>95</v>
      </c>
      <c r="I11" s="35" t="s">
        <v>77</v>
      </c>
      <c r="J11" s="35" t="s">
        <v>79</v>
      </c>
      <c r="K11" s="35" t="s">
        <v>35</v>
      </c>
      <c r="L11" s="35" t="s">
        <v>96</v>
      </c>
      <c r="M11" s="39">
        <v>1.0</v>
      </c>
      <c r="N11" s="40">
        <v>46212.0</v>
      </c>
      <c r="O11" s="42" t="b">
        <v>1</v>
      </c>
      <c r="P11" s="35" t="s">
        <v>84</v>
      </c>
      <c r="Q11" s="34"/>
      <c r="R11" s="34"/>
      <c r="S11" s="34"/>
      <c r="T11" s="34"/>
    </row>
    <row r="12" ht="15.75" customHeight="1">
      <c r="B12" s="33">
        <v>46204.0</v>
      </c>
      <c r="C12" s="35">
        <v>21820.0</v>
      </c>
      <c r="D12" s="35">
        <v>120.0</v>
      </c>
      <c r="E12" s="37">
        <v>21.9</v>
      </c>
      <c r="F12" s="38">
        <f t="shared" si="1"/>
        <v>2628</v>
      </c>
      <c r="G12" s="35" t="s">
        <v>99</v>
      </c>
      <c r="H12" s="35" t="s">
        <v>100</v>
      </c>
      <c r="I12" s="35" t="s">
        <v>77</v>
      </c>
      <c r="J12" s="35" t="s">
        <v>79</v>
      </c>
      <c r="K12" s="35" t="s">
        <v>35</v>
      </c>
      <c r="L12" s="35" t="s">
        <v>96</v>
      </c>
      <c r="M12" s="39">
        <v>1.0</v>
      </c>
      <c r="N12" s="40">
        <v>46212.0</v>
      </c>
      <c r="O12" s="42" t="b">
        <v>1</v>
      </c>
      <c r="P12" s="35" t="s">
        <v>84</v>
      </c>
      <c r="Q12" s="34"/>
      <c r="R12" s="34"/>
      <c r="S12" s="34"/>
      <c r="T12" s="34"/>
    </row>
    <row r="13" ht="15.75" customHeight="1">
      <c r="B13" s="33">
        <v>46204.0</v>
      </c>
      <c r="C13" s="35">
        <v>21820.0</v>
      </c>
      <c r="D13" s="35">
        <v>200.0</v>
      </c>
      <c r="E13" s="37">
        <v>8.99</v>
      </c>
      <c r="F13" s="38">
        <f t="shared" si="1"/>
        <v>1798</v>
      </c>
      <c r="G13" s="35" t="s">
        <v>103</v>
      </c>
      <c r="H13" s="35" t="s">
        <v>104</v>
      </c>
      <c r="I13" s="35" t="s">
        <v>77</v>
      </c>
      <c r="J13" s="35" t="s">
        <v>79</v>
      </c>
      <c r="K13" s="35" t="s">
        <v>35</v>
      </c>
      <c r="L13" s="35" t="s">
        <v>96</v>
      </c>
      <c r="M13" s="39">
        <v>1.0</v>
      </c>
      <c r="N13" s="40">
        <v>46212.0</v>
      </c>
      <c r="O13" s="42" t="b">
        <v>1</v>
      </c>
      <c r="P13" s="35" t="s">
        <v>84</v>
      </c>
      <c r="Q13" s="34"/>
      <c r="R13" s="34"/>
      <c r="S13" s="34"/>
      <c r="T13" s="34"/>
    </row>
    <row r="14" ht="15.75" customHeight="1">
      <c r="B14" s="33">
        <v>46204.0</v>
      </c>
      <c r="C14" s="35">
        <v>21820.0</v>
      </c>
      <c r="D14" s="35">
        <v>300.0</v>
      </c>
      <c r="E14" s="37">
        <v>15.99</v>
      </c>
      <c r="F14" s="38">
        <f t="shared" si="1"/>
        <v>4797</v>
      </c>
      <c r="G14" s="35" t="s">
        <v>109</v>
      </c>
      <c r="H14" s="35" t="s">
        <v>110</v>
      </c>
      <c r="I14" s="35" t="s">
        <v>77</v>
      </c>
      <c r="J14" s="35" t="s">
        <v>79</v>
      </c>
      <c r="K14" s="35" t="s">
        <v>35</v>
      </c>
      <c r="L14" s="35" t="s">
        <v>96</v>
      </c>
      <c r="M14" s="39">
        <v>1.0</v>
      </c>
      <c r="N14" s="40">
        <v>46212.0</v>
      </c>
      <c r="O14" s="42" t="b">
        <v>1</v>
      </c>
      <c r="P14" s="35" t="s">
        <v>84</v>
      </c>
      <c r="Q14" s="34"/>
      <c r="R14" s="34"/>
      <c r="S14" s="34"/>
      <c r="T14" s="34"/>
    </row>
    <row r="15" ht="15.75" customHeight="1">
      <c r="B15" s="33">
        <v>46204.0</v>
      </c>
      <c r="C15" s="35">
        <v>21820.0</v>
      </c>
      <c r="D15" s="35">
        <v>200.0</v>
      </c>
      <c r="E15" s="37">
        <v>18.99</v>
      </c>
      <c r="F15" s="38">
        <f t="shared" si="1"/>
        <v>3798</v>
      </c>
      <c r="G15" s="35" t="s">
        <v>117</v>
      </c>
      <c r="H15" s="35" t="s">
        <v>118</v>
      </c>
      <c r="I15" s="35" t="s">
        <v>77</v>
      </c>
      <c r="J15" s="35" t="s">
        <v>79</v>
      </c>
      <c r="K15" s="35" t="s">
        <v>35</v>
      </c>
      <c r="L15" s="35" t="s">
        <v>96</v>
      </c>
      <c r="M15" s="39">
        <v>1.0</v>
      </c>
      <c r="N15" s="40">
        <v>46212.0</v>
      </c>
      <c r="O15" s="42" t="b">
        <v>1</v>
      </c>
      <c r="P15" s="35" t="s">
        <v>84</v>
      </c>
      <c r="Q15" s="34"/>
      <c r="R15" s="34"/>
      <c r="S15" s="34"/>
      <c r="T15" s="34"/>
    </row>
    <row r="16" ht="15.75" customHeight="1">
      <c r="B16" s="33">
        <v>46204.0</v>
      </c>
      <c r="C16" s="35">
        <v>21820.0</v>
      </c>
      <c r="D16" s="35">
        <v>200.0</v>
      </c>
      <c r="E16" s="37">
        <v>5.99</v>
      </c>
      <c r="F16" s="38">
        <f t="shared" si="1"/>
        <v>1198</v>
      </c>
      <c r="G16" s="35" t="s">
        <v>124</v>
      </c>
      <c r="H16" s="35" t="s">
        <v>126</v>
      </c>
      <c r="I16" s="35" t="s">
        <v>77</v>
      </c>
      <c r="J16" s="35" t="s">
        <v>79</v>
      </c>
      <c r="K16" s="35" t="s">
        <v>35</v>
      </c>
      <c r="L16" s="35" t="s">
        <v>96</v>
      </c>
      <c r="M16" s="39">
        <v>1.0</v>
      </c>
      <c r="N16" s="40">
        <v>46212.0</v>
      </c>
      <c r="O16" s="42" t="b">
        <v>1</v>
      </c>
      <c r="P16" s="35" t="s">
        <v>84</v>
      </c>
      <c r="Q16" s="34"/>
      <c r="R16" s="34"/>
      <c r="S16" s="34"/>
      <c r="T16" s="34"/>
    </row>
    <row r="17" ht="15.75" customHeight="1">
      <c r="B17" s="33">
        <v>46204.0</v>
      </c>
      <c r="C17" s="35">
        <v>21820.0</v>
      </c>
      <c r="D17" s="35">
        <v>200.0</v>
      </c>
      <c r="E17" s="37">
        <v>2.99</v>
      </c>
      <c r="F17" s="38">
        <f t="shared" si="1"/>
        <v>598</v>
      </c>
      <c r="G17" s="35" t="s">
        <v>130</v>
      </c>
      <c r="H17" s="35" t="s">
        <v>131</v>
      </c>
      <c r="I17" s="35" t="s">
        <v>77</v>
      </c>
      <c r="J17" s="35" t="s">
        <v>79</v>
      </c>
      <c r="K17" s="35" t="s">
        <v>35</v>
      </c>
      <c r="L17" s="35" t="s">
        <v>96</v>
      </c>
      <c r="M17" s="39">
        <v>1.0</v>
      </c>
      <c r="N17" s="40">
        <v>46212.0</v>
      </c>
      <c r="O17" s="42" t="b">
        <v>1</v>
      </c>
      <c r="P17" s="35" t="s">
        <v>84</v>
      </c>
      <c r="Q17" s="34"/>
      <c r="R17" s="34"/>
      <c r="S17" s="34"/>
      <c r="T17" s="34"/>
    </row>
    <row r="18" ht="15.75" customHeight="1">
      <c r="B18" s="33">
        <v>46204.0</v>
      </c>
      <c r="C18" s="35">
        <v>908.0</v>
      </c>
      <c r="D18" s="35">
        <v>500.0</v>
      </c>
      <c r="E18" s="37">
        <v>72.0</v>
      </c>
      <c r="F18" s="38">
        <f t="shared" si="1"/>
        <v>36000</v>
      </c>
      <c r="G18" s="35" t="s">
        <v>138</v>
      </c>
      <c r="H18" s="35" t="s">
        <v>139</v>
      </c>
      <c r="I18" s="35" t="s">
        <v>77</v>
      </c>
      <c r="J18" s="35" t="s">
        <v>79</v>
      </c>
      <c r="K18" s="35" t="s">
        <v>35</v>
      </c>
      <c r="L18" s="35" t="s">
        <v>140</v>
      </c>
      <c r="M18" s="39">
        <v>31.0</v>
      </c>
      <c r="N18" s="40">
        <v>46206.0</v>
      </c>
      <c r="O18" s="42" t="b">
        <v>1</v>
      </c>
      <c r="P18" s="35" t="s">
        <v>84</v>
      </c>
      <c r="Q18" s="34"/>
      <c r="R18" s="33">
        <v>46205.0</v>
      </c>
      <c r="S18" s="34"/>
      <c r="T18" s="34"/>
    </row>
    <row r="19" ht="15.75" customHeight="1">
      <c r="B19" s="33">
        <v>46204.0</v>
      </c>
      <c r="C19" s="46" t="s">
        <v>142</v>
      </c>
      <c r="D19" s="35">
        <v>9.0</v>
      </c>
      <c r="E19" s="37">
        <v>270.0</v>
      </c>
      <c r="F19" s="38">
        <f t="shared" si="1"/>
        <v>2430</v>
      </c>
      <c r="G19" s="35" t="s">
        <v>148</v>
      </c>
      <c r="H19" s="35" t="s">
        <v>149</v>
      </c>
      <c r="I19" s="35" t="s">
        <v>59</v>
      </c>
      <c r="J19" s="35" t="s">
        <v>34</v>
      </c>
      <c r="K19" s="35" t="s">
        <v>35</v>
      </c>
      <c r="L19" s="35" t="s">
        <v>151</v>
      </c>
      <c r="M19" s="39">
        <v>31.0</v>
      </c>
      <c r="N19" s="44">
        <v>46204.0</v>
      </c>
      <c r="O19" s="42" t="b">
        <v>1</v>
      </c>
      <c r="P19" s="44">
        <v>46204.0</v>
      </c>
      <c r="Q19" s="34"/>
      <c r="R19" s="34"/>
      <c r="S19" s="34"/>
      <c r="T19" s="34"/>
    </row>
    <row r="20" ht="15.75" customHeight="1">
      <c r="B20" s="33">
        <v>46204.0</v>
      </c>
      <c r="C20" s="46" t="s">
        <v>142</v>
      </c>
      <c r="D20" s="35">
        <v>9.0</v>
      </c>
      <c r="E20" s="37">
        <v>283.5</v>
      </c>
      <c r="F20" s="38">
        <f t="shared" si="1"/>
        <v>2551.5</v>
      </c>
      <c r="G20" s="35" t="s">
        <v>148</v>
      </c>
      <c r="H20" s="35" t="s">
        <v>155</v>
      </c>
      <c r="I20" s="35" t="s">
        <v>59</v>
      </c>
      <c r="J20" s="35" t="s">
        <v>34</v>
      </c>
      <c r="K20" s="35" t="s">
        <v>35</v>
      </c>
      <c r="L20" s="35" t="s">
        <v>151</v>
      </c>
      <c r="M20" s="39">
        <v>31.0</v>
      </c>
      <c r="N20" s="44">
        <v>46204.0</v>
      </c>
      <c r="O20" s="42" t="b">
        <v>1</v>
      </c>
      <c r="P20" s="44">
        <v>46204.0</v>
      </c>
      <c r="Q20" s="34"/>
      <c r="R20" s="34"/>
      <c r="S20" s="34"/>
      <c r="T20" s="34"/>
    </row>
    <row r="21" ht="15.75" customHeight="1">
      <c r="B21" s="33">
        <v>46204.0</v>
      </c>
      <c r="C21" s="35">
        <v>923847.0</v>
      </c>
      <c r="D21" s="35">
        <v>750.0</v>
      </c>
      <c r="E21" s="37">
        <v>135.0</v>
      </c>
      <c r="F21" s="38">
        <f t="shared" si="1"/>
        <v>101250</v>
      </c>
      <c r="G21" s="35" t="s">
        <v>166</v>
      </c>
      <c r="H21" s="35">
        <v>57966.0</v>
      </c>
      <c r="I21" s="35" t="s">
        <v>59</v>
      </c>
      <c r="J21" s="35" t="s">
        <v>34</v>
      </c>
      <c r="K21" s="35" t="s">
        <v>35</v>
      </c>
      <c r="L21" s="35" t="s">
        <v>167</v>
      </c>
      <c r="M21" s="39">
        <v>1.0</v>
      </c>
      <c r="N21" s="40">
        <v>46208.0</v>
      </c>
      <c r="O21" s="42" t="b">
        <v>1</v>
      </c>
      <c r="P21" s="44">
        <v>46209.0</v>
      </c>
      <c r="Q21" s="34"/>
      <c r="R21" s="33">
        <v>46234.0</v>
      </c>
      <c r="S21" s="33">
        <v>46264.0</v>
      </c>
      <c r="T21" s="33">
        <v>46294.0</v>
      </c>
    </row>
    <row r="22" ht="15.75" customHeight="1">
      <c r="B22" s="33">
        <v>46204.0</v>
      </c>
      <c r="C22" s="35">
        <v>12510.0</v>
      </c>
      <c r="D22" s="35">
        <v>20.0</v>
      </c>
      <c r="E22" s="37">
        <v>238.0</v>
      </c>
      <c r="F22" s="38">
        <f t="shared" si="1"/>
        <v>4760</v>
      </c>
      <c r="G22" s="35" t="s">
        <v>171</v>
      </c>
      <c r="H22" s="35" t="s">
        <v>173</v>
      </c>
      <c r="I22" s="35" t="s">
        <v>59</v>
      </c>
      <c r="J22" s="35" t="s">
        <v>34</v>
      </c>
      <c r="K22" s="35" t="s">
        <v>35</v>
      </c>
      <c r="L22" s="35" t="s">
        <v>87</v>
      </c>
      <c r="M22" s="39">
        <v>31.0</v>
      </c>
      <c r="N22" s="40">
        <v>46204.0</v>
      </c>
      <c r="O22" s="42" t="b">
        <v>1</v>
      </c>
      <c r="P22" s="44">
        <v>46204.0</v>
      </c>
      <c r="Q22" s="34"/>
      <c r="R22" s="33"/>
      <c r="S22" s="34"/>
      <c r="T22" s="34"/>
    </row>
    <row r="23" ht="15.75" customHeight="1">
      <c r="B23" s="33">
        <v>46204.0</v>
      </c>
      <c r="C23" s="35">
        <v>21884.0</v>
      </c>
      <c r="D23" s="35">
        <v>12.0</v>
      </c>
      <c r="E23" s="37">
        <v>88.9</v>
      </c>
      <c r="F23" s="38">
        <f t="shared" si="1"/>
        <v>1066.8</v>
      </c>
      <c r="G23" s="35" t="s">
        <v>177</v>
      </c>
      <c r="H23" s="35" t="s">
        <v>179</v>
      </c>
      <c r="I23" s="35" t="s">
        <v>39</v>
      </c>
      <c r="J23" s="35" t="s">
        <v>183</v>
      </c>
      <c r="K23" s="35" t="s">
        <v>35</v>
      </c>
      <c r="L23" s="35" t="s">
        <v>96</v>
      </c>
      <c r="M23" s="39">
        <v>1.0</v>
      </c>
      <c r="N23" s="40">
        <v>46211.0</v>
      </c>
      <c r="O23" s="42" t="b">
        <v>1</v>
      </c>
      <c r="P23" s="44">
        <v>46213.0</v>
      </c>
      <c r="Q23" s="34"/>
      <c r="R23" s="33"/>
      <c r="S23" s="34"/>
      <c r="T23" s="34"/>
    </row>
    <row r="24" ht="15.75" customHeight="1">
      <c r="B24" s="33">
        <v>46204.0</v>
      </c>
      <c r="C24" s="35">
        <v>21884.0</v>
      </c>
      <c r="D24" s="35">
        <v>6.0</v>
      </c>
      <c r="E24" s="37">
        <v>229.9</v>
      </c>
      <c r="F24" s="38">
        <f t="shared" si="1"/>
        <v>1379.4</v>
      </c>
      <c r="G24" s="35" t="s">
        <v>187</v>
      </c>
      <c r="H24" s="35" t="s">
        <v>188</v>
      </c>
      <c r="I24" s="35" t="s">
        <v>39</v>
      </c>
      <c r="J24" s="35" t="s">
        <v>40</v>
      </c>
      <c r="K24" s="35" t="s">
        <v>35</v>
      </c>
      <c r="L24" s="35" t="s">
        <v>96</v>
      </c>
      <c r="M24" s="39">
        <v>1.0</v>
      </c>
      <c r="N24" s="40">
        <v>46211.0</v>
      </c>
      <c r="O24" s="42" t="b">
        <v>1</v>
      </c>
      <c r="P24" s="44">
        <v>46213.0</v>
      </c>
      <c r="Q24" s="34"/>
      <c r="R24" s="33"/>
      <c r="S24" s="34"/>
      <c r="T24" s="34"/>
    </row>
    <row r="25" ht="15.75" customHeight="1">
      <c r="B25" s="33">
        <v>46204.0</v>
      </c>
      <c r="C25" s="35">
        <v>21890.0</v>
      </c>
      <c r="D25" s="35">
        <v>30.0</v>
      </c>
      <c r="E25" s="37">
        <v>229.9</v>
      </c>
      <c r="F25" s="38">
        <f t="shared" si="1"/>
        <v>6897</v>
      </c>
      <c r="G25" s="35" t="s">
        <v>187</v>
      </c>
      <c r="H25" s="35" t="s">
        <v>188</v>
      </c>
      <c r="I25" s="35" t="s">
        <v>32</v>
      </c>
      <c r="J25" s="35" t="s">
        <v>34</v>
      </c>
      <c r="K25" s="35" t="s">
        <v>35</v>
      </c>
      <c r="L25" s="35" t="s">
        <v>96</v>
      </c>
      <c r="M25" s="39">
        <v>31.0</v>
      </c>
      <c r="N25" s="47" t="s">
        <v>194</v>
      </c>
      <c r="O25" s="42" t="b">
        <v>0</v>
      </c>
      <c r="P25" s="48">
        <v>46253.0</v>
      </c>
      <c r="Q25" s="34"/>
      <c r="R25" s="34"/>
      <c r="S25" s="34"/>
      <c r="T25" s="34"/>
    </row>
    <row r="26" ht="15.75" customHeight="1">
      <c r="B26" s="33">
        <v>46204.0</v>
      </c>
      <c r="C26" s="35">
        <v>21890.0</v>
      </c>
      <c r="D26" s="35">
        <v>40.0</v>
      </c>
      <c r="E26" s="37">
        <v>139.9</v>
      </c>
      <c r="F26" s="38">
        <f t="shared" si="1"/>
        <v>5596</v>
      </c>
      <c r="G26" s="35" t="s">
        <v>209</v>
      </c>
      <c r="H26" s="35" t="s">
        <v>211</v>
      </c>
      <c r="I26" s="35" t="s">
        <v>32</v>
      </c>
      <c r="J26" s="35" t="s">
        <v>34</v>
      </c>
      <c r="K26" s="35" t="s">
        <v>35</v>
      </c>
      <c r="L26" s="35" t="s">
        <v>96</v>
      </c>
      <c r="M26" s="39">
        <v>31.0</v>
      </c>
      <c r="N26" s="47" t="s">
        <v>194</v>
      </c>
      <c r="O26" s="42" t="b">
        <v>0</v>
      </c>
      <c r="P26" s="48">
        <v>46253.0</v>
      </c>
      <c r="Q26" s="34"/>
      <c r="R26" s="34"/>
      <c r="S26" s="34"/>
      <c r="T26" s="34"/>
    </row>
    <row r="27" ht="15.75" customHeight="1">
      <c r="B27" s="33">
        <v>46204.0</v>
      </c>
      <c r="C27" s="46" t="s">
        <v>215</v>
      </c>
      <c r="D27" s="35">
        <v>5.0</v>
      </c>
      <c r="E27" s="37">
        <v>112.5</v>
      </c>
      <c r="F27" s="38">
        <f t="shared" si="1"/>
        <v>562.5</v>
      </c>
      <c r="G27" s="35" t="s">
        <v>217</v>
      </c>
      <c r="H27" s="35" t="s">
        <v>219</v>
      </c>
      <c r="I27" s="35" t="s">
        <v>59</v>
      </c>
      <c r="J27" s="35" t="s">
        <v>34</v>
      </c>
      <c r="K27" s="35" t="s">
        <v>35</v>
      </c>
      <c r="L27" s="35" t="s">
        <v>46</v>
      </c>
      <c r="M27" s="39">
        <v>1.0</v>
      </c>
      <c r="N27" s="44">
        <v>46204.0</v>
      </c>
      <c r="O27" s="42" t="b">
        <v>1</v>
      </c>
      <c r="P27" s="44">
        <v>46204.0</v>
      </c>
      <c r="Q27" s="34"/>
      <c r="R27" s="34"/>
      <c r="S27" s="34"/>
      <c r="T27" s="34"/>
    </row>
    <row r="28" ht="15.75" customHeight="1">
      <c r="B28" s="33">
        <v>46204.0</v>
      </c>
      <c r="C28" s="35" t="s">
        <v>35</v>
      </c>
      <c r="D28" s="35">
        <v>250.0</v>
      </c>
      <c r="E28" s="37">
        <v>255.0</v>
      </c>
      <c r="F28" s="38">
        <f t="shared" si="1"/>
        <v>63750</v>
      </c>
      <c r="G28" s="35" t="s">
        <v>226</v>
      </c>
      <c r="H28" s="35" t="s">
        <v>227</v>
      </c>
      <c r="I28" s="35" t="s">
        <v>174</v>
      </c>
      <c r="J28" s="35" t="s">
        <v>175</v>
      </c>
      <c r="K28" s="35" t="s">
        <v>35</v>
      </c>
      <c r="L28" s="35" t="s">
        <v>67</v>
      </c>
      <c r="M28" s="39">
        <v>31.0</v>
      </c>
      <c r="N28" s="40">
        <v>46206.0</v>
      </c>
      <c r="O28" s="42" t="b">
        <v>1</v>
      </c>
      <c r="P28" s="44">
        <v>46210.0</v>
      </c>
      <c r="Q28" s="34"/>
      <c r="R28" s="34"/>
      <c r="S28" s="34"/>
      <c r="T28" s="34"/>
    </row>
    <row r="29" ht="15.75" customHeight="1">
      <c r="B29" s="33">
        <v>46204.0</v>
      </c>
      <c r="C29" s="35" t="s">
        <v>35</v>
      </c>
      <c r="D29" s="35">
        <v>54.0</v>
      </c>
      <c r="E29" s="37">
        <v>659.0</v>
      </c>
      <c r="F29" s="38">
        <f t="shared" si="1"/>
        <v>35586</v>
      </c>
      <c r="G29" s="35" t="s">
        <v>235</v>
      </c>
      <c r="H29" s="35" t="s">
        <v>236</v>
      </c>
      <c r="I29" s="35" t="s">
        <v>237</v>
      </c>
      <c r="J29" s="35" t="s">
        <v>175</v>
      </c>
      <c r="K29" s="35" t="s">
        <v>35</v>
      </c>
      <c r="L29" s="35" t="s">
        <v>37</v>
      </c>
      <c r="M29" s="39">
        <v>31.0</v>
      </c>
      <c r="N29" s="40">
        <v>46209.0</v>
      </c>
      <c r="O29" s="42" t="b">
        <v>1</v>
      </c>
      <c r="P29" s="44">
        <v>46210.0</v>
      </c>
      <c r="Q29" s="34"/>
      <c r="R29" s="33">
        <v>46205.0</v>
      </c>
      <c r="S29" s="34"/>
      <c r="T29" s="34"/>
    </row>
    <row r="30" ht="15.75" customHeight="1">
      <c r="B30" s="33">
        <v>46204.0</v>
      </c>
      <c r="C30" s="35" t="s">
        <v>35</v>
      </c>
      <c r="D30" s="35">
        <v>96.0</v>
      </c>
      <c r="E30" s="37">
        <v>599.0</v>
      </c>
      <c r="F30" s="38">
        <f t="shared" si="1"/>
        <v>57504</v>
      </c>
      <c r="G30" s="35" t="s">
        <v>242</v>
      </c>
      <c r="H30" s="35" t="s">
        <v>244</v>
      </c>
      <c r="I30" s="35" t="s">
        <v>237</v>
      </c>
      <c r="J30" s="35" t="s">
        <v>175</v>
      </c>
      <c r="K30" s="35" t="s">
        <v>35</v>
      </c>
      <c r="L30" s="35" t="s">
        <v>37</v>
      </c>
      <c r="M30" s="39">
        <v>31.0</v>
      </c>
      <c r="N30" s="40">
        <v>46209.0</v>
      </c>
      <c r="O30" s="42" t="b">
        <v>1</v>
      </c>
      <c r="P30" s="44">
        <v>46210.0</v>
      </c>
      <c r="Q30" s="34"/>
      <c r="R30" s="33">
        <v>46205.0</v>
      </c>
      <c r="S30" s="34"/>
      <c r="T30" s="34"/>
    </row>
    <row r="31" ht="15.75" customHeight="1">
      <c r="B31" s="33">
        <v>46204.0</v>
      </c>
      <c r="C31" s="35">
        <v>32045.0</v>
      </c>
      <c r="D31" s="35">
        <v>122.0</v>
      </c>
      <c r="E31" s="37">
        <v>307.3</v>
      </c>
      <c r="F31" s="38">
        <f t="shared" si="1"/>
        <v>37490.6</v>
      </c>
      <c r="G31" s="35" t="s">
        <v>249</v>
      </c>
      <c r="H31" s="35" t="s">
        <v>251</v>
      </c>
      <c r="I31" s="35" t="s">
        <v>32</v>
      </c>
      <c r="J31" s="35" t="s">
        <v>34</v>
      </c>
      <c r="K31" s="35" t="s">
        <v>35</v>
      </c>
      <c r="L31" s="35" t="s">
        <v>254</v>
      </c>
      <c r="M31" s="39">
        <v>31.0</v>
      </c>
      <c r="N31" s="40">
        <v>46205.0</v>
      </c>
      <c r="O31" s="42" t="b">
        <v>1</v>
      </c>
      <c r="P31" s="44">
        <v>46205.0</v>
      </c>
      <c r="Q31" s="34"/>
      <c r="R31" s="34"/>
      <c r="S31" s="34"/>
      <c r="T31" s="34"/>
    </row>
    <row r="32" ht="15.75" customHeight="1">
      <c r="B32" s="33">
        <v>46204.0</v>
      </c>
      <c r="C32" s="35">
        <v>32045.0</v>
      </c>
      <c r="D32" s="35">
        <v>14.0</v>
      </c>
      <c r="E32" s="37">
        <v>307.3</v>
      </c>
      <c r="F32" s="37">
        <v>307.3</v>
      </c>
      <c r="G32" s="35" t="s">
        <v>257</v>
      </c>
      <c r="H32" s="35" t="s">
        <v>31</v>
      </c>
      <c r="I32" s="35" t="s">
        <v>32</v>
      </c>
      <c r="J32" s="35" t="s">
        <v>34</v>
      </c>
      <c r="K32" s="35" t="s">
        <v>35</v>
      </c>
      <c r="L32" s="35" t="s">
        <v>254</v>
      </c>
      <c r="M32" s="39">
        <v>31.0</v>
      </c>
      <c r="N32" s="40">
        <v>46205.0</v>
      </c>
      <c r="O32" s="42" t="b">
        <v>1</v>
      </c>
      <c r="P32" s="44">
        <v>46205.0</v>
      </c>
      <c r="Q32" s="34"/>
      <c r="R32" s="34"/>
      <c r="S32" s="34"/>
      <c r="T32" s="34"/>
    </row>
    <row r="33" ht="15.75" customHeight="1">
      <c r="B33" s="33">
        <v>46204.0</v>
      </c>
      <c r="C33" s="35">
        <v>32046.0</v>
      </c>
      <c r="D33" s="35">
        <v>41.0</v>
      </c>
      <c r="E33" s="37">
        <v>307.3</v>
      </c>
      <c r="F33" s="38">
        <f t="shared" ref="F33:F708" si="2">E33*D33</f>
        <v>12599.3</v>
      </c>
      <c r="G33" s="35" t="s">
        <v>257</v>
      </c>
      <c r="H33" s="35" t="s">
        <v>31</v>
      </c>
      <c r="I33" s="35" t="s">
        <v>32</v>
      </c>
      <c r="J33" s="35" t="s">
        <v>34</v>
      </c>
      <c r="K33" s="35" t="s">
        <v>35</v>
      </c>
      <c r="L33" s="35" t="s">
        <v>254</v>
      </c>
      <c r="M33" s="39">
        <v>31.0</v>
      </c>
      <c r="N33" s="40">
        <v>46205.0</v>
      </c>
      <c r="O33" s="42" t="b">
        <v>1</v>
      </c>
      <c r="P33" s="44">
        <v>46205.0</v>
      </c>
      <c r="Q33" s="34"/>
      <c r="R33" s="33"/>
      <c r="S33" s="34"/>
      <c r="T33" s="34"/>
    </row>
    <row r="34" ht="15.75" customHeight="1">
      <c r="B34" s="33">
        <v>46204.0</v>
      </c>
      <c r="C34" s="35">
        <v>32046.0</v>
      </c>
      <c r="D34" s="35">
        <v>28.0</v>
      </c>
      <c r="E34" s="37">
        <v>307.3</v>
      </c>
      <c r="F34" s="38">
        <f t="shared" si="2"/>
        <v>8604.4</v>
      </c>
      <c r="G34" s="35" t="s">
        <v>271</v>
      </c>
      <c r="H34" s="35" t="s">
        <v>272</v>
      </c>
      <c r="I34" s="35" t="s">
        <v>32</v>
      </c>
      <c r="J34" s="35" t="s">
        <v>34</v>
      </c>
      <c r="K34" s="35" t="s">
        <v>35</v>
      </c>
      <c r="L34" s="35" t="s">
        <v>254</v>
      </c>
      <c r="M34" s="39">
        <v>31.0</v>
      </c>
      <c r="N34" s="40">
        <v>46205.0</v>
      </c>
      <c r="O34" s="42" t="b">
        <v>1</v>
      </c>
      <c r="P34" s="44">
        <v>46205.0</v>
      </c>
      <c r="Q34" s="34"/>
      <c r="R34" s="33"/>
      <c r="S34" s="34"/>
      <c r="T34" s="34"/>
    </row>
    <row r="35" ht="15.75" customHeight="1">
      <c r="B35" s="33">
        <v>46204.0</v>
      </c>
      <c r="C35" s="35">
        <v>32035.0</v>
      </c>
      <c r="D35" s="35">
        <v>89.0</v>
      </c>
      <c r="E35" s="37">
        <v>358.5</v>
      </c>
      <c r="F35" s="38">
        <f t="shared" si="2"/>
        <v>31906.5</v>
      </c>
      <c r="G35" s="35" t="s">
        <v>280</v>
      </c>
      <c r="H35" s="35" t="s">
        <v>281</v>
      </c>
      <c r="I35" s="35" t="s">
        <v>32</v>
      </c>
      <c r="J35" s="35" t="s">
        <v>34</v>
      </c>
      <c r="K35" s="35" t="s">
        <v>35</v>
      </c>
      <c r="L35" s="35" t="s">
        <v>254</v>
      </c>
      <c r="M35" s="39">
        <v>31.0</v>
      </c>
      <c r="N35" s="40">
        <v>46211.0</v>
      </c>
      <c r="O35" s="42" t="b">
        <v>1</v>
      </c>
      <c r="P35" s="44">
        <v>46212.0</v>
      </c>
      <c r="Q35" s="34"/>
      <c r="R35" s="33"/>
      <c r="S35" s="34"/>
      <c r="T35" s="34"/>
    </row>
    <row r="36" ht="15.75" customHeight="1">
      <c r="B36" s="33">
        <v>46204.0</v>
      </c>
      <c r="C36" s="35">
        <v>32035.0</v>
      </c>
      <c r="D36" s="35">
        <v>114.0</v>
      </c>
      <c r="E36" s="37">
        <v>358.5</v>
      </c>
      <c r="F36" s="38">
        <f t="shared" si="2"/>
        <v>40869</v>
      </c>
      <c r="G36" s="35" t="s">
        <v>284</v>
      </c>
      <c r="H36" s="35" t="s">
        <v>285</v>
      </c>
      <c r="I36" s="35" t="s">
        <v>32</v>
      </c>
      <c r="J36" s="35" t="s">
        <v>34</v>
      </c>
      <c r="K36" s="35" t="s">
        <v>35</v>
      </c>
      <c r="L36" s="35" t="s">
        <v>254</v>
      </c>
      <c r="M36" s="39">
        <v>31.0</v>
      </c>
      <c r="N36" s="40">
        <v>46211.0</v>
      </c>
      <c r="O36" s="42" t="b">
        <v>1</v>
      </c>
      <c r="P36" s="44">
        <v>46212.0</v>
      </c>
      <c r="Q36" s="34"/>
      <c r="R36" s="33"/>
      <c r="S36" s="34"/>
      <c r="T36" s="34"/>
    </row>
    <row r="37" ht="15.75" customHeight="1">
      <c r="B37" s="33">
        <v>46204.0</v>
      </c>
      <c r="C37" s="35">
        <v>12507.0</v>
      </c>
      <c r="D37" s="35">
        <v>10.0</v>
      </c>
      <c r="E37" s="37">
        <v>170.0</v>
      </c>
      <c r="F37" s="38">
        <f t="shared" si="2"/>
        <v>1700</v>
      </c>
      <c r="G37" s="35" t="s">
        <v>290</v>
      </c>
      <c r="H37" s="35" t="s">
        <v>291</v>
      </c>
      <c r="I37" s="35" t="s">
        <v>41</v>
      </c>
      <c r="J37" s="35" t="s">
        <v>34</v>
      </c>
      <c r="K37" s="35" t="s">
        <v>35</v>
      </c>
      <c r="L37" s="35" t="s">
        <v>87</v>
      </c>
      <c r="M37" s="39">
        <v>31.0</v>
      </c>
      <c r="N37" s="40">
        <v>46205.0</v>
      </c>
      <c r="O37" s="42" t="b">
        <v>1</v>
      </c>
      <c r="P37" s="44">
        <v>46206.0</v>
      </c>
      <c r="Q37" s="34"/>
      <c r="R37" s="33"/>
      <c r="S37" s="34"/>
      <c r="T37" s="34"/>
    </row>
    <row r="38" ht="15.75" customHeight="1">
      <c r="B38" s="33">
        <v>46204.0</v>
      </c>
      <c r="C38" s="35">
        <v>12507.0</v>
      </c>
      <c r="D38" s="35">
        <v>10.0</v>
      </c>
      <c r="E38" s="37">
        <v>187.0</v>
      </c>
      <c r="F38" s="38">
        <f t="shared" si="2"/>
        <v>1870</v>
      </c>
      <c r="G38" s="35" t="s">
        <v>294</v>
      </c>
      <c r="H38" s="35" t="s">
        <v>296</v>
      </c>
      <c r="I38" s="35" t="s">
        <v>41</v>
      </c>
      <c r="J38" s="35" t="s">
        <v>34</v>
      </c>
      <c r="K38" s="35" t="s">
        <v>35</v>
      </c>
      <c r="L38" s="35" t="s">
        <v>87</v>
      </c>
      <c r="M38" s="39">
        <v>31.0</v>
      </c>
      <c r="N38" s="40">
        <v>46205.0</v>
      </c>
      <c r="O38" s="42" t="b">
        <v>1</v>
      </c>
      <c r="P38" s="44">
        <v>46206.0</v>
      </c>
      <c r="Q38" s="34"/>
      <c r="R38" s="33"/>
      <c r="S38" s="34"/>
      <c r="T38" s="34"/>
    </row>
    <row r="39" ht="15.75" customHeight="1">
      <c r="B39" s="33">
        <v>46204.0</v>
      </c>
      <c r="C39" s="35">
        <v>12507.0</v>
      </c>
      <c r="D39" s="35">
        <v>10.0</v>
      </c>
      <c r="E39" s="37">
        <v>204.0</v>
      </c>
      <c r="F39" s="38">
        <f t="shared" si="2"/>
        <v>2040</v>
      </c>
      <c r="G39" s="35" t="s">
        <v>303</v>
      </c>
      <c r="H39" s="35" t="s">
        <v>304</v>
      </c>
      <c r="I39" s="35" t="s">
        <v>41</v>
      </c>
      <c r="J39" s="35" t="s">
        <v>34</v>
      </c>
      <c r="K39" s="35" t="s">
        <v>35</v>
      </c>
      <c r="L39" s="35" t="s">
        <v>87</v>
      </c>
      <c r="M39" s="39">
        <v>31.0</v>
      </c>
      <c r="N39" s="40">
        <v>46205.0</v>
      </c>
      <c r="O39" s="42" t="b">
        <v>1</v>
      </c>
      <c r="P39" s="44">
        <v>46206.0</v>
      </c>
      <c r="Q39" s="34"/>
      <c r="R39" s="33"/>
      <c r="S39" s="34"/>
      <c r="T39" s="34"/>
    </row>
    <row r="40" ht="15.75" customHeight="1">
      <c r="B40" s="33">
        <v>46204.0</v>
      </c>
      <c r="C40" s="35" t="s">
        <v>35</v>
      </c>
      <c r="D40" s="35">
        <v>30.0</v>
      </c>
      <c r="E40" s="37">
        <v>450.0</v>
      </c>
      <c r="F40" s="38">
        <f t="shared" si="2"/>
        <v>13500</v>
      </c>
      <c r="G40" s="35" t="s">
        <v>311</v>
      </c>
      <c r="H40" s="35" t="s">
        <v>312</v>
      </c>
      <c r="I40" s="35" t="s">
        <v>59</v>
      </c>
      <c r="J40" s="35" t="s">
        <v>34</v>
      </c>
      <c r="K40" s="35" t="s">
        <v>35</v>
      </c>
      <c r="L40" s="35" t="s">
        <v>314</v>
      </c>
      <c r="M40" s="39">
        <v>31.0</v>
      </c>
      <c r="N40" s="40">
        <v>46205.0</v>
      </c>
      <c r="O40" s="42" t="b">
        <v>1</v>
      </c>
      <c r="P40" s="44">
        <v>46204.0</v>
      </c>
      <c r="Q40" s="34"/>
      <c r="R40" s="34"/>
      <c r="S40" s="34"/>
      <c r="T40" s="34"/>
    </row>
    <row r="41" ht="15.75" customHeight="1">
      <c r="B41" s="33">
        <v>46204.0</v>
      </c>
      <c r="C41" s="35" t="s">
        <v>35</v>
      </c>
      <c r="D41" s="35">
        <v>1.0</v>
      </c>
      <c r="E41" s="37">
        <v>200.0</v>
      </c>
      <c r="F41" s="38">
        <f t="shared" si="2"/>
        <v>200</v>
      </c>
      <c r="G41" s="35" t="s">
        <v>319</v>
      </c>
      <c r="H41" s="35" t="s">
        <v>35</v>
      </c>
      <c r="I41" s="35" t="s">
        <v>174</v>
      </c>
      <c r="J41" s="35" t="s">
        <v>175</v>
      </c>
      <c r="K41" s="35" t="s">
        <v>35</v>
      </c>
      <c r="L41" s="35" t="s">
        <v>321</v>
      </c>
      <c r="M41" s="39">
        <v>1.0</v>
      </c>
      <c r="N41" s="40">
        <v>46208.0</v>
      </c>
      <c r="O41" s="42" t="b">
        <v>1</v>
      </c>
      <c r="P41" s="44">
        <v>46209.0</v>
      </c>
      <c r="Q41" s="34"/>
      <c r="R41" s="34"/>
      <c r="S41" s="34"/>
      <c r="T41" s="34"/>
    </row>
    <row r="42" ht="15.75" customHeight="1">
      <c r="B42" s="33">
        <v>46204.0</v>
      </c>
      <c r="C42" s="35" t="s">
        <v>35</v>
      </c>
      <c r="D42" s="35">
        <v>4.0</v>
      </c>
      <c r="E42" s="37">
        <v>2185.0</v>
      </c>
      <c r="F42" s="38">
        <f t="shared" si="2"/>
        <v>8740</v>
      </c>
      <c r="G42" s="35" t="s">
        <v>328</v>
      </c>
      <c r="H42" s="35" t="s">
        <v>35</v>
      </c>
      <c r="I42" s="35" t="s">
        <v>174</v>
      </c>
      <c r="J42" s="35" t="s">
        <v>175</v>
      </c>
      <c r="K42" s="35" t="s">
        <v>35</v>
      </c>
      <c r="L42" s="35" t="s">
        <v>321</v>
      </c>
      <c r="M42" s="39">
        <v>1.0</v>
      </c>
      <c r="N42" s="40">
        <v>46208.0</v>
      </c>
      <c r="O42" s="42" t="b">
        <v>1</v>
      </c>
      <c r="P42" s="44">
        <v>46209.0</v>
      </c>
      <c r="Q42" s="34"/>
      <c r="R42" s="34"/>
      <c r="S42" s="34"/>
      <c r="T42" s="34"/>
    </row>
    <row r="43" ht="15.75" customHeight="1">
      <c r="B43" s="33">
        <v>46204.0</v>
      </c>
      <c r="C43" s="35" t="s">
        <v>35</v>
      </c>
      <c r="D43" s="35">
        <v>1.0</v>
      </c>
      <c r="E43" s="37">
        <v>300.0</v>
      </c>
      <c r="F43" s="38">
        <f t="shared" si="2"/>
        <v>300</v>
      </c>
      <c r="G43" s="35" t="s">
        <v>334</v>
      </c>
      <c r="H43" s="35" t="s">
        <v>35</v>
      </c>
      <c r="I43" s="35" t="s">
        <v>174</v>
      </c>
      <c r="J43" s="35" t="s">
        <v>175</v>
      </c>
      <c r="K43" s="35" t="s">
        <v>35</v>
      </c>
      <c r="L43" s="35" t="s">
        <v>321</v>
      </c>
      <c r="M43" s="39">
        <v>1.0</v>
      </c>
      <c r="N43" s="40">
        <v>46208.0</v>
      </c>
      <c r="O43" s="42" t="b">
        <v>1</v>
      </c>
      <c r="P43" s="44">
        <v>46209.0</v>
      </c>
      <c r="Q43" s="34"/>
      <c r="R43" s="34"/>
      <c r="S43" s="34"/>
      <c r="T43" s="34"/>
    </row>
    <row r="44" ht="15.75" customHeight="1">
      <c r="B44" s="33">
        <v>46204.0</v>
      </c>
      <c r="C44" s="35">
        <v>12649.0</v>
      </c>
      <c r="D44" s="35">
        <v>36.0</v>
      </c>
      <c r="E44" s="37">
        <v>22.8</v>
      </c>
      <c r="F44" s="38">
        <f t="shared" si="2"/>
        <v>820.8</v>
      </c>
      <c r="G44" s="35" t="s">
        <v>338</v>
      </c>
      <c r="H44" s="35" t="s">
        <v>339</v>
      </c>
      <c r="I44" s="35" t="s">
        <v>41</v>
      </c>
      <c r="J44" s="35" t="s">
        <v>34</v>
      </c>
      <c r="K44" s="35" t="s">
        <v>35</v>
      </c>
      <c r="L44" s="35" t="s">
        <v>340</v>
      </c>
      <c r="M44" s="39">
        <v>31.0</v>
      </c>
      <c r="N44" s="40">
        <v>46208.0</v>
      </c>
      <c r="O44" s="42" t="b">
        <v>1</v>
      </c>
      <c r="P44" s="44">
        <v>46209.0</v>
      </c>
      <c r="Q44" s="34"/>
      <c r="R44" s="34"/>
      <c r="S44" s="34"/>
      <c r="T44" s="34"/>
    </row>
    <row r="45" ht="15.75" customHeight="1">
      <c r="B45" s="33">
        <v>46204.0</v>
      </c>
      <c r="C45" s="35">
        <v>3565176.0</v>
      </c>
      <c r="D45" s="35">
        <v>500.0</v>
      </c>
      <c r="E45" s="37">
        <v>124.41</v>
      </c>
      <c r="F45" s="38">
        <f t="shared" si="2"/>
        <v>62205</v>
      </c>
      <c r="G45" s="35" t="s">
        <v>343</v>
      </c>
      <c r="H45" s="35" t="s">
        <v>35</v>
      </c>
      <c r="I45" s="35" t="s">
        <v>59</v>
      </c>
      <c r="J45" s="35" t="s">
        <v>34</v>
      </c>
      <c r="K45" s="35" t="s">
        <v>345</v>
      </c>
      <c r="L45" s="35" t="s">
        <v>346</v>
      </c>
      <c r="M45" s="39">
        <v>1.0</v>
      </c>
      <c r="N45" s="40">
        <v>46211.0</v>
      </c>
      <c r="O45" s="42" t="b">
        <v>1</v>
      </c>
      <c r="P45" s="44">
        <v>46210.0</v>
      </c>
      <c r="Q45" s="34"/>
      <c r="R45" s="34"/>
      <c r="S45" s="34"/>
      <c r="T45" s="34"/>
    </row>
    <row r="46" ht="15.75" customHeight="1">
      <c r="B46" s="33">
        <v>46204.0</v>
      </c>
      <c r="C46" s="35">
        <v>3565361.0</v>
      </c>
      <c r="D46" s="35">
        <v>2000.0</v>
      </c>
      <c r="E46" s="37">
        <v>4.74</v>
      </c>
      <c r="F46" s="38">
        <f t="shared" si="2"/>
        <v>9480</v>
      </c>
      <c r="G46" s="35" t="s">
        <v>347</v>
      </c>
      <c r="H46" s="35" t="s">
        <v>35</v>
      </c>
      <c r="I46" s="35" t="s">
        <v>41</v>
      </c>
      <c r="J46" s="35" t="s">
        <v>34</v>
      </c>
      <c r="K46" s="35" t="s">
        <v>345</v>
      </c>
      <c r="L46" s="35" t="s">
        <v>346</v>
      </c>
      <c r="M46" s="39">
        <v>1.0</v>
      </c>
      <c r="N46" s="40">
        <v>46211.0</v>
      </c>
      <c r="O46" s="42" t="b">
        <v>1</v>
      </c>
      <c r="P46" s="44">
        <v>46212.0</v>
      </c>
      <c r="Q46" s="34"/>
      <c r="R46" s="34"/>
      <c r="S46" s="34"/>
      <c r="T46" s="34"/>
    </row>
    <row r="47" ht="15.75" customHeight="1">
      <c r="B47" s="33">
        <v>46204.0</v>
      </c>
      <c r="C47" s="35">
        <v>3565361.0</v>
      </c>
      <c r="D47" s="35">
        <v>100.0</v>
      </c>
      <c r="E47" s="37">
        <v>11.85</v>
      </c>
      <c r="F47" s="38">
        <f t="shared" si="2"/>
        <v>1185</v>
      </c>
      <c r="G47" s="35" t="s">
        <v>350</v>
      </c>
      <c r="H47" s="35" t="s">
        <v>35</v>
      </c>
      <c r="I47" s="35" t="s">
        <v>41</v>
      </c>
      <c r="J47" s="35" t="s">
        <v>34</v>
      </c>
      <c r="K47" s="35" t="s">
        <v>345</v>
      </c>
      <c r="L47" s="35" t="s">
        <v>346</v>
      </c>
      <c r="M47" s="39">
        <v>1.0</v>
      </c>
      <c r="N47" s="40">
        <v>46211.0</v>
      </c>
      <c r="O47" s="42" t="b">
        <v>1</v>
      </c>
      <c r="P47" s="44">
        <v>46212.0</v>
      </c>
      <c r="Q47" s="34"/>
      <c r="R47" s="34"/>
      <c r="S47" s="34"/>
      <c r="T47" s="34"/>
    </row>
    <row r="48" ht="15.75" customHeight="1">
      <c r="B48" s="33">
        <v>46204.0</v>
      </c>
      <c r="C48" s="35">
        <v>3565361.0</v>
      </c>
      <c r="D48" s="35">
        <v>2000.0</v>
      </c>
      <c r="E48" s="37">
        <v>13.3</v>
      </c>
      <c r="F48" s="38">
        <f t="shared" si="2"/>
        <v>26600</v>
      </c>
      <c r="G48" s="35" t="s">
        <v>355</v>
      </c>
      <c r="H48" s="35" t="s">
        <v>35</v>
      </c>
      <c r="I48" s="35" t="s">
        <v>41</v>
      </c>
      <c r="J48" s="35" t="s">
        <v>34</v>
      </c>
      <c r="K48" s="35" t="s">
        <v>345</v>
      </c>
      <c r="L48" s="35" t="s">
        <v>346</v>
      </c>
      <c r="M48" s="39">
        <v>1.0</v>
      </c>
      <c r="N48" s="40">
        <v>46211.0</v>
      </c>
      <c r="O48" s="42" t="b">
        <v>1</v>
      </c>
      <c r="P48" s="44">
        <v>46212.0</v>
      </c>
      <c r="Q48" s="34"/>
      <c r="R48" s="34"/>
      <c r="S48" s="34"/>
      <c r="T48" s="34"/>
    </row>
    <row r="49" ht="15.75" customHeight="1">
      <c r="B49" s="33">
        <v>46204.0</v>
      </c>
      <c r="C49" s="35">
        <v>3568935.0</v>
      </c>
      <c r="D49" s="35">
        <v>3000.0</v>
      </c>
      <c r="E49" s="37">
        <v>4.74</v>
      </c>
      <c r="F49" s="38">
        <f t="shared" si="2"/>
        <v>14220</v>
      </c>
      <c r="G49" s="35" t="s">
        <v>347</v>
      </c>
      <c r="H49" s="35" t="s">
        <v>35</v>
      </c>
      <c r="I49" s="35" t="s">
        <v>59</v>
      </c>
      <c r="J49" s="35" t="s">
        <v>34</v>
      </c>
      <c r="K49" s="35" t="s">
        <v>345</v>
      </c>
      <c r="L49" s="35" t="s">
        <v>346</v>
      </c>
      <c r="M49" s="39">
        <v>1.0</v>
      </c>
      <c r="N49" s="40">
        <v>46211.0</v>
      </c>
      <c r="O49" s="42" t="b">
        <v>1</v>
      </c>
      <c r="P49" s="44">
        <v>46210.0</v>
      </c>
      <c r="Q49" s="34"/>
      <c r="R49" s="34"/>
      <c r="S49" s="34"/>
      <c r="T49" s="34"/>
    </row>
    <row r="50" ht="15.75" customHeight="1">
      <c r="B50" s="33">
        <v>46204.0</v>
      </c>
      <c r="C50" s="35" t="s">
        <v>35</v>
      </c>
      <c r="D50" s="35">
        <v>8.0</v>
      </c>
      <c r="E50" s="37">
        <v>806.5</v>
      </c>
      <c r="F50" s="38">
        <f t="shared" si="2"/>
        <v>6452</v>
      </c>
      <c r="G50" s="35" t="s">
        <v>363</v>
      </c>
      <c r="H50" s="35" t="s">
        <v>35</v>
      </c>
      <c r="I50" s="35" t="s">
        <v>32</v>
      </c>
      <c r="J50" s="35" t="s">
        <v>34</v>
      </c>
      <c r="K50" s="35" t="s">
        <v>345</v>
      </c>
      <c r="L50" s="35" t="s">
        <v>365</v>
      </c>
      <c r="M50" s="39">
        <v>1.0</v>
      </c>
      <c r="N50" s="40">
        <v>46209.0</v>
      </c>
      <c r="O50" s="42" t="b">
        <v>1</v>
      </c>
      <c r="P50" s="44">
        <v>46210.0</v>
      </c>
      <c r="Q50" s="34"/>
      <c r="R50" s="34"/>
      <c r="S50" s="33">
        <v>46236.0</v>
      </c>
      <c r="T50" s="34"/>
    </row>
    <row r="51" ht="15.75" customHeight="1">
      <c r="B51" s="33">
        <v>46204.0</v>
      </c>
      <c r="C51" s="35" t="s">
        <v>35</v>
      </c>
      <c r="D51" s="35">
        <v>8.0</v>
      </c>
      <c r="E51" s="37">
        <v>806.5</v>
      </c>
      <c r="F51" s="38">
        <f t="shared" si="2"/>
        <v>6452</v>
      </c>
      <c r="G51" s="35" t="s">
        <v>367</v>
      </c>
      <c r="H51" s="35" t="s">
        <v>35</v>
      </c>
      <c r="I51" s="35" t="s">
        <v>32</v>
      </c>
      <c r="J51" s="35" t="s">
        <v>34</v>
      </c>
      <c r="K51" s="35" t="s">
        <v>345</v>
      </c>
      <c r="L51" s="35" t="s">
        <v>365</v>
      </c>
      <c r="M51" s="39">
        <v>1.0</v>
      </c>
      <c r="N51" s="40">
        <v>46209.0</v>
      </c>
      <c r="O51" s="42" t="b">
        <v>1</v>
      </c>
      <c r="P51" s="44">
        <v>46210.0</v>
      </c>
      <c r="Q51" s="34"/>
      <c r="R51" s="34"/>
      <c r="S51" s="33">
        <v>46251.0</v>
      </c>
      <c r="T51" s="34"/>
    </row>
    <row r="52" ht="15.75" customHeight="1">
      <c r="B52" s="33">
        <v>46204.0</v>
      </c>
      <c r="C52" s="35" t="s">
        <v>35</v>
      </c>
      <c r="D52" s="35">
        <v>14.0</v>
      </c>
      <c r="E52" s="37">
        <v>806.5</v>
      </c>
      <c r="F52" s="38">
        <f t="shared" si="2"/>
        <v>11291</v>
      </c>
      <c r="G52" s="35" t="s">
        <v>363</v>
      </c>
      <c r="H52" s="35" t="s">
        <v>35</v>
      </c>
      <c r="I52" s="35" t="s">
        <v>32</v>
      </c>
      <c r="J52" s="35" t="s">
        <v>34</v>
      </c>
      <c r="K52" s="35" t="s">
        <v>345</v>
      </c>
      <c r="L52" s="35" t="s">
        <v>365</v>
      </c>
      <c r="M52" s="39">
        <v>1.0</v>
      </c>
      <c r="N52" s="40">
        <v>46209.0</v>
      </c>
      <c r="O52" s="42" t="b">
        <v>1</v>
      </c>
      <c r="P52" s="44">
        <v>46210.0</v>
      </c>
      <c r="Q52" s="34"/>
      <c r="R52" s="34"/>
      <c r="S52" s="33">
        <v>46266.0</v>
      </c>
      <c r="T52" s="34"/>
    </row>
    <row r="53" ht="15.75" customHeight="1">
      <c r="B53" s="33">
        <v>46204.0</v>
      </c>
      <c r="C53" s="35" t="s">
        <v>35</v>
      </c>
      <c r="D53" s="35">
        <v>14.0</v>
      </c>
      <c r="E53" s="37">
        <v>806.5</v>
      </c>
      <c r="F53" s="38">
        <f t="shared" si="2"/>
        <v>11291</v>
      </c>
      <c r="G53" s="35" t="s">
        <v>367</v>
      </c>
      <c r="H53" s="35" t="s">
        <v>35</v>
      </c>
      <c r="I53" s="35" t="s">
        <v>32</v>
      </c>
      <c r="J53" s="35" t="s">
        <v>34</v>
      </c>
      <c r="K53" s="35" t="s">
        <v>345</v>
      </c>
      <c r="L53" s="35" t="s">
        <v>365</v>
      </c>
      <c r="M53" s="39">
        <v>1.0</v>
      </c>
      <c r="N53" s="40">
        <v>46209.0</v>
      </c>
      <c r="O53" s="42" t="b">
        <v>1</v>
      </c>
      <c r="P53" s="44">
        <v>46210.0</v>
      </c>
      <c r="Q53" s="34"/>
      <c r="R53" s="34"/>
      <c r="S53" s="33">
        <v>46236.0</v>
      </c>
      <c r="T53" s="34"/>
    </row>
    <row r="54" ht="15.75" customHeight="1">
      <c r="B54" s="33">
        <v>46204.0</v>
      </c>
      <c r="C54" s="35" t="s">
        <v>35</v>
      </c>
      <c r="D54" s="35">
        <v>14.0</v>
      </c>
      <c r="E54" s="37">
        <v>806.5</v>
      </c>
      <c r="F54" s="38">
        <f t="shared" si="2"/>
        <v>11291</v>
      </c>
      <c r="G54" s="35" t="s">
        <v>363</v>
      </c>
      <c r="H54" s="35" t="s">
        <v>35</v>
      </c>
      <c r="I54" s="35" t="s">
        <v>32</v>
      </c>
      <c r="J54" s="35" t="s">
        <v>34</v>
      </c>
      <c r="K54" s="35" t="s">
        <v>345</v>
      </c>
      <c r="L54" s="35" t="s">
        <v>365</v>
      </c>
      <c r="M54" s="39">
        <v>1.0</v>
      </c>
      <c r="N54" s="40">
        <v>46209.0</v>
      </c>
      <c r="O54" s="42" t="b">
        <v>1</v>
      </c>
      <c r="P54" s="44">
        <v>46210.0</v>
      </c>
      <c r="Q54" s="34"/>
      <c r="R54" s="34"/>
      <c r="S54" s="33">
        <v>46251.0</v>
      </c>
      <c r="T54" s="34"/>
    </row>
    <row r="55" ht="15.75" customHeight="1">
      <c r="B55" s="33">
        <v>46204.0</v>
      </c>
      <c r="C55" s="35" t="s">
        <v>35</v>
      </c>
      <c r="D55" s="35">
        <v>14.0</v>
      </c>
      <c r="E55" s="37">
        <v>806.5</v>
      </c>
      <c r="F55" s="38">
        <f t="shared" si="2"/>
        <v>11291</v>
      </c>
      <c r="G55" s="35" t="s">
        <v>367</v>
      </c>
      <c r="H55" s="35" t="s">
        <v>35</v>
      </c>
      <c r="I55" s="35" t="s">
        <v>32</v>
      </c>
      <c r="J55" s="35" t="s">
        <v>34</v>
      </c>
      <c r="K55" s="35" t="s">
        <v>345</v>
      </c>
      <c r="L55" s="35" t="s">
        <v>365</v>
      </c>
      <c r="M55" s="39">
        <v>1.0</v>
      </c>
      <c r="N55" s="40">
        <v>46209.0</v>
      </c>
      <c r="O55" s="42" t="b">
        <v>1</v>
      </c>
      <c r="P55" s="44">
        <v>46210.0</v>
      </c>
      <c r="Q55" s="34"/>
      <c r="R55" s="34"/>
      <c r="S55" s="33">
        <v>46266.0</v>
      </c>
      <c r="T55" s="34"/>
    </row>
    <row r="56" ht="15.75" customHeight="1">
      <c r="B56" s="33">
        <v>46204.0</v>
      </c>
      <c r="C56" s="35" t="s">
        <v>35</v>
      </c>
      <c r="D56" s="35">
        <v>14.0</v>
      </c>
      <c r="E56" s="37">
        <v>806.5</v>
      </c>
      <c r="F56" s="38">
        <f t="shared" si="2"/>
        <v>11291</v>
      </c>
      <c r="G56" s="35" t="s">
        <v>363</v>
      </c>
      <c r="H56" s="35" t="s">
        <v>35</v>
      </c>
      <c r="I56" s="35" t="s">
        <v>32</v>
      </c>
      <c r="J56" s="35" t="s">
        <v>34</v>
      </c>
      <c r="K56" s="35" t="s">
        <v>345</v>
      </c>
      <c r="L56" s="35" t="s">
        <v>365</v>
      </c>
      <c r="M56" s="39">
        <v>1.0</v>
      </c>
      <c r="N56" s="40">
        <v>46209.0</v>
      </c>
      <c r="O56" s="42" t="b">
        <v>1</v>
      </c>
      <c r="P56" s="44">
        <v>46210.0</v>
      </c>
      <c r="Q56" s="34"/>
      <c r="R56" s="34"/>
      <c r="S56" s="33">
        <v>46236.0</v>
      </c>
      <c r="T56" s="34"/>
    </row>
    <row r="57" ht="15.75" customHeight="1">
      <c r="B57" s="33">
        <v>46204.0</v>
      </c>
      <c r="C57" s="35" t="s">
        <v>35</v>
      </c>
      <c r="D57" s="35">
        <v>14.0</v>
      </c>
      <c r="E57" s="37">
        <v>806.5</v>
      </c>
      <c r="F57" s="38">
        <f t="shared" si="2"/>
        <v>11291</v>
      </c>
      <c r="G57" s="35" t="s">
        <v>367</v>
      </c>
      <c r="H57" s="35" t="s">
        <v>35</v>
      </c>
      <c r="I57" s="35" t="s">
        <v>32</v>
      </c>
      <c r="J57" s="35" t="s">
        <v>34</v>
      </c>
      <c r="K57" s="35" t="s">
        <v>345</v>
      </c>
      <c r="L57" s="35" t="s">
        <v>365</v>
      </c>
      <c r="M57" s="39">
        <v>1.0</v>
      </c>
      <c r="N57" s="40">
        <v>46209.0</v>
      </c>
      <c r="O57" s="42" t="b">
        <v>1</v>
      </c>
      <c r="P57" s="44">
        <v>46210.0</v>
      </c>
      <c r="Q57" s="34"/>
      <c r="R57" s="34"/>
      <c r="S57" s="33">
        <v>46251.0</v>
      </c>
      <c r="T57" s="34"/>
    </row>
    <row r="58" ht="15.75" customHeight="1">
      <c r="B58" s="33">
        <v>46204.0</v>
      </c>
      <c r="C58" s="35">
        <v>795.003</v>
      </c>
      <c r="D58" s="35">
        <v>1000.0</v>
      </c>
      <c r="E58" s="37">
        <v>82.8981</v>
      </c>
      <c r="F58" s="38">
        <f t="shared" si="2"/>
        <v>82898.1</v>
      </c>
      <c r="G58" s="35" t="s">
        <v>392</v>
      </c>
      <c r="H58" s="35" t="s">
        <v>153</v>
      </c>
      <c r="I58" s="35" t="s">
        <v>77</v>
      </c>
      <c r="J58" s="35" t="s">
        <v>79</v>
      </c>
      <c r="K58" s="35" t="s">
        <v>345</v>
      </c>
      <c r="L58" s="35" t="s">
        <v>68</v>
      </c>
      <c r="M58" s="39">
        <v>1.0</v>
      </c>
      <c r="N58" s="40">
        <v>46217.0</v>
      </c>
      <c r="O58" s="42" t="b">
        <v>1</v>
      </c>
      <c r="P58" s="35" t="s">
        <v>84</v>
      </c>
      <c r="Q58" s="34"/>
      <c r="R58" s="34"/>
      <c r="S58" s="34"/>
      <c r="T58" s="34"/>
    </row>
    <row r="59" ht="15.75" customHeight="1">
      <c r="B59" s="33">
        <v>46204.0</v>
      </c>
      <c r="C59" s="35">
        <v>435610.0</v>
      </c>
      <c r="D59" s="35">
        <v>1000.0</v>
      </c>
      <c r="E59" s="37">
        <v>20.9</v>
      </c>
      <c r="F59" s="38">
        <f t="shared" si="2"/>
        <v>20900</v>
      </c>
      <c r="G59" s="35" t="s">
        <v>398</v>
      </c>
      <c r="H59" s="35" t="s">
        <v>399</v>
      </c>
      <c r="I59" s="35" t="s">
        <v>77</v>
      </c>
      <c r="J59" s="35" t="s">
        <v>79</v>
      </c>
      <c r="K59" s="35" t="s">
        <v>345</v>
      </c>
      <c r="L59" s="35" t="s">
        <v>353</v>
      </c>
      <c r="M59" s="39">
        <v>1.0</v>
      </c>
      <c r="N59" s="40">
        <v>46231.0</v>
      </c>
      <c r="O59" s="42" t="b">
        <v>0</v>
      </c>
      <c r="P59" s="44">
        <v>46233.0</v>
      </c>
      <c r="Q59" s="34"/>
      <c r="R59" s="34"/>
      <c r="S59" s="34"/>
      <c r="T59" s="34"/>
    </row>
    <row r="60" ht="15.75" customHeight="1">
      <c r="B60" s="33">
        <v>46204.0</v>
      </c>
      <c r="C60" s="35">
        <v>435610.0</v>
      </c>
      <c r="D60" s="35">
        <v>1000.0</v>
      </c>
      <c r="E60" s="37">
        <v>15.65</v>
      </c>
      <c r="F60" s="38">
        <f t="shared" si="2"/>
        <v>15650</v>
      </c>
      <c r="G60" s="35" t="s">
        <v>405</v>
      </c>
      <c r="H60" s="35" t="s">
        <v>407</v>
      </c>
      <c r="I60" s="35" t="s">
        <v>77</v>
      </c>
      <c r="J60" s="35" t="s">
        <v>79</v>
      </c>
      <c r="K60" s="35" t="s">
        <v>345</v>
      </c>
      <c r="L60" s="35" t="s">
        <v>353</v>
      </c>
      <c r="M60" s="39">
        <v>1.0</v>
      </c>
      <c r="N60" s="40">
        <v>46231.0</v>
      </c>
      <c r="O60" s="42" t="b">
        <v>0</v>
      </c>
      <c r="P60" s="44">
        <v>46233.0</v>
      </c>
      <c r="Q60" s="34"/>
      <c r="R60" s="34"/>
      <c r="S60" s="34"/>
      <c r="T60" s="34"/>
    </row>
    <row r="61" ht="15.75" customHeight="1">
      <c r="B61" s="33">
        <v>46204.0</v>
      </c>
      <c r="C61" s="35">
        <v>435610.0</v>
      </c>
      <c r="D61" s="35">
        <v>1000.0</v>
      </c>
      <c r="E61" s="37">
        <v>4.39</v>
      </c>
      <c r="F61" s="38">
        <f t="shared" si="2"/>
        <v>4390</v>
      </c>
      <c r="G61" s="35" t="s">
        <v>414</v>
      </c>
      <c r="H61" s="35" t="s">
        <v>415</v>
      </c>
      <c r="I61" s="35" t="s">
        <v>77</v>
      </c>
      <c r="J61" s="35" t="s">
        <v>79</v>
      </c>
      <c r="K61" s="35" t="s">
        <v>345</v>
      </c>
      <c r="L61" s="35" t="s">
        <v>353</v>
      </c>
      <c r="M61" s="39">
        <v>1.0</v>
      </c>
      <c r="N61" s="40">
        <v>46231.0</v>
      </c>
      <c r="O61" s="42" t="b">
        <v>0</v>
      </c>
      <c r="P61" s="44">
        <v>46233.0</v>
      </c>
      <c r="Q61" s="34"/>
      <c r="R61" s="34"/>
      <c r="S61" s="34"/>
      <c r="T61" s="34"/>
    </row>
    <row r="62" ht="15.75" customHeight="1">
      <c r="B62" s="33">
        <v>46204.0</v>
      </c>
      <c r="C62" s="35">
        <v>435610.0</v>
      </c>
      <c r="D62" s="35">
        <v>10000.0</v>
      </c>
      <c r="E62" s="37">
        <v>3.3</v>
      </c>
      <c r="F62" s="38">
        <f t="shared" si="2"/>
        <v>33000</v>
      </c>
      <c r="G62" s="35" t="s">
        <v>351</v>
      </c>
      <c r="H62" s="35" t="s">
        <v>352</v>
      </c>
      <c r="I62" s="35" t="s">
        <v>39</v>
      </c>
      <c r="J62" s="35" t="s">
        <v>40</v>
      </c>
      <c r="K62" s="35" t="s">
        <v>345</v>
      </c>
      <c r="L62" s="35" t="s">
        <v>353</v>
      </c>
      <c r="M62" s="39">
        <v>1.0</v>
      </c>
      <c r="N62" s="40">
        <v>46231.0</v>
      </c>
      <c r="O62" s="42" t="b">
        <v>0</v>
      </c>
      <c r="P62" s="44">
        <v>46233.0</v>
      </c>
      <c r="Q62" s="34"/>
      <c r="R62" s="34"/>
      <c r="S62" s="34"/>
      <c r="T62" s="34"/>
    </row>
    <row r="63" ht="15.75" customHeight="1">
      <c r="B63" s="33">
        <v>46205.0</v>
      </c>
      <c r="C63" s="46" t="s">
        <v>421</v>
      </c>
      <c r="D63" s="35">
        <v>200.0</v>
      </c>
      <c r="E63" s="37">
        <v>12.6</v>
      </c>
      <c r="F63" s="38">
        <f t="shared" si="2"/>
        <v>2520</v>
      </c>
      <c r="G63" s="35" t="s">
        <v>423</v>
      </c>
      <c r="H63" s="35" t="s">
        <v>424</v>
      </c>
      <c r="I63" s="35" t="s">
        <v>240</v>
      </c>
      <c r="J63" s="35" t="s">
        <v>34</v>
      </c>
      <c r="K63" s="35" t="s">
        <v>35</v>
      </c>
      <c r="L63" s="35" t="s">
        <v>62</v>
      </c>
      <c r="M63" s="39">
        <v>1.0</v>
      </c>
      <c r="N63" s="40">
        <v>46208.0</v>
      </c>
      <c r="O63" s="42" t="b">
        <v>1</v>
      </c>
      <c r="P63" s="44">
        <v>46209.0</v>
      </c>
      <c r="Q63" s="34"/>
      <c r="R63" s="33"/>
      <c r="S63" s="33"/>
      <c r="T63" s="33"/>
    </row>
    <row r="64" ht="15.75" customHeight="1">
      <c r="B64" s="33">
        <v>46205.0</v>
      </c>
      <c r="C64" s="35">
        <v>12723.0</v>
      </c>
      <c r="D64" s="35">
        <v>50.0</v>
      </c>
      <c r="E64" s="37">
        <v>12.7</v>
      </c>
      <c r="F64" s="38">
        <f t="shared" si="2"/>
        <v>635</v>
      </c>
      <c r="G64" s="35" t="s">
        <v>427</v>
      </c>
      <c r="H64" s="35" t="s">
        <v>428</v>
      </c>
      <c r="I64" s="35" t="s">
        <v>240</v>
      </c>
      <c r="J64" s="35" t="s">
        <v>34</v>
      </c>
      <c r="K64" s="35" t="s">
        <v>35</v>
      </c>
      <c r="L64" s="35" t="s">
        <v>87</v>
      </c>
      <c r="M64" s="39">
        <v>31.0</v>
      </c>
      <c r="N64" s="40">
        <v>46205.0</v>
      </c>
      <c r="O64" s="42" t="b">
        <v>1</v>
      </c>
      <c r="P64" s="44">
        <v>46209.0</v>
      </c>
      <c r="Q64" s="34"/>
      <c r="R64" s="34"/>
      <c r="S64" s="34"/>
      <c r="T64" s="34"/>
    </row>
    <row r="65" ht="15.75" customHeight="1">
      <c r="B65" s="33">
        <v>46205.0</v>
      </c>
      <c r="C65" s="35">
        <v>32048.0</v>
      </c>
      <c r="D65" s="35">
        <v>3.0</v>
      </c>
      <c r="E65" s="37">
        <v>605.83</v>
      </c>
      <c r="F65" s="38">
        <f t="shared" si="2"/>
        <v>1817.49</v>
      </c>
      <c r="G65" s="35" t="s">
        <v>435</v>
      </c>
      <c r="H65" s="35" t="s">
        <v>35</v>
      </c>
      <c r="I65" s="35" t="s">
        <v>237</v>
      </c>
      <c r="J65" s="35" t="s">
        <v>175</v>
      </c>
      <c r="K65" s="35" t="s">
        <v>35</v>
      </c>
      <c r="L65" s="35" t="s">
        <v>254</v>
      </c>
      <c r="M65" s="39">
        <v>31.0</v>
      </c>
      <c r="N65" s="40">
        <v>46205.0</v>
      </c>
      <c r="O65" s="42" t="b">
        <v>1</v>
      </c>
      <c r="P65" s="44">
        <v>46210.0</v>
      </c>
      <c r="Q65" s="34"/>
      <c r="R65" s="34"/>
      <c r="S65" s="34"/>
      <c r="T65" s="34"/>
    </row>
    <row r="66" ht="15.75" customHeight="1">
      <c r="B66" s="33">
        <v>46205.0</v>
      </c>
      <c r="C66" s="35">
        <v>32048.0</v>
      </c>
      <c r="D66" s="35">
        <v>114.0</v>
      </c>
      <c r="E66" s="37">
        <v>612.43</v>
      </c>
      <c r="F66" s="38">
        <f t="shared" si="2"/>
        <v>69817.02</v>
      </c>
      <c r="G66" s="35" t="s">
        <v>440</v>
      </c>
      <c r="H66" s="35" t="s">
        <v>35</v>
      </c>
      <c r="I66" s="35" t="s">
        <v>237</v>
      </c>
      <c r="J66" s="35" t="s">
        <v>175</v>
      </c>
      <c r="K66" s="35" t="s">
        <v>35</v>
      </c>
      <c r="L66" s="35" t="s">
        <v>254</v>
      </c>
      <c r="M66" s="39">
        <v>31.0</v>
      </c>
      <c r="N66" s="40">
        <v>46205.0</v>
      </c>
      <c r="O66" s="42" t="b">
        <v>1</v>
      </c>
      <c r="P66" s="44">
        <v>46210.0</v>
      </c>
      <c r="Q66" s="34"/>
      <c r="R66" s="33"/>
      <c r="S66" s="34"/>
      <c r="T66" s="34"/>
    </row>
    <row r="67" ht="15.75" customHeight="1">
      <c r="B67" s="33">
        <v>46205.0</v>
      </c>
      <c r="C67" s="35">
        <v>32048.0</v>
      </c>
      <c r="D67" s="35">
        <v>25.0</v>
      </c>
      <c r="E67" s="37">
        <v>579.43</v>
      </c>
      <c r="F67" s="38">
        <f t="shared" si="2"/>
        <v>14485.75</v>
      </c>
      <c r="G67" s="35" t="s">
        <v>448</v>
      </c>
      <c r="H67" s="35" t="s">
        <v>35</v>
      </c>
      <c r="I67" s="35" t="s">
        <v>237</v>
      </c>
      <c r="J67" s="35" t="s">
        <v>175</v>
      </c>
      <c r="K67" s="35" t="s">
        <v>35</v>
      </c>
      <c r="L67" s="35" t="s">
        <v>254</v>
      </c>
      <c r="M67" s="39">
        <v>31.0</v>
      </c>
      <c r="N67" s="40">
        <v>46205.0</v>
      </c>
      <c r="O67" s="42" t="b">
        <v>1</v>
      </c>
      <c r="P67" s="44">
        <v>46210.0</v>
      </c>
      <c r="Q67" s="34"/>
      <c r="R67" s="33"/>
      <c r="S67" s="34"/>
      <c r="T67" s="34"/>
    </row>
    <row r="68" ht="15.75" customHeight="1">
      <c r="B68" s="33">
        <v>46205.0</v>
      </c>
      <c r="C68" s="35">
        <v>32048.0</v>
      </c>
      <c r="D68" s="35">
        <v>7.0</v>
      </c>
      <c r="E68" s="37">
        <v>579.43</v>
      </c>
      <c r="F68" s="38">
        <f t="shared" si="2"/>
        <v>4056.01</v>
      </c>
      <c r="G68" s="35" t="s">
        <v>455</v>
      </c>
      <c r="H68" s="35" t="s">
        <v>35</v>
      </c>
      <c r="I68" s="35" t="s">
        <v>237</v>
      </c>
      <c r="J68" s="35" t="s">
        <v>175</v>
      </c>
      <c r="K68" s="35" t="s">
        <v>35</v>
      </c>
      <c r="L68" s="35" t="s">
        <v>254</v>
      </c>
      <c r="M68" s="39">
        <v>31.0</v>
      </c>
      <c r="N68" s="40">
        <v>46205.0</v>
      </c>
      <c r="O68" s="42" t="b">
        <v>1</v>
      </c>
      <c r="P68" s="44">
        <v>46210.0</v>
      </c>
      <c r="Q68" s="34"/>
      <c r="R68" s="34"/>
      <c r="S68" s="34"/>
      <c r="T68" s="34"/>
    </row>
    <row r="69" ht="15.75" customHeight="1">
      <c r="B69" s="33">
        <v>46205.0</v>
      </c>
      <c r="C69" s="35">
        <v>228252.0</v>
      </c>
      <c r="D69" s="35">
        <v>30.0</v>
      </c>
      <c r="E69" s="37">
        <v>107.25</v>
      </c>
      <c r="F69" s="38">
        <f t="shared" si="2"/>
        <v>3217.5</v>
      </c>
      <c r="G69" s="35" t="s">
        <v>460</v>
      </c>
      <c r="H69" s="35" t="s">
        <v>462</v>
      </c>
      <c r="I69" s="35" t="s">
        <v>237</v>
      </c>
      <c r="J69" s="35" t="s">
        <v>175</v>
      </c>
      <c r="K69" s="35" t="s">
        <v>345</v>
      </c>
      <c r="L69" s="35" t="s">
        <v>193</v>
      </c>
      <c r="M69" s="39">
        <v>1.0</v>
      </c>
      <c r="N69" s="40">
        <v>46223.0</v>
      </c>
      <c r="O69" s="42" t="b">
        <v>1</v>
      </c>
      <c r="P69" s="44">
        <v>46226.0</v>
      </c>
      <c r="Q69" s="34"/>
      <c r="R69" s="33">
        <v>46205.0</v>
      </c>
      <c r="S69" s="34"/>
      <c r="T69" s="34"/>
    </row>
    <row r="70" ht="15.75" customHeight="1">
      <c r="B70" s="33">
        <v>46205.0</v>
      </c>
      <c r="C70" s="35">
        <v>21946.0</v>
      </c>
      <c r="D70" s="35">
        <v>12.0</v>
      </c>
      <c r="E70" s="37">
        <v>15.9</v>
      </c>
      <c r="F70" s="38">
        <f t="shared" si="2"/>
        <v>190.8</v>
      </c>
      <c r="G70" s="35" t="s">
        <v>466</v>
      </c>
      <c r="H70" s="35" t="s">
        <v>467</v>
      </c>
      <c r="I70" s="35" t="s">
        <v>240</v>
      </c>
      <c r="J70" s="35" t="s">
        <v>34</v>
      </c>
      <c r="K70" s="35" t="s">
        <v>35</v>
      </c>
      <c r="L70" s="35" t="s">
        <v>96</v>
      </c>
      <c r="M70" s="39">
        <v>31.0</v>
      </c>
      <c r="N70" s="40">
        <v>46211.0</v>
      </c>
      <c r="O70" s="42" t="b">
        <v>1</v>
      </c>
      <c r="P70" s="44">
        <v>46213.0</v>
      </c>
      <c r="Q70" s="34"/>
      <c r="R70" s="34"/>
      <c r="S70" s="34"/>
      <c r="T70" s="34"/>
    </row>
    <row r="71" ht="15.75" customHeight="1">
      <c r="B71" s="33">
        <v>46205.0</v>
      </c>
      <c r="C71" s="35">
        <v>21938.0</v>
      </c>
      <c r="D71" s="35">
        <v>10.0</v>
      </c>
      <c r="E71" s="37">
        <v>209.9</v>
      </c>
      <c r="F71" s="38">
        <f t="shared" si="2"/>
        <v>2099</v>
      </c>
      <c r="G71" s="35" t="s">
        <v>471</v>
      </c>
      <c r="H71" s="35" t="s">
        <v>472</v>
      </c>
      <c r="I71" s="35" t="s">
        <v>41</v>
      </c>
      <c r="J71" s="35" t="s">
        <v>34</v>
      </c>
      <c r="K71" s="35" t="s">
        <v>35</v>
      </c>
      <c r="L71" s="35" t="s">
        <v>96</v>
      </c>
      <c r="M71" s="39">
        <v>31.0</v>
      </c>
      <c r="N71" s="40">
        <v>46210.0</v>
      </c>
      <c r="O71" s="42" t="b">
        <v>1</v>
      </c>
      <c r="P71" s="44">
        <v>46211.0</v>
      </c>
      <c r="Q71" s="34"/>
      <c r="R71" s="34"/>
      <c r="S71" s="34"/>
      <c r="T71" s="34"/>
    </row>
    <row r="72" ht="15.75" customHeight="1">
      <c r="B72" s="33">
        <v>46205.0</v>
      </c>
      <c r="C72" s="35">
        <v>21938.0</v>
      </c>
      <c r="D72" s="35">
        <v>24.0</v>
      </c>
      <c r="E72" s="37">
        <v>44.9</v>
      </c>
      <c r="F72" s="38">
        <f t="shared" si="2"/>
        <v>1077.6</v>
      </c>
      <c r="G72" s="35" t="s">
        <v>476</v>
      </c>
      <c r="H72" s="35" t="s">
        <v>477</v>
      </c>
      <c r="I72" s="35" t="s">
        <v>41</v>
      </c>
      <c r="J72" s="35" t="s">
        <v>34</v>
      </c>
      <c r="K72" s="35" t="s">
        <v>35</v>
      </c>
      <c r="L72" s="35" t="s">
        <v>96</v>
      </c>
      <c r="M72" s="39">
        <v>31.0</v>
      </c>
      <c r="N72" s="40">
        <v>46210.0</v>
      </c>
      <c r="O72" s="42" t="b">
        <v>1</v>
      </c>
      <c r="P72" s="44">
        <v>46211.0</v>
      </c>
      <c r="Q72" s="34"/>
      <c r="R72" s="34"/>
      <c r="S72" s="34"/>
      <c r="T72" s="34"/>
    </row>
    <row r="73" ht="15.75" customHeight="1">
      <c r="B73" s="33">
        <v>46205.0</v>
      </c>
      <c r="C73" s="35">
        <v>21938.0</v>
      </c>
      <c r="D73" s="35">
        <v>24.0</v>
      </c>
      <c r="E73" s="37">
        <v>44.9</v>
      </c>
      <c r="F73" s="38">
        <f t="shared" si="2"/>
        <v>1077.6</v>
      </c>
      <c r="G73" s="35" t="s">
        <v>479</v>
      </c>
      <c r="H73" s="35" t="s">
        <v>480</v>
      </c>
      <c r="I73" s="35" t="s">
        <v>41</v>
      </c>
      <c r="J73" s="35" t="s">
        <v>34</v>
      </c>
      <c r="K73" s="35" t="s">
        <v>35</v>
      </c>
      <c r="L73" s="35" t="s">
        <v>96</v>
      </c>
      <c r="M73" s="39">
        <v>31.0</v>
      </c>
      <c r="N73" s="40">
        <v>46210.0</v>
      </c>
      <c r="O73" s="42" t="b">
        <v>1</v>
      </c>
      <c r="P73" s="44">
        <v>46211.0</v>
      </c>
      <c r="Q73" s="34"/>
      <c r="R73" s="34"/>
      <c r="S73" s="34"/>
      <c r="T73" s="34"/>
    </row>
    <row r="74" ht="15.75" customHeight="1">
      <c r="B74" s="33">
        <v>46205.0</v>
      </c>
      <c r="C74" s="35">
        <v>921.0</v>
      </c>
      <c r="D74" s="35">
        <v>50.0</v>
      </c>
      <c r="E74" s="37">
        <v>425.0</v>
      </c>
      <c r="F74" s="38">
        <f t="shared" si="2"/>
        <v>21250</v>
      </c>
      <c r="G74" s="35" t="s">
        <v>484</v>
      </c>
      <c r="H74" s="35" t="s">
        <v>312</v>
      </c>
      <c r="I74" s="35" t="s">
        <v>41</v>
      </c>
      <c r="J74" s="35" t="s">
        <v>34</v>
      </c>
      <c r="K74" s="35" t="s">
        <v>35</v>
      </c>
      <c r="L74" s="35" t="s">
        <v>140</v>
      </c>
      <c r="M74" s="39">
        <v>31.0</v>
      </c>
      <c r="N74" s="40">
        <v>46206.0</v>
      </c>
      <c r="O74" s="42" t="b">
        <v>1</v>
      </c>
      <c r="P74" s="44">
        <v>46206.0</v>
      </c>
      <c r="Q74" s="34"/>
      <c r="R74" s="34"/>
      <c r="S74" s="34"/>
      <c r="T74" s="34"/>
    </row>
    <row r="75" ht="15.75" customHeight="1">
      <c r="B75" s="33">
        <v>46205.0</v>
      </c>
      <c r="C75" s="35">
        <v>921.0</v>
      </c>
      <c r="D75" s="35">
        <v>50.0</v>
      </c>
      <c r="E75" s="37">
        <v>425.0</v>
      </c>
      <c r="F75" s="38">
        <f t="shared" si="2"/>
        <v>21250</v>
      </c>
      <c r="G75" s="35" t="s">
        <v>484</v>
      </c>
      <c r="H75" s="35" t="s">
        <v>312</v>
      </c>
      <c r="I75" s="35" t="s">
        <v>41</v>
      </c>
      <c r="J75" s="35" t="s">
        <v>40</v>
      </c>
      <c r="K75" s="35" t="s">
        <v>35</v>
      </c>
      <c r="L75" s="35" t="s">
        <v>140</v>
      </c>
      <c r="M75" s="39">
        <v>31.0</v>
      </c>
      <c r="N75" s="40">
        <v>46206.0</v>
      </c>
      <c r="O75" s="42" t="b">
        <v>1</v>
      </c>
      <c r="P75" s="44">
        <v>46206.0</v>
      </c>
      <c r="Q75" s="33"/>
      <c r="R75" s="34"/>
      <c r="S75" s="34"/>
      <c r="T75" s="34"/>
    </row>
    <row r="76" ht="15.75" customHeight="1">
      <c r="B76" s="33">
        <v>46205.0</v>
      </c>
      <c r="C76" s="35">
        <v>923904.0</v>
      </c>
      <c r="D76" s="35">
        <v>220.0</v>
      </c>
      <c r="E76" s="37">
        <v>149.9</v>
      </c>
      <c r="F76" s="38">
        <f t="shared" si="2"/>
        <v>32978</v>
      </c>
      <c r="G76" s="35" t="s">
        <v>493</v>
      </c>
      <c r="H76" s="35">
        <v>60856.0</v>
      </c>
      <c r="I76" s="35" t="s">
        <v>59</v>
      </c>
      <c r="J76" s="35" t="s">
        <v>34</v>
      </c>
      <c r="K76" s="35" t="s">
        <v>35</v>
      </c>
      <c r="L76" s="35" t="s">
        <v>43</v>
      </c>
      <c r="M76" s="39">
        <v>1.0</v>
      </c>
      <c r="N76" s="40">
        <v>46209.0</v>
      </c>
      <c r="O76" s="42" t="b">
        <v>1</v>
      </c>
      <c r="P76" s="44">
        <v>46209.0</v>
      </c>
      <c r="Q76" s="34"/>
      <c r="R76" s="35"/>
      <c r="S76" s="34"/>
      <c r="T76" s="34"/>
    </row>
    <row r="77" ht="15.75" customHeight="1">
      <c r="B77" s="33">
        <v>46205.0</v>
      </c>
      <c r="C77" s="35">
        <v>923915.0</v>
      </c>
      <c r="D77" s="35">
        <v>1000.0</v>
      </c>
      <c r="E77" s="37">
        <v>87.9</v>
      </c>
      <c r="F77" s="38">
        <f t="shared" si="2"/>
        <v>87900</v>
      </c>
      <c r="G77" s="35" t="s">
        <v>496</v>
      </c>
      <c r="H77" s="35">
        <v>72896.0</v>
      </c>
      <c r="I77" s="35" t="s">
        <v>59</v>
      </c>
      <c r="J77" s="35" t="s">
        <v>34</v>
      </c>
      <c r="K77" s="35" t="s">
        <v>35</v>
      </c>
      <c r="L77" s="35" t="s">
        <v>43</v>
      </c>
      <c r="M77" s="39">
        <v>1.0</v>
      </c>
      <c r="N77" s="40">
        <v>46209.0</v>
      </c>
      <c r="O77" s="42" t="b">
        <v>1</v>
      </c>
      <c r="P77" s="44">
        <v>46209.0</v>
      </c>
      <c r="Q77" s="34"/>
      <c r="R77" s="34"/>
      <c r="S77" s="34"/>
      <c r="T77" s="34"/>
    </row>
    <row r="78" ht="15.75" customHeight="1">
      <c r="B78" s="33">
        <v>46205.0</v>
      </c>
      <c r="C78" s="35" t="s">
        <v>35</v>
      </c>
      <c r="D78" s="35">
        <v>10.0</v>
      </c>
      <c r="E78" s="37">
        <v>212.78</v>
      </c>
      <c r="F78" s="38">
        <f t="shared" si="2"/>
        <v>2127.8</v>
      </c>
      <c r="G78" s="35" t="s">
        <v>503</v>
      </c>
      <c r="H78" s="35" t="s">
        <v>504</v>
      </c>
      <c r="I78" s="35" t="s">
        <v>59</v>
      </c>
      <c r="J78" s="35" t="s">
        <v>34</v>
      </c>
      <c r="K78" s="35" t="s">
        <v>345</v>
      </c>
      <c r="L78" s="35" t="s">
        <v>365</v>
      </c>
      <c r="M78" s="39">
        <v>1.0</v>
      </c>
      <c r="N78" s="40">
        <v>46209.0</v>
      </c>
      <c r="O78" s="42" t="b">
        <v>1</v>
      </c>
      <c r="P78" s="44">
        <v>46210.0</v>
      </c>
      <c r="Q78" s="34"/>
      <c r="R78" s="34"/>
      <c r="S78" s="34"/>
      <c r="T78" s="34"/>
    </row>
    <row r="79" ht="15.75" customHeight="1">
      <c r="B79" s="33">
        <v>46205.0</v>
      </c>
      <c r="C79" s="35">
        <v>21938.0</v>
      </c>
      <c r="D79" s="35">
        <v>10.0</v>
      </c>
      <c r="E79" s="37">
        <v>89.99</v>
      </c>
      <c r="F79" s="38">
        <f t="shared" si="2"/>
        <v>899.9</v>
      </c>
      <c r="G79" s="35" t="s">
        <v>511</v>
      </c>
      <c r="H79" s="35" t="s">
        <v>512</v>
      </c>
      <c r="I79" s="35" t="s">
        <v>41</v>
      </c>
      <c r="J79" s="35" t="s">
        <v>34</v>
      </c>
      <c r="K79" s="35" t="s">
        <v>35</v>
      </c>
      <c r="L79" s="35" t="s">
        <v>96</v>
      </c>
      <c r="M79" s="39">
        <v>31.0</v>
      </c>
      <c r="N79" s="40">
        <v>46210.0</v>
      </c>
      <c r="O79" s="42" t="b">
        <v>1</v>
      </c>
      <c r="P79" s="44">
        <v>46211.0</v>
      </c>
      <c r="Q79" s="34"/>
      <c r="R79" s="33"/>
      <c r="S79" s="34"/>
      <c r="T79" s="34"/>
    </row>
    <row r="80" ht="15.75" customHeight="1">
      <c r="B80" s="33">
        <v>46205.0</v>
      </c>
      <c r="C80" s="35">
        <v>21938.0</v>
      </c>
      <c r="D80" s="35">
        <v>50.0</v>
      </c>
      <c r="E80" s="37">
        <v>73.99</v>
      </c>
      <c r="F80" s="38">
        <f t="shared" si="2"/>
        <v>3699.5</v>
      </c>
      <c r="G80" s="35" t="s">
        <v>516</v>
      </c>
      <c r="H80" s="35" t="s">
        <v>517</v>
      </c>
      <c r="I80" s="35" t="s">
        <v>41</v>
      </c>
      <c r="J80" s="35" t="s">
        <v>34</v>
      </c>
      <c r="K80" s="35" t="s">
        <v>35</v>
      </c>
      <c r="L80" s="35" t="s">
        <v>96</v>
      </c>
      <c r="M80" s="39">
        <v>31.0</v>
      </c>
      <c r="N80" s="40">
        <v>46210.0</v>
      </c>
      <c r="O80" s="42" t="b">
        <v>1</v>
      </c>
      <c r="P80" s="44">
        <v>46211.0</v>
      </c>
      <c r="Q80" s="34"/>
      <c r="R80" s="33"/>
      <c r="S80" s="34"/>
      <c r="T80" s="34"/>
    </row>
    <row r="81" ht="15.75" customHeight="1">
      <c r="B81" s="33">
        <v>46205.0</v>
      </c>
      <c r="C81" s="35">
        <v>21938.0</v>
      </c>
      <c r="D81" s="35">
        <v>10.0</v>
      </c>
      <c r="E81" s="37">
        <v>129.9</v>
      </c>
      <c r="F81" s="38">
        <f t="shared" si="2"/>
        <v>1299</v>
      </c>
      <c r="G81" s="35" t="s">
        <v>521</v>
      </c>
      <c r="H81" s="35" t="s">
        <v>523</v>
      </c>
      <c r="I81" s="35" t="s">
        <v>41</v>
      </c>
      <c r="J81" s="35" t="s">
        <v>34</v>
      </c>
      <c r="K81" s="35" t="s">
        <v>35</v>
      </c>
      <c r="L81" s="35" t="s">
        <v>96</v>
      </c>
      <c r="M81" s="39">
        <v>31.0</v>
      </c>
      <c r="N81" s="40">
        <v>46210.0</v>
      </c>
      <c r="O81" s="42" t="b">
        <v>1</v>
      </c>
      <c r="P81" s="44">
        <v>46211.0</v>
      </c>
      <c r="Q81" s="34"/>
      <c r="R81" s="34"/>
      <c r="S81" s="34"/>
      <c r="T81" s="34"/>
    </row>
    <row r="82" ht="15.75" customHeight="1">
      <c r="B82" s="33">
        <v>46205.0</v>
      </c>
      <c r="C82" s="35">
        <v>21938.0</v>
      </c>
      <c r="D82" s="35">
        <v>20.0</v>
      </c>
      <c r="E82" s="37">
        <v>149.9</v>
      </c>
      <c r="F82" s="38">
        <f t="shared" si="2"/>
        <v>2998</v>
      </c>
      <c r="G82" s="35" t="s">
        <v>527</v>
      </c>
      <c r="H82" s="35" t="s">
        <v>529</v>
      </c>
      <c r="I82" s="35" t="s">
        <v>41</v>
      </c>
      <c r="J82" s="35" t="s">
        <v>34</v>
      </c>
      <c r="K82" s="35" t="s">
        <v>35</v>
      </c>
      <c r="L82" s="35" t="s">
        <v>96</v>
      </c>
      <c r="M82" s="39">
        <v>31.0</v>
      </c>
      <c r="N82" s="40">
        <v>46210.0</v>
      </c>
      <c r="O82" s="42" t="b">
        <v>1</v>
      </c>
      <c r="P82" s="44">
        <v>46211.0</v>
      </c>
      <c r="Q82" s="34"/>
      <c r="R82" s="34"/>
      <c r="S82" s="34"/>
      <c r="T82" s="34"/>
    </row>
    <row r="83" ht="15.75" customHeight="1">
      <c r="B83" s="33">
        <v>46205.0</v>
      </c>
      <c r="C83" s="35">
        <v>21938.0</v>
      </c>
      <c r="D83" s="35">
        <v>20.0</v>
      </c>
      <c r="E83" s="37">
        <v>50.9</v>
      </c>
      <c r="F83" s="38">
        <f t="shared" si="2"/>
        <v>1018</v>
      </c>
      <c r="G83" s="35" t="s">
        <v>532</v>
      </c>
      <c r="H83" s="35" t="s">
        <v>533</v>
      </c>
      <c r="I83" s="35" t="s">
        <v>41</v>
      </c>
      <c r="J83" s="35" t="s">
        <v>34</v>
      </c>
      <c r="K83" s="35" t="s">
        <v>35</v>
      </c>
      <c r="L83" s="35" t="s">
        <v>96</v>
      </c>
      <c r="M83" s="39">
        <v>31.0</v>
      </c>
      <c r="N83" s="40">
        <v>46210.0</v>
      </c>
      <c r="O83" s="42" t="b">
        <v>1</v>
      </c>
      <c r="P83" s="44">
        <v>46211.0</v>
      </c>
      <c r="Q83" s="34"/>
      <c r="R83" s="34"/>
      <c r="S83" s="34"/>
      <c r="T83" s="35"/>
    </row>
    <row r="84" ht="15.0" customHeight="1">
      <c r="B84" s="33">
        <v>46205.0</v>
      </c>
      <c r="C84" s="35">
        <v>21938.0</v>
      </c>
      <c r="D84" s="35">
        <v>10.0</v>
      </c>
      <c r="E84" s="37">
        <v>349.9</v>
      </c>
      <c r="F84" s="38">
        <f t="shared" si="2"/>
        <v>3499</v>
      </c>
      <c r="G84" s="35" t="s">
        <v>537</v>
      </c>
      <c r="H84" s="35" t="s">
        <v>224</v>
      </c>
      <c r="I84" s="35" t="s">
        <v>41</v>
      </c>
      <c r="J84" s="35" t="s">
        <v>34</v>
      </c>
      <c r="K84" s="35" t="s">
        <v>35</v>
      </c>
      <c r="L84" s="35" t="s">
        <v>96</v>
      </c>
      <c r="M84" s="39">
        <v>31.0</v>
      </c>
      <c r="N84" s="40">
        <v>46210.0</v>
      </c>
      <c r="O84" s="42" t="b">
        <v>1</v>
      </c>
      <c r="P84" s="44">
        <v>46211.0</v>
      </c>
      <c r="Q84" s="34"/>
      <c r="R84" s="34"/>
      <c r="S84" s="34"/>
      <c r="T84" s="34"/>
    </row>
    <row r="85" ht="15.75" customHeight="1">
      <c r="B85" s="33">
        <v>46205.0</v>
      </c>
      <c r="C85" s="35">
        <v>21938.0</v>
      </c>
      <c r="D85" s="35">
        <v>60.0</v>
      </c>
      <c r="E85" s="37">
        <v>139.9</v>
      </c>
      <c r="F85" s="38">
        <f t="shared" si="2"/>
        <v>8394</v>
      </c>
      <c r="G85" s="35" t="s">
        <v>540</v>
      </c>
      <c r="H85" s="35" t="s">
        <v>541</v>
      </c>
      <c r="I85" s="35" t="s">
        <v>41</v>
      </c>
      <c r="J85" s="35" t="s">
        <v>34</v>
      </c>
      <c r="K85" s="35" t="s">
        <v>35</v>
      </c>
      <c r="L85" s="35" t="s">
        <v>96</v>
      </c>
      <c r="M85" s="39">
        <v>31.0</v>
      </c>
      <c r="N85" s="40">
        <v>46210.0</v>
      </c>
      <c r="O85" s="42" t="b">
        <v>1</v>
      </c>
      <c r="P85" s="44">
        <v>46211.0</v>
      </c>
      <c r="Q85" s="34"/>
      <c r="R85" s="34"/>
      <c r="S85" s="34"/>
      <c r="T85" s="34"/>
    </row>
    <row r="86" ht="15.75" customHeight="1">
      <c r="B86" s="33">
        <v>46205.0</v>
      </c>
      <c r="C86" s="35">
        <v>21938.0</v>
      </c>
      <c r="D86" s="35">
        <v>36.0</v>
      </c>
      <c r="E86" s="37">
        <v>139.9</v>
      </c>
      <c r="F86" s="38">
        <f t="shared" si="2"/>
        <v>5036.4</v>
      </c>
      <c r="G86" s="35" t="s">
        <v>544</v>
      </c>
      <c r="H86" s="35" t="s">
        <v>546</v>
      </c>
      <c r="I86" s="35" t="s">
        <v>41</v>
      </c>
      <c r="J86" s="35" t="s">
        <v>34</v>
      </c>
      <c r="K86" s="35" t="s">
        <v>35</v>
      </c>
      <c r="L86" s="35" t="s">
        <v>96</v>
      </c>
      <c r="M86" s="39">
        <v>31.0</v>
      </c>
      <c r="N86" s="40">
        <v>46210.0</v>
      </c>
      <c r="O86" s="42" t="b">
        <v>1</v>
      </c>
      <c r="P86" s="44">
        <v>46211.0</v>
      </c>
      <c r="Q86" s="34"/>
      <c r="R86" s="34"/>
      <c r="S86" s="34"/>
      <c r="T86" s="34"/>
    </row>
    <row r="87" ht="15.75" customHeight="1">
      <c r="B87" s="33">
        <v>46205.0</v>
      </c>
      <c r="C87" s="35">
        <v>21938.0</v>
      </c>
      <c r="D87" s="35">
        <v>16.0</v>
      </c>
      <c r="E87" s="37">
        <v>329.9</v>
      </c>
      <c r="F87" s="38">
        <f t="shared" si="2"/>
        <v>5278.4</v>
      </c>
      <c r="G87" s="35" t="s">
        <v>420</v>
      </c>
      <c r="H87" s="35" t="s">
        <v>190</v>
      </c>
      <c r="I87" s="35" t="s">
        <v>41</v>
      </c>
      <c r="J87" s="35" t="s">
        <v>34</v>
      </c>
      <c r="K87" s="35" t="s">
        <v>35</v>
      </c>
      <c r="L87" s="35" t="s">
        <v>96</v>
      </c>
      <c r="M87" s="39">
        <v>31.0</v>
      </c>
      <c r="N87" s="40">
        <v>46210.0</v>
      </c>
      <c r="O87" s="42" t="b">
        <v>1</v>
      </c>
      <c r="P87" s="44">
        <v>46211.0</v>
      </c>
      <c r="Q87" s="34"/>
      <c r="R87" s="34"/>
      <c r="S87" s="34"/>
      <c r="T87" s="34"/>
    </row>
    <row r="88" ht="15.75" customHeight="1">
      <c r="B88" s="33">
        <v>46205.0</v>
      </c>
      <c r="C88" s="46" t="s">
        <v>555</v>
      </c>
      <c r="D88" s="35">
        <v>4.0</v>
      </c>
      <c r="E88" s="37">
        <v>1170.0</v>
      </c>
      <c r="F88" s="38">
        <f t="shared" si="2"/>
        <v>4680</v>
      </c>
      <c r="G88" s="35" t="s">
        <v>556</v>
      </c>
      <c r="H88" s="35" t="s">
        <v>557</v>
      </c>
      <c r="I88" s="35" t="s">
        <v>174</v>
      </c>
      <c r="J88" s="35" t="s">
        <v>175</v>
      </c>
      <c r="K88" s="35" t="s">
        <v>35</v>
      </c>
      <c r="L88" s="35" t="s">
        <v>46</v>
      </c>
      <c r="M88" s="39">
        <v>1.0</v>
      </c>
      <c r="N88" s="40">
        <v>46209.0</v>
      </c>
      <c r="O88" s="42" t="b">
        <v>1</v>
      </c>
      <c r="P88" s="44">
        <v>46217.0</v>
      </c>
      <c r="Q88" s="34"/>
      <c r="R88" s="34"/>
      <c r="S88" s="34"/>
      <c r="T88" s="34"/>
    </row>
    <row r="89" ht="15.75" customHeight="1">
      <c r="B89" s="33">
        <v>46205.0</v>
      </c>
      <c r="C89" s="35">
        <v>33195.0</v>
      </c>
      <c r="D89" s="35">
        <v>70.0</v>
      </c>
      <c r="E89" s="37">
        <v>1140.89</v>
      </c>
      <c r="F89" s="38">
        <f t="shared" si="2"/>
        <v>79862.3</v>
      </c>
      <c r="G89" s="35" t="s">
        <v>565</v>
      </c>
      <c r="H89" s="35" t="s">
        <v>35</v>
      </c>
      <c r="I89" s="35" t="s">
        <v>32</v>
      </c>
      <c r="J89" s="35" t="s">
        <v>34</v>
      </c>
      <c r="K89" s="35" t="s">
        <v>35</v>
      </c>
      <c r="L89" s="35" t="s">
        <v>567</v>
      </c>
      <c r="M89" s="39">
        <v>31.0</v>
      </c>
      <c r="N89" s="40">
        <v>46216.0</v>
      </c>
      <c r="O89" s="42" t="b">
        <v>1</v>
      </c>
      <c r="P89" s="44">
        <v>46216.0</v>
      </c>
      <c r="Q89" s="34"/>
      <c r="R89" s="34"/>
      <c r="S89" s="34"/>
      <c r="T89" s="34"/>
    </row>
    <row r="90" ht="15.75" customHeight="1">
      <c r="B90" s="33">
        <v>46205.0</v>
      </c>
      <c r="C90" s="35">
        <v>33195.0</v>
      </c>
      <c r="D90" s="35">
        <v>10.0</v>
      </c>
      <c r="E90" s="37">
        <v>2043.7</v>
      </c>
      <c r="F90" s="38">
        <f t="shared" si="2"/>
        <v>20437</v>
      </c>
      <c r="G90" s="35" t="s">
        <v>573</v>
      </c>
      <c r="H90" s="35" t="s">
        <v>35</v>
      </c>
      <c r="I90" s="35" t="s">
        <v>32</v>
      </c>
      <c r="J90" s="35" t="s">
        <v>34</v>
      </c>
      <c r="K90" s="35" t="s">
        <v>35</v>
      </c>
      <c r="L90" s="35" t="s">
        <v>567</v>
      </c>
      <c r="M90" s="39">
        <v>31.0</v>
      </c>
      <c r="N90" s="40">
        <v>46216.0</v>
      </c>
      <c r="O90" s="42" t="b">
        <v>1</v>
      </c>
      <c r="P90" s="44">
        <v>46216.0</v>
      </c>
      <c r="Q90" s="34"/>
      <c r="R90" s="34"/>
      <c r="S90" s="34"/>
      <c r="T90" s="34"/>
    </row>
    <row r="91" ht="15.75" customHeight="1">
      <c r="B91" s="33">
        <v>46205.0</v>
      </c>
      <c r="C91" s="35">
        <v>33195.0</v>
      </c>
      <c r="D91" s="35">
        <v>40.0</v>
      </c>
      <c r="E91" s="37">
        <v>1845.75</v>
      </c>
      <c r="F91" s="38">
        <f t="shared" si="2"/>
        <v>73830</v>
      </c>
      <c r="G91" s="35" t="s">
        <v>578</v>
      </c>
      <c r="H91" s="35" t="s">
        <v>35</v>
      </c>
      <c r="I91" s="35" t="s">
        <v>32</v>
      </c>
      <c r="J91" s="35" t="s">
        <v>34</v>
      </c>
      <c r="K91" s="35" t="s">
        <v>35</v>
      </c>
      <c r="L91" s="35" t="s">
        <v>567</v>
      </c>
      <c r="M91" s="39">
        <v>31.0</v>
      </c>
      <c r="N91" s="40">
        <v>46216.0</v>
      </c>
      <c r="O91" s="42" t="b">
        <v>1</v>
      </c>
      <c r="P91" s="44">
        <v>46216.0</v>
      </c>
      <c r="Q91" s="34"/>
      <c r="R91" s="34"/>
      <c r="S91" s="34"/>
      <c r="T91" s="34"/>
    </row>
    <row r="92" ht="15.75" customHeight="1">
      <c r="B92" s="33">
        <v>46206.0</v>
      </c>
      <c r="C92" s="35" t="s">
        <v>35</v>
      </c>
      <c r="D92" s="35">
        <v>120.0</v>
      </c>
      <c r="E92" s="37">
        <v>380.0</v>
      </c>
      <c r="F92" s="38">
        <f t="shared" si="2"/>
        <v>45600</v>
      </c>
      <c r="G92" s="35" t="s">
        <v>581</v>
      </c>
      <c r="H92" s="35" t="s">
        <v>35</v>
      </c>
      <c r="I92" s="35" t="s">
        <v>59</v>
      </c>
      <c r="J92" s="35" t="s">
        <v>34</v>
      </c>
      <c r="K92" s="35" t="s">
        <v>35</v>
      </c>
      <c r="L92" s="35" t="s">
        <v>585</v>
      </c>
      <c r="M92" s="39">
        <v>31.0</v>
      </c>
      <c r="N92" s="40">
        <v>46209.0</v>
      </c>
      <c r="O92" s="42" t="b">
        <v>1</v>
      </c>
      <c r="P92" s="44">
        <v>46209.0</v>
      </c>
      <c r="Q92" s="34"/>
      <c r="R92" s="35"/>
      <c r="S92" s="34"/>
      <c r="T92" s="35"/>
    </row>
    <row r="93" ht="15.75" customHeight="1">
      <c r="B93" s="33">
        <v>46206.0</v>
      </c>
      <c r="C93" s="35" t="s">
        <v>35</v>
      </c>
      <c r="D93" s="35">
        <v>20.0</v>
      </c>
      <c r="E93" s="37">
        <v>380.0</v>
      </c>
      <c r="F93" s="38">
        <f t="shared" si="2"/>
        <v>7600</v>
      </c>
      <c r="G93" s="35" t="s">
        <v>581</v>
      </c>
      <c r="H93" s="35" t="s">
        <v>35</v>
      </c>
      <c r="I93" s="35" t="s">
        <v>59</v>
      </c>
      <c r="J93" s="35" t="s">
        <v>34</v>
      </c>
      <c r="K93" s="35" t="s">
        <v>35</v>
      </c>
      <c r="L93" s="35" t="s">
        <v>585</v>
      </c>
      <c r="M93" s="39">
        <v>31.0</v>
      </c>
      <c r="N93" s="40">
        <v>46208.0</v>
      </c>
      <c r="O93" s="42" t="b">
        <v>1</v>
      </c>
      <c r="P93" s="44">
        <v>46209.0</v>
      </c>
      <c r="Q93" s="34"/>
      <c r="R93" s="33">
        <v>46206.0</v>
      </c>
      <c r="S93" s="34"/>
      <c r="T93" s="34"/>
    </row>
    <row r="94" ht="15.75" customHeight="1">
      <c r="B94" s="33">
        <v>46206.0</v>
      </c>
      <c r="C94" s="35">
        <v>22125.0</v>
      </c>
      <c r="D94" s="35">
        <v>6.0</v>
      </c>
      <c r="E94" s="37">
        <v>269.9</v>
      </c>
      <c r="F94" s="38">
        <f t="shared" si="2"/>
        <v>1619.4</v>
      </c>
      <c r="G94" s="35" t="s">
        <v>594</v>
      </c>
      <c r="H94" s="35" t="s">
        <v>596</v>
      </c>
      <c r="I94" s="35" t="s">
        <v>41</v>
      </c>
      <c r="J94" s="35" t="s">
        <v>34</v>
      </c>
      <c r="K94" s="35" t="s">
        <v>35</v>
      </c>
      <c r="L94" s="35" t="s">
        <v>96</v>
      </c>
      <c r="M94" s="39">
        <v>31.0</v>
      </c>
      <c r="N94" s="40">
        <v>46208.0</v>
      </c>
      <c r="O94" s="42" t="b">
        <v>1</v>
      </c>
      <c r="P94" s="44">
        <v>46209.0</v>
      </c>
      <c r="Q94" s="34"/>
      <c r="R94" s="34"/>
      <c r="S94" s="34"/>
      <c r="T94" s="34"/>
    </row>
    <row r="95" ht="15.75" customHeight="1">
      <c r="B95" s="33">
        <v>46206.0</v>
      </c>
      <c r="C95" s="35">
        <v>12903.0</v>
      </c>
      <c r="D95" s="35">
        <v>100.0</v>
      </c>
      <c r="E95" s="37">
        <v>230.0</v>
      </c>
      <c r="F95" s="38">
        <f t="shared" si="2"/>
        <v>23000</v>
      </c>
      <c r="G95" s="35" t="s">
        <v>601</v>
      </c>
      <c r="H95" s="35" t="s">
        <v>602</v>
      </c>
      <c r="I95" s="35" t="s">
        <v>240</v>
      </c>
      <c r="J95" s="35" t="s">
        <v>34</v>
      </c>
      <c r="K95" s="35" t="s">
        <v>35</v>
      </c>
      <c r="L95" s="35" t="s">
        <v>87</v>
      </c>
      <c r="M95" s="39">
        <v>31.0</v>
      </c>
      <c r="N95" s="40">
        <v>46208.0</v>
      </c>
      <c r="O95" s="42" t="b">
        <v>1</v>
      </c>
      <c r="P95" s="44">
        <v>46209.0</v>
      </c>
      <c r="Q95" s="34"/>
      <c r="R95" s="34"/>
      <c r="S95" s="34"/>
      <c r="T95" s="34"/>
    </row>
    <row r="96" ht="15.75" customHeight="1">
      <c r="B96" s="33">
        <v>46206.0</v>
      </c>
      <c r="C96" s="35" t="s">
        <v>35</v>
      </c>
      <c r="D96" s="35">
        <v>50.0</v>
      </c>
      <c r="E96" s="37">
        <v>260.0</v>
      </c>
      <c r="F96" s="38">
        <f t="shared" si="2"/>
        <v>13000</v>
      </c>
      <c r="G96" s="35" t="s">
        <v>612</v>
      </c>
      <c r="H96" s="35" t="s">
        <v>35</v>
      </c>
      <c r="I96" s="35" t="s">
        <v>41</v>
      </c>
      <c r="J96" s="35" t="s">
        <v>34</v>
      </c>
      <c r="K96" s="35" t="s">
        <v>35</v>
      </c>
      <c r="L96" s="35" t="s">
        <v>585</v>
      </c>
      <c r="M96" s="39">
        <v>31.0</v>
      </c>
      <c r="N96" s="40">
        <v>46209.0</v>
      </c>
      <c r="O96" s="42" t="b">
        <v>1</v>
      </c>
      <c r="P96" s="44">
        <v>46212.0</v>
      </c>
      <c r="Q96" s="34"/>
      <c r="R96" s="33">
        <v>46206.0</v>
      </c>
      <c r="S96" s="34"/>
      <c r="T96" s="34"/>
    </row>
    <row r="97" ht="15.75" customHeight="1">
      <c r="B97" s="33">
        <v>46206.0</v>
      </c>
      <c r="C97" s="35">
        <v>8897.0</v>
      </c>
      <c r="D97" s="35">
        <v>12.0</v>
      </c>
      <c r="E97" s="37">
        <v>1010.0</v>
      </c>
      <c r="F97" s="38">
        <f t="shared" si="2"/>
        <v>12120</v>
      </c>
      <c r="G97" s="35" t="s">
        <v>617</v>
      </c>
      <c r="H97" s="35" t="s">
        <v>35</v>
      </c>
      <c r="I97" s="35" t="s">
        <v>32</v>
      </c>
      <c r="J97" s="35" t="s">
        <v>34</v>
      </c>
      <c r="K97" s="35" t="s">
        <v>35</v>
      </c>
      <c r="L97" s="35" t="s">
        <v>81</v>
      </c>
      <c r="M97" s="39">
        <v>31.0</v>
      </c>
      <c r="N97" s="40">
        <v>46211.0</v>
      </c>
      <c r="O97" s="42" t="b">
        <v>1</v>
      </c>
      <c r="P97" s="44">
        <v>46212.0</v>
      </c>
      <c r="Q97" s="34"/>
      <c r="R97" s="34"/>
      <c r="S97" s="34"/>
      <c r="T97" s="34"/>
    </row>
    <row r="98" ht="15.75" customHeight="1">
      <c r="B98" s="33">
        <v>46206.0</v>
      </c>
      <c r="C98" s="35">
        <v>930.0</v>
      </c>
      <c r="D98" s="35">
        <v>4000.0</v>
      </c>
      <c r="E98" s="37">
        <v>70.0</v>
      </c>
      <c r="F98" s="38">
        <f t="shared" si="2"/>
        <v>280000</v>
      </c>
      <c r="G98" s="35" t="s">
        <v>138</v>
      </c>
      <c r="H98" s="35" t="s">
        <v>139</v>
      </c>
      <c r="I98" s="35" t="s">
        <v>32</v>
      </c>
      <c r="J98" s="35" t="s">
        <v>40</v>
      </c>
      <c r="K98" s="35" t="s">
        <v>35</v>
      </c>
      <c r="L98" s="35" t="s">
        <v>140</v>
      </c>
      <c r="M98" s="39">
        <v>31.0</v>
      </c>
      <c r="N98" s="40">
        <v>46210.0</v>
      </c>
      <c r="O98" s="42" t="b">
        <v>1</v>
      </c>
      <c r="P98" s="44">
        <v>46211.0</v>
      </c>
      <c r="Q98" s="34"/>
      <c r="R98" s="34"/>
      <c r="S98" s="34"/>
      <c r="T98" s="34"/>
    </row>
    <row r="99" ht="15.75" customHeight="1">
      <c r="B99" s="33">
        <v>46206.0</v>
      </c>
      <c r="C99" s="35">
        <v>924066.0</v>
      </c>
      <c r="D99" s="35">
        <v>500.0</v>
      </c>
      <c r="E99" s="37">
        <v>149.9</v>
      </c>
      <c r="F99" s="38">
        <f t="shared" si="2"/>
        <v>74950</v>
      </c>
      <c r="G99" s="35" t="s">
        <v>493</v>
      </c>
      <c r="H99" s="35">
        <v>60856.0</v>
      </c>
      <c r="I99" s="35" t="s">
        <v>41</v>
      </c>
      <c r="J99" s="35" t="s">
        <v>40</v>
      </c>
      <c r="K99" s="35" t="s">
        <v>35</v>
      </c>
      <c r="L99" s="35" t="s">
        <v>43</v>
      </c>
      <c r="M99" s="39">
        <v>1.0</v>
      </c>
      <c r="N99" s="40">
        <v>46213.0</v>
      </c>
      <c r="O99" s="42" t="b">
        <v>0</v>
      </c>
      <c r="P99" s="44">
        <v>46212.0</v>
      </c>
      <c r="Q99" s="34"/>
      <c r="R99" s="33">
        <v>46236.0</v>
      </c>
      <c r="S99" s="33">
        <v>46266.0</v>
      </c>
      <c r="T99" s="33">
        <v>46296.0</v>
      </c>
    </row>
    <row r="100" ht="15.75" customHeight="1">
      <c r="B100" s="33">
        <v>46206.0</v>
      </c>
      <c r="C100" s="35">
        <v>12888.0</v>
      </c>
      <c r="D100" s="35">
        <v>1500.0</v>
      </c>
      <c r="E100" s="37">
        <v>1.2</v>
      </c>
      <c r="F100" s="38">
        <f t="shared" si="2"/>
        <v>1800</v>
      </c>
      <c r="G100" s="35" t="s">
        <v>630</v>
      </c>
      <c r="H100" s="35" t="s">
        <v>631</v>
      </c>
      <c r="I100" s="35" t="s">
        <v>59</v>
      </c>
      <c r="J100" s="35" t="s">
        <v>34</v>
      </c>
      <c r="K100" s="35" t="s">
        <v>35</v>
      </c>
      <c r="L100" s="35" t="s">
        <v>87</v>
      </c>
      <c r="M100" s="39">
        <v>31.0</v>
      </c>
      <c r="N100" s="40">
        <v>46206.0</v>
      </c>
      <c r="O100" s="42" t="b">
        <v>1</v>
      </c>
      <c r="P100" s="44">
        <v>46206.0</v>
      </c>
      <c r="Q100" s="34"/>
      <c r="R100" s="34"/>
      <c r="S100" s="34"/>
      <c r="T100" s="34"/>
    </row>
    <row r="101" ht="15.75" customHeight="1">
      <c r="B101" s="33">
        <v>46206.0</v>
      </c>
      <c r="C101" s="35" t="s">
        <v>35</v>
      </c>
      <c r="D101" s="35">
        <v>50.0</v>
      </c>
      <c r="E101" s="37">
        <v>380.0</v>
      </c>
      <c r="F101" s="38">
        <f t="shared" si="2"/>
        <v>19000</v>
      </c>
      <c r="G101" s="35" t="s">
        <v>581</v>
      </c>
      <c r="H101" s="35" t="s">
        <v>35</v>
      </c>
      <c r="I101" s="35" t="s">
        <v>41</v>
      </c>
      <c r="J101" s="35" t="s">
        <v>34</v>
      </c>
      <c r="K101" s="35" t="s">
        <v>35</v>
      </c>
      <c r="L101" s="35" t="s">
        <v>585</v>
      </c>
      <c r="M101" s="39">
        <v>31.0</v>
      </c>
      <c r="N101" s="40">
        <v>46209.0</v>
      </c>
      <c r="O101" s="42" t="b">
        <v>1</v>
      </c>
      <c r="P101" s="44">
        <v>46212.0</v>
      </c>
      <c r="Q101" s="34"/>
      <c r="R101" s="33">
        <v>46206.0</v>
      </c>
      <c r="S101" s="34"/>
      <c r="T101" s="34"/>
    </row>
    <row r="102" ht="15.75" customHeight="1">
      <c r="B102" s="33">
        <v>46206.0</v>
      </c>
      <c r="C102" s="35">
        <v>12888.0</v>
      </c>
      <c r="D102" s="35">
        <v>1200.0</v>
      </c>
      <c r="E102" s="37">
        <v>2.1</v>
      </c>
      <c r="F102" s="38">
        <f t="shared" si="2"/>
        <v>2520</v>
      </c>
      <c r="G102" s="35" t="s">
        <v>642</v>
      </c>
      <c r="H102" s="35" t="s">
        <v>643</v>
      </c>
      <c r="I102" s="35" t="s">
        <v>59</v>
      </c>
      <c r="J102" s="35" t="s">
        <v>34</v>
      </c>
      <c r="K102" s="35" t="s">
        <v>35</v>
      </c>
      <c r="L102" s="35" t="s">
        <v>87</v>
      </c>
      <c r="M102" s="39">
        <v>31.0</v>
      </c>
      <c r="N102" s="40">
        <v>46206.0</v>
      </c>
      <c r="O102" s="42" t="b">
        <v>1</v>
      </c>
      <c r="P102" s="44">
        <v>46206.0</v>
      </c>
      <c r="Q102" s="34"/>
      <c r="R102" s="34"/>
      <c r="S102" s="34"/>
      <c r="T102" s="34"/>
    </row>
    <row r="103" ht="15.75" customHeight="1">
      <c r="B103" s="33">
        <v>46206.0</v>
      </c>
      <c r="C103" s="35">
        <v>12889.0</v>
      </c>
      <c r="D103" s="35">
        <v>20.0</v>
      </c>
      <c r="E103" s="37">
        <v>300.0</v>
      </c>
      <c r="F103" s="38">
        <f t="shared" si="2"/>
        <v>6000</v>
      </c>
      <c r="G103" s="35" t="s">
        <v>651</v>
      </c>
      <c r="H103" s="35" t="s">
        <v>653</v>
      </c>
      <c r="I103" s="35" t="s">
        <v>59</v>
      </c>
      <c r="J103" s="35" t="s">
        <v>34</v>
      </c>
      <c r="K103" s="35" t="s">
        <v>35</v>
      </c>
      <c r="L103" s="35" t="s">
        <v>87</v>
      </c>
      <c r="M103" s="39">
        <v>31.0</v>
      </c>
      <c r="N103" s="40">
        <v>46206.0</v>
      </c>
      <c r="O103" s="42" t="b">
        <v>1</v>
      </c>
      <c r="P103" s="44">
        <v>46206.0</v>
      </c>
      <c r="Q103" s="34"/>
      <c r="R103" s="34"/>
      <c r="S103" s="34"/>
      <c r="T103" s="34"/>
    </row>
    <row r="104" ht="15.75" customHeight="1">
      <c r="B104" s="33">
        <v>46206.0</v>
      </c>
      <c r="C104" s="35">
        <v>1039.0</v>
      </c>
      <c r="D104" s="35">
        <v>106.0</v>
      </c>
      <c r="E104" s="37">
        <v>152.0</v>
      </c>
      <c r="F104" s="38">
        <f t="shared" si="2"/>
        <v>16112</v>
      </c>
      <c r="G104" s="35" t="s">
        <v>659</v>
      </c>
      <c r="H104" s="35" t="s">
        <v>660</v>
      </c>
      <c r="I104" s="35" t="s">
        <v>240</v>
      </c>
      <c r="J104" s="35" t="s">
        <v>34</v>
      </c>
      <c r="K104" s="35" t="s">
        <v>35</v>
      </c>
      <c r="L104" s="35" t="s">
        <v>132</v>
      </c>
      <c r="M104" s="39">
        <v>31.0</v>
      </c>
      <c r="N104" s="40">
        <v>46206.0</v>
      </c>
      <c r="O104" s="42" t="b">
        <v>0</v>
      </c>
      <c r="P104" s="44"/>
      <c r="Q104" s="34"/>
      <c r="R104" s="34"/>
      <c r="S104" s="34"/>
      <c r="T104" s="34"/>
    </row>
    <row r="105" ht="15.75" customHeight="1">
      <c r="B105" s="33">
        <v>46206.0</v>
      </c>
      <c r="C105" s="35">
        <v>1039.0</v>
      </c>
      <c r="D105" s="35">
        <v>5.0</v>
      </c>
      <c r="E105" s="37">
        <v>180.0</v>
      </c>
      <c r="F105" s="38">
        <f t="shared" si="2"/>
        <v>900</v>
      </c>
      <c r="G105" s="35" t="s">
        <v>665</v>
      </c>
      <c r="H105" s="35" t="s">
        <v>666</v>
      </c>
      <c r="I105" s="35" t="s">
        <v>240</v>
      </c>
      <c r="J105" s="35" t="s">
        <v>34</v>
      </c>
      <c r="K105" s="35" t="s">
        <v>35</v>
      </c>
      <c r="L105" s="35" t="s">
        <v>132</v>
      </c>
      <c r="M105" s="39">
        <v>31.0</v>
      </c>
      <c r="N105" s="40">
        <v>46206.0</v>
      </c>
      <c r="O105" s="42" t="b">
        <v>0</v>
      </c>
      <c r="P105" s="44"/>
      <c r="Q105" s="34"/>
      <c r="R105" s="34"/>
      <c r="S105" s="34"/>
      <c r="T105" s="34"/>
    </row>
    <row r="106" ht="15.75" customHeight="1">
      <c r="B106" s="33">
        <v>46206.0</v>
      </c>
      <c r="C106" s="35">
        <v>1039.0</v>
      </c>
      <c r="D106" s="35">
        <v>200.0</v>
      </c>
      <c r="E106" s="37">
        <v>180.0</v>
      </c>
      <c r="F106" s="38">
        <f t="shared" si="2"/>
        <v>36000</v>
      </c>
      <c r="G106" s="35" t="s">
        <v>665</v>
      </c>
      <c r="H106" s="35" t="s">
        <v>666</v>
      </c>
      <c r="I106" s="35" t="s">
        <v>174</v>
      </c>
      <c r="J106" s="35" t="s">
        <v>175</v>
      </c>
      <c r="K106" s="35" t="s">
        <v>35</v>
      </c>
      <c r="L106" s="35" t="s">
        <v>132</v>
      </c>
      <c r="M106" s="39">
        <v>31.0</v>
      </c>
      <c r="N106" s="40">
        <v>46206.0</v>
      </c>
      <c r="O106" s="42" t="b">
        <v>0</v>
      </c>
      <c r="P106" s="44"/>
      <c r="Q106" s="34"/>
      <c r="R106" s="34"/>
      <c r="S106" s="34"/>
      <c r="T106" s="35"/>
    </row>
    <row r="107" ht="15.75" customHeight="1">
      <c r="B107" s="33">
        <v>46206.0</v>
      </c>
      <c r="C107" s="35">
        <v>1039.0</v>
      </c>
      <c r="D107" s="35">
        <v>20.0</v>
      </c>
      <c r="E107" s="37">
        <v>215.0</v>
      </c>
      <c r="F107" s="38">
        <f t="shared" si="2"/>
        <v>4300</v>
      </c>
      <c r="G107" s="35" t="s">
        <v>675</v>
      </c>
      <c r="H107" s="35" t="s">
        <v>677</v>
      </c>
      <c r="I107" s="35" t="s">
        <v>32</v>
      </c>
      <c r="J107" s="35" t="s">
        <v>34</v>
      </c>
      <c r="K107" s="35" t="s">
        <v>35</v>
      </c>
      <c r="L107" s="35" t="s">
        <v>132</v>
      </c>
      <c r="M107" s="39">
        <v>31.0</v>
      </c>
      <c r="N107" s="40">
        <v>46206.0</v>
      </c>
      <c r="O107" s="42" t="b">
        <v>0</v>
      </c>
      <c r="P107" s="44"/>
      <c r="Q107" s="34"/>
      <c r="R107" s="34"/>
      <c r="S107" s="34"/>
      <c r="T107" s="34"/>
    </row>
    <row r="108" ht="15.75" customHeight="1">
      <c r="B108" s="33">
        <v>46206.0</v>
      </c>
      <c r="C108" s="35">
        <v>1039.0</v>
      </c>
      <c r="D108" s="35">
        <v>300.0</v>
      </c>
      <c r="E108" s="37">
        <v>215.0</v>
      </c>
      <c r="F108" s="38">
        <f t="shared" si="2"/>
        <v>64500</v>
      </c>
      <c r="G108" s="35" t="s">
        <v>675</v>
      </c>
      <c r="H108" s="35" t="s">
        <v>677</v>
      </c>
      <c r="I108" s="35" t="s">
        <v>174</v>
      </c>
      <c r="J108" s="35" t="s">
        <v>175</v>
      </c>
      <c r="K108" s="35" t="s">
        <v>35</v>
      </c>
      <c r="L108" s="35" t="s">
        <v>132</v>
      </c>
      <c r="M108" s="39">
        <v>31.0</v>
      </c>
      <c r="N108" s="40">
        <v>46206.0</v>
      </c>
      <c r="O108" s="42" t="b">
        <v>0</v>
      </c>
      <c r="P108" s="44"/>
      <c r="Q108" s="34"/>
      <c r="R108" s="33"/>
      <c r="S108" s="34"/>
      <c r="T108" s="34"/>
    </row>
    <row r="109" ht="15.75" customHeight="1">
      <c r="B109" s="33">
        <v>46206.0</v>
      </c>
      <c r="C109" s="35">
        <v>1039.0</v>
      </c>
      <c r="D109" s="35">
        <v>50.0</v>
      </c>
      <c r="E109" s="37">
        <v>215.0</v>
      </c>
      <c r="F109" s="38">
        <f t="shared" si="2"/>
        <v>10750</v>
      </c>
      <c r="G109" s="35" t="s">
        <v>675</v>
      </c>
      <c r="H109" s="35" t="s">
        <v>677</v>
      </c>
      <c r="I109" s="35" t="s">
        <v>240</v>
      </c>
      <c r="J109" s="35" t="s">
        <v>34</v>
      </c>
      <c r="K109" s="35" t="s">
        <v>35</v>
      </c>
      <c r="L109" s="35" t="s">
        <v>132</v>
      </c>
      <c r="M109" s="39">
        <v>31.0</v>
      </c>
      <c r="N109" s="40">
        <v>46206.0</v>
      </c>
      <c r="O109" s="42" t="b">
        <v>0</v>
      </c>
      <c r="P109" s="44"/>
      <c r="Q109" s="34"/>
      <c r="R109" s="34"/>
      <c r="S109" s="34"/>
      <c r="T109" s="34"/>
    </row>
    <row r="110" ht="15.75" customHeight="1">
      <c r="B110" s="33">
        <v>46209.0</v>
      </c>
      <c r="C110" s="35">
        <v>22288.0</v>
      </c>
      <c r="D110" s="35">
        <v>300.0</v>
      </c>
      <c r="E110" s="37">
        <v>8.99</v>
      </c>
      <c r="F110" s="38">
        <f t="shared" si="2"/>
        <v>2697</v>
      </c>
      <c r="G110" s="35" t="s">
        <v>689</v>
      </c>
      <c r="H110" s="35" t="s">
        <v>498</v>
      </c>
      <c r="I110" s="35" t="s">
        <v>32</v>
      </c>
      <c r="J110" s="35" t="s">
        <v>34</v>
      </c>
      <c r="K110" s="35" t="s">
        <v>35</v>
      </c>
      <c r="L110" s="35" t="s">
        <v>96</v>
      </c>
      <c r="M110" s="39">
        <v>31.0</v>
      </c>
      <c r="N110" s="40">
        <v>46211.0</v>
      </c>
      <c r="O110" s="42" t="b">
        <v>1</v>
      </c>
      <c r="P110" s="44">
        <v>46213.0</v>
      </c>
      <c r="Q110" s="34"/>
      <c r="R110" s="34"/>
      <c r="S110" s="34"/>
      <c r="T110" s="34"/>
    </row>
    <row r="111" ht="15.75" customHeight="1">
      <c r="B111" s="33">
        <v>46209.0</v>
      </c>
      <c r="C111" s="35">
        <v>13204.0</v>
      </c>
      <c r="D111" s="35">
        <v>20.0</v>
      </c>
      <c r="E111" s="37">
        <v>252.0</v>
      </c>
      <c r="F111" s="38">
        <f t="shared" si="2"/>
        <v>5040</v>
      </c>
      <c r="G111" s="35" t="s">
        <v>171</v>
      </c>
      <c r="H111" s="35" t="s">
        <v>173</v>
      </c>
      <c r="I111" s="35" t="s">
        <v>59</v>
      </c>
      <c r="J111" s="35" t="s">
        <v>34</v>
      </c>
      <c r="K111" s="35" t="s">
        <v>35</v>
      </c>
      <c r="L111" s="35" t="s">
        <v>87</v>
      </c>
      <c r="M111" s="39">
        <v>31.0</v>
      </c>
      <c r="N111" s="40">
        <v>46208.0</v>
      </c>
      <c r="O111" s="42" t="b">
        <v>1</v>
      </c>
      <c r="P111" s="44">
        <v>46209.0</v>
      </c>
      <c r="Q111" s="34"/>
      <c r="R111" s="34"/>
      <c r="S111" s="34"/>
      <c r="T111" s="34"/>
    </row>
    <row r="112" ht="15.75" customHeight="1">
      <c r="B112" s="33">
        <v>46209.0</v>
      </c>
      <c r="C112" s="35">
        <v>22332.0</v>
      </c>
      <c r="D112" s="35">
        <v>10.0</v>
      </c>
      <c r="E112" s="37">
        <v>119.9</v>
      </c>
      <c r="F112" s="38">
        <f t="shared" si="2"/>
        <v>1199</v>
      </c>
      <c r="G112" s="35" t="s">
        <v>700</v>
      </c>
      <c r="H112" s="35" t="s">
        <v>701</v>
      </c>
      <c r="I112" s="35" t="s">
        <v>32</v>
      </c>
      <c r="J112" s="35" t="s">
        <v>34</v>
      </c>
      <c r="K112" s="35" t="s">
        <v>35</v>
      </c>
      <c r="L112" s="35" t="s">
        <v>96</v>
      </c>
      <c r="M112" s="39">
        <v>1.0</v>
      </c>
      <c r="N112" s="40">
        <v>46211.0</v>
      </c>
      <c r="O112" s="42" t="b">
        <v>1</v>
      </c>
      <c r="P112" s="44">
        <v>46213.0</v>
      </c>
      <c r="Q112" s="34"/>
      <c r="R112" s="34"/>
      <c r="S112" s="34"/>
      <c r="T112" s="35"/>
    </row>
    <row r="113" ht="15.75" customHeight="1">
      <c r="B113" s="33">
        <v>46209.0</v>
      </c>
      <c r="C113" s="35">
        <v>16814.0</v>
      </c>
      <c r="D113" s="35">
        <v>240.0</v>
      </c>
      <c r="E113" s="37">
        <v>6.48</v>
      </c>
      <c r="F113" s="38">
        <f t="shared" si="2"/>
        <v>1555.2</v>
      </c>
      <c r="G113" s="35" t="s">
        <v>704</v>
      </c>
      <c r="H113" s="35" t="s">
        <v>707</v>
      </c>
      <c r="I113" s="35" t="s">
        <v>32</v>
      </c>
      <c r="J113" s="35" t="s">
        <v>34</v>
      </c>
      <c r="K113" s="35" t="s">
        <v>35</v>
      </c>
      <c r="L113" s="35" t="s">
        <v>279</v>
      </c>
      <c r="M113" s="39">
        <v>31.0</v>
      </c>
      <c r="N113" s="40">
        <v>46213.0</v>
      </c>
      <c r="O113" s="42" t="b">
        <v>1</v>
      </c>
      <c r="P113" s="44">
        <v>46216.0</v>
      </c>
      <c r="Q113" s="34"/>
      <c r="R113" s="34"/>
      <c r="S113" s="34"/>
      <c r="T113" s="35"/>
    </row>
    <row r="114" ht="15.75" customHeight="1">
      <c r="B114" s="33">
        <v>46209.0</v>
      </c>
      <c r="C114" s="35">
        <v>16814.0</v>
      </c>
      <c r="D114" s="35">
        <v>210.0</v>
      </c>
      <c r="E114" s="37">
        <v>14.4</v>
      </c>
      <c r="F114" s="38">
        <f t="shared" si="2"/>
        <v>3024</v>
      </c>
      <c r="G114" s="35" t="s">
        <v>714</v>
      </c>
      <c r="H114" s="35" t="s">
        <v>715</v>
      </c>
      <c r="I114" s="35" t="s">
        <v>32</v>
      </c>
      <c r="J114" s="35" t="s">
        <v>34</v>
      </c>
      <c r="K114" s="35" t="s">
        <v>35</v>
      </c>
      <c r="L114" s="35" t="s">
        <v>279</v>
      </c>
      <c r="M114" s="39">
        <v>31.0</v>
      </c>
      <c r="N114" s="40">
        <v>46213.0</v>
      </c>
      <c r="O114" s="42" t="b">
        <v>1</v>
      </c>
      <c r="P114" s="44">
        <v>46216.0</v>
      </c>
      <c r="Q114" s="34"/>
      <c r="R114" s="34"/>
      <c r="S114" s="34"/>
      <c r="T114" s="34"/>
    </row>
    <row r="115" ht="15.75" customHeight="1">
      <c r="B115" s="33">
        <v>46209.0</v>
      </c>
      <c r="C115" s="35">
        <v>22575.0</v>
      </c>
      <c r="D115" s="35">
        <v>60.0</v>
      </c>
      <c r="E115" s="37">
        <v>44.64</v>
      </c>
      <c r="F115" s="38">
        <f t="shared" si="2"/>
        <v>2678.4</v>
      </c>
      <c r="G115" s="35" t="s">
        <v>717</v>
      </c>
      <c r="H115" s="35" t="s">
        <v>718</v>
      </c>
      <c r="I115" s="35" t="s">
        <v>240</v>
      </c>
      <c r="J115" s="35" t="s">
        <v>34</v>
      </c>
      <c r="K115" s="35" t="s">
        <v>35</v>
      </c>
      <c r="L115" s="35" t="s">
        <v>719</v>
      </c>
      <c r="M115" s="39">
        <v>31.0</v>
      </c>
      <c r="N115" s="40">
        <v>46210.0</v>
      </c>
      <c r="O115" s="42" t="b">
        <v>1</v>
      </c>
      <c r="P115" s="44">
        <v>46211.0</v>
      </c>
      <c r="Q115" s="34"/>
      <c r="R115" s="34"/>
      <c r="S115" s="34"/>
      <c r="T115" s="34"/>
    </row>
    <row r="116" ht="15.75" customHeight="1">
      <c r="B116" s="33">
        <v>46209.0</v>
      </c>
      <c r="C116" s="35">
        <v>13205.0</v>
      </c>
      <c r="D116" s="35">
        <v>50.0</v>
      </c>
      <c r="E116" s="37">
        <v>18.9</v>
      </c>
      <c r="F116" s="38">
        <f t="shared" si="2"/>
        <v>945</v>
      </c>
      <c r="G116" s="35" t="s">
        <v>725</v>
      </c>
      <c r="H116" s="35" t="s">
        <v>726</v>
      </c>
      <c r="I116" s="35" t="s">
        <v>240</v>
      </c>
      <c r="J116" s="35" t="s">
        <v>34</v>
      </c>
      <c r="K116" s="35" t="s">
        <v>35</v>
      </c>
      <c r="L116" s="35" t="s">
        <v>87</v>
      </c>
      <c r="M116" s="39">
        <v>31.0</v>
      </c>
      <c r="N116" s="40">
        <v>46212.0</v>
      </c>
      <c r="O116" s="42" t="b">
        <v>1</v>
      </c>
      <c r="P116" s="44">
        <v>46212.0</v>
      </c>
      <c r="Q116" s="34"/>
      <c r="R116" s="34"/>
      <c r="S116" s="34"/>
      <c r="T116" s="34"/>
    </row>
    <row r="117" ht="15.75" customHeight="1">
      <c r="B117" s="33">
        <v>46209.0</v>
      </c>
      <c r="C117" s="35">
        <v>22365.0</v>
      </c>
      <c r="D117" s="35">
        <v>10.0</v>
      </c>
      <c r="E117" s="37">
        <v>79.9</v>
      </c>
      <c r="F117" s="38">
        <f t="shared" si="2"/>
        <v>799</v>
      </c>
      <c r="G117" s="35" t="s">
        <v>731</v>
      </c>
      <c r="H117" s="35" t="s">
        <v>732</v>
      </c>
      <c r="I117" s="35" t="s">
        <v>41</v>
      </c>
      <c r="J117" s="35" t="s">
        <v>34</v>
      </c>
      <c r="K117" s="35" t="s">
        <v>35</v>
      </c>
      <c r="L117" s="35" t="s">
        <v>96</v>
      </c>
      <c r="M117" s="39">
        <v>31.0</v>
      </c>
      <c r="N117" s="40">
        <v>46210.0</v>
      </c>
      <c r="O117" s="42" t="b">
        <v>1</v>
      </c>
      <c r="P117" s="44">
        <v>46210.0</v>
      </c>
      <c r="Q117" s="34"/>
      <c r="R117" s="34"/>
      <c r="S117" s="34"/>
      <c r="T117" s="34"/>
    </row>
    <row r="118" ht="15.75" customHeight="1">
      <c r="B118" s="33">
        <v>46209.0</v>
      </c>
      <c r="C118" s="35">
        <v>22365.0</v>
      </c>
      <c r="D118" s="35">
        <v>4.0</v>
      </c>
      <c r="E118" s="37">
        <v>499.9</v>
      </c>
      <c r="F118" s="38">
        <f t="shared" si="2"/>
        <v>1999.6</v>
      </c>
      <c r="G118" s="35" t="s">
        <v>736</v>
      </c>
      <c r="H118" s="35" t="s">
        <v>737</v>
      </c>
      <c r="I118" s="35" t="s">
        <v>41</v>
      </c>
      <c r="J118" s="35" t="s">
        <v>34</v>
      </c>
      <c r="K118" s="35" t="s">
        <v>35</v>
      </c>
      <c r="L118" s="35" t="s">
        <v>96</v>
      </c>
      <c r="M118" s="39">
        <v>31.0</v>
      </c>
      <c r="N118" s="40">
        <v>46210.0</v>
      </c>
      <c r="O118" s="42" t="b">
        <v>1</v>
      </c>
      <c r="P118" s="44">
        <v>46210.0</v>
      </c>
      <c r="Q118" s="34"/>
      <c r="R118" s="34"/>
      <c r="S118" s="34"/>
      <c r="T118" s="34"/>
    </row>
    <row r="119" ht="15.75" customHeight="1">
      <c r="B119" s="33">
        <v>46209.0</v>
      </c>
      <c r="C119" s="35">
        <v>22365.0</v>
      </c>
      <c r="D119" s="35">
        <v>25.0</v>
      </c>
      <c r="E119" s="37">
        <v>169.9</v>
      </c>
      <c r="F119" s="38">
        <f t="shared" si="2"/>
        <v>4247.5</v>
      </c>
      <c r="G119" s="35" t="s">
        <v>739</v>
      </c>
      <c r="H119" s="35" t="s">
        <v>740</v>
      </c>
      <c r="I119" s="35" t="s">
        <v>41</v>
      </c>
      <c r="J119" s="35" t="s">
        <v>34</v>
      </c>
      <c r="K119" s="35" t="s">
        <v>35</v>
      </c>
      <c r="L119" s="35" t="s">
        <v>96</v>
      </c>
      <c r="M119" s="39">
        <v>31.0</v>
      </c>
      <c r="N119" s="40">
        <v>46210.0</v>
      </c>
      <c r="O119" s="42" t="b">
        <v>1</v>
      </c>
      <c r="P119" s="44">
        <v>46210.0</v>
      </c>
      <c r="Q119" s="34"/>
      <c r="R119" s="34"/>
      <c r="S119" s="34"/>
      <c r="T119" s="34"/>
    </row>
    <row r="120" ht="15.75" customHeight="1">
      <c r="B120" s="33">
        <v>46209.0</v>
      </c>
      <c r="C120" s="35">
        <v>22365.0</v>
      </c>
      <c r="D120" s="35">
        <v>72.0</v>
      </c>
      <c r="E120" s="37">
        <v>19.9</v>
      </c>
      <c r="F120" s="38">
        <f t="shared" si="2"/>
        <v>1432.8</v>
      </c>
      <c r="G120" s="35" t="s">
        <v>752</v>
      </c>
      <c r="H120" s="35" t="s">
        <v>753</v>
      </c>
      <c r="I120" s="35" t="s">
        <v>41</v>
      </c>
      <c r="J120" s="35" t="s">
        <v>34</v>
      </c>
      <c r="K120" s="35" t="s">
        <v>35</v>
      </c>
      <c r="L120" s="35" t="s">
        <v>96</v>
      </c>
      <c r="M120" s="39">
        <v>31.0</v>
      </c>
      <c r="N120" s="40">
        <v>46210.0</v>
      </c>
      <c r="O120" s="42" t="b">
        <v>1</v>
      </c>
      <c r="P120" s="44">
        <v>46210.0</v>
      </c>
      <c r="Q120" s="34"/>
      <c r="R120" s="34"/>
      <c r="S120" s="34"/>
      <c r="T120" s="34"/>
    </row>
    <row r="121" ht="15.75" customHeight="1">
      <c r="B121" s="33">
        <v>46209.0</v>
      </c>
      <c r="C121" s="35">
        <v>22365.0</v>
      </c>
      <c r="D121" s="35">
        <v>10.0</v>
      </c>
      <c r="E121" s="37">
        <v>119.9</v>
      </c>
      <c r="F121" s="38">
        <f t="shared" si="2"/>
        <v>1199</v>
      </c>
      <c r="G121" s="35" t="s">
        <v>756</v>
      </c>
      <c r="H121" s="35" t="s">
        <v>701</v>
      </c>
      <c r="I121" s="35" t="s">
        <v>41</v>
      </c>
      <c r="J121" s="35" t="s">
        <v>34</v>
      </c>
      <c r="K121" s="35" t="s">
        <v>35</v>
      </c>
      <c r="L121" s="35" t="s">
        <v>96</v>
      </c>
      <c r="M121" s="39">
        <v>31.0</v>
      </c>
      <c r="N121" s="40">
        <v>46210.0</v>
      </c>
      <c r="O121" s="42" t="b">
        <v>1</v>
      </c>
      <c r="P121" s="44">
        <v>46210.0</v>
      </c>
      <c r="Q121" s="34"/>
      <c r="R121" s="34"/>
      <c r="S121" s="34"/>
      <c r="T121" s="34"/>
    </row>
    <row r="122" ht="15.75" customHeight="1">
      <c r="B122" s="33">
        <v>46209.0</v>
      </c>
      <c r="C122" s="35">
        <v>22365.0</v>
      </c>
      <c r="D122" s="35">
        <v>20.0</v>
      </c>
      <c r="E122" s="37">
        <v>109.9</v>
      </c>
      <c r="F122" s="38">
        <f t="shared" si="2"/>
        <v>2198</v>
      </c>
      <c r="G122" s="35" t="s">
        <v>760</v>
      </c>
      <c r="H122" s="35" t="s">
        <v>417</v>
      </c>
      <c r="I122" s="35" t="s">
        <v>41</v>
      </c>
      <c r="J122" s="35" t="s">
        <v>34</v>
      </c>
      <c r="K122" s="35" t="s">
        <v>35</v>
      </c>
      <c r="L122" s="35" t="s">
        <v>96</v>
      </c>
      <c r="M122" s="39">
        <v>31.0</v>
      </c>
      <c r="N122" s="40">
        <v>46210.0</v>
      </c>
      <c r="O122" s="42" t="b">
        <v>1</v>
      </c>
      <c r="P122" s="44">
        <v>46210.0</v>
      </c>
      <c r="Q122" s="34"/>
      <c r="R122" s="34"/>
      <c r="S122" s="34"/>
      <c r="T122" s="35"/>
    </row>
    <row r="123" ht="15.75" customHeight="1">
      <c r="B123" s="33">
        <v>46209.0</v>
      </c>
      <c r="C123" s="35">
        <v>22365.0</v>
      </c>
      <c r="D123" s="35">
        <v>6.0</v>
      </c>
      <c r="E123" s="37">
        <v>139.9</v>
      </c>
      <c r="F123" s="38">
        <f t="shared" si="2"/>
        <v>839.4</v>
      </c>
      <c r="G123" s="35" t="s">
        <v>766</v>
      </c>
      <c r="H123" s="35" t="s">
        <v>541</v>
      </c>
      <c r="I123" s="35" t="s">
        <v>41</v>
      </c>
      <c r="J123" s="35" t="s">
        <v>34</v>
      </c>
      <c r="K123" s="35" t="s">
        <v>35</v>
      </c>
      <c r="L123" s="35" t="s">
        <v>96</v>
      </c>
      <c r="M123" s="39">
        <v>31.0</v>
      </c>
      <c r="N123" s="40">
        <v>46210.0</v>
      </c>
      <c r="O123" s="42" t="b">
        <v>1</v>
      </c>
      <c r="P123" s="44">
        <v>46210.0</v>
      </c>
      <c r="Q123" s="34"/>
      <c r="R123" s="34"/>
      <c r="S123" s="34"/>
      <c r="T123" s="34"/>
    </row>
    <row r="124" ht="15.75" customHeight="1">
      <c r="B124" s="33">
        <v>46209.0</v>
      </c>
      <c r="C124" s="35">
        <v>22365.0</v>
      </c>
      <c r="D124" s="35">
        <v>10.0</v>
      </c>
      <c r="E124" s="37">
        <v>329.9</v>
      </c>
      <c r="F124" s="38">
        <f t="shared" si="2"/>
        <v>3299</v>
      </c>
      <c r="G124" s="35" t="s">
        <v>770</v>
      </c>
      <c r="H124" s="35" t="s">
        <v>190</v>
      </c>
      <c r="I124" s="35" t="s">
        <v>41</v>
      </c>
      <c r="J124" s="35" t="s">
        <v>34</v>
      </c>
      <c r="K124" s="35" t="s">
        <v>35</v>
      </c>
      <c r="L124" s="35" t="s">
        <v>96</v>
      </c>
      <c r="M124" s="39">
        <v>31.0</v>
      </c>
      <c r="N124" s="40">
        <v>46210.0</v>
      </c>
      <c r="O124" s="42" t="b">
        <v>1</v>
      </c>
      <c r="P124" s="44">
        <v>46210.0</v>
      </c>
      <c r="Q124" s="34"/>
      <c r="R124" s="34"/>
      <c r="S124" s="34"/>
      <c r="T124" s="34"/>
    </row>
    <row r="125" ht="15.75" customHeight="1">
      <c r="B125" s="33">
        <v>46209.0</v>
      </c>
      <c r="C125" s="35">
        <v>22365.0</v>
      </c>
      <c r="D125" s="35">
        <v>10.0</v>
      </c>
      <c r="E125" s="37">
        <v>79.9</v>
      </c>
      <c r="F125" s="38">
        <f t="shared" si="2"/>
        <v>799</v>
      </c>
      <c r="G125" s="35" t="s">
        <v>776</v>
      </c>
      <c r="H125" s="35" t="s">
        <v>571</v>
      </c>
      <c r="I125" s="35" t="s">
        <v>41</v>
      </c>
      <c r="J125" s="35" t="s">
        <v>34</v>
      </c>
      <c r="K125" s="35" t="s">
        <v>35</v>
      </c>
      <c r="L125" s="35" t="s">
        <v>96</v>
      </c>
      <c r="M125" s="39">
        <v>31.0</v>
      </c>
      <c r="N125" s="40">
        <v>46210.0</v>
      </c>
      <c r="O125" s="42" t="b">
        <v>1</v>
      </c>
      <c r="P125" s="44">
        <v>46210.0</v>
      </c>
      <c r="Q125" s="34"/>
      <c r="R125" s="34"/>
      <c r="S125" s="34"/>
      <c r="T125" s="34"/>
    </row>
    <row r="126" ht="15.75" customHeight="1">
      <c r="B126" s="33">
        <v>46209.0</v>
      </c>
      <c r="C126" s="35">
        <v>8909.0</v>
      </c>
      <c r="D126" s="35">
        <v>6.0</v>
      </c>
      <c r="E126" s="37">
        <v>1010.0</v>
      </c>
      <c r="F126" s="38">
        <f t="shared" si="2"/>
        <v>6060</v>
      </c>
      <c r="G126" s="35" t="s">
        <v>617</v>
      </c>
      <c r="H126" s="35" t="s">
        <v>35</v>
      </c>
      <c r="I126" s="35" t="s">
        <v>32</v>
      </c>
      <c r="J126" s="35" t="s">
        <v>34</v>
      </c>
      <c r="K126" s="35" t="s">
        <v>35</v>
      </c>
      <c r="L126" s="35" t="s">
        <v>81</v>
      </c>
      <c r="M126" s="39">
        <v>31.0</v>
      </c>
      <c r="N126" s="40">
        <v>46211.0</v>
      </c>
      <c r="O126" s="42" t="b">
        <v>1</v>
      </c>
      <c r="P126" s="44">
        <v>46212.0</v>
      </c>
      <c r="Q126" s="44"/>
      <c r="R126" s="34"/>
      <c r="S126" s="34"/>
      <c r="T126" s="34"/>
    </row>
    <row r="127" ht="15.75" customHeight="1">
      <c r="B127" s="33">
        <v>46209.0</v>
      </c>
      <c r="C127" s="35">
        <v>13122.0</v>
      </c>
      <c r="D127" s="35">
        <v>300.0</v>
      </c>
      <c r="E127" s="37">
        <v>25.5</v>
      </c>
      <c r="F127" s="38">
        <f t="shared" si="2"/>
        <v>7650</v>
      </c>
      <c r="G127" s="35" t="s">
        <v>782</v>
      </c>
      <c r="H127" s="35" t="s">
        <v>783</v>
      </c>
      <c r="I127" s="35" t="s">
        <v>41</v>
      </c>
      <c r="J127" s="35" t="s">
        <v>34</v>
      </c>
      <c r="K127" s="35" t="s">
        <v>35</v>
      </c>
      <c r="L127" s="35" t="s">
        <v>87</v>
      </c>
      <c r="M127" s="39">
        <v>31.0</v>
      </c>
      <c r="N127" s="40">
        <v>46210.0</v>
      </c>
      <c r="O127" s="42" t="b">
        <v>1</v>
      </c>
      <c r="P127" s="44">
        <v>46212.0</v>
      </c>
      <c r="Q127" s="34"/>
      <c r="R127" s="34"/>
      <c r="S127" s="34"/>
      <c r="T127" s="34"/>
    </row>
    <row r="128" ht="15.75" customHeight="1">
      <c r="B128" s="33">
        <v>46209.0</v>
      </c>
      <c r="C128" s="35">
        <v>924455.0</v>
      </c>
      <c r="D128" s="35">
        <v>1000.0</v>
      </c>
      <c r="E128" s="37">
        <v>9.5</v>
      </c>
      <c r="F128" s="38">
        <f t="shared" si="2"/>
        <v>9500</v>
      </c>
      <c r="G128" s="35" t="s">
        <v>789</v>
      </c>
      <c r="H128" s="35">
        <v>63188.0</v>
      </c>
      <c r="I128" s="35" t="s">
        <v>41</v>
      </c>
      <c r="J128" s="35" t="s">
        <v>40</v>
      </c>
      <c r="K128" s="35" t="s">
        <v>35</v>
      </c>
      <c r="L128" s="35" t="s">
        <v>43</v>
      </c>
      <c r="M128" s="39">
        <v>1.0</v>
      </c>
      <c r="N128" s="40">
        <v>46216.0</v>
      </c>
      <c r="O128" s="42" t="b">
        <v>0</v>
      </c>
      <c r="P128" s="44">
        <v>46216.0</v>
      </c>
      <c r="Q128" s="34"/>
      <c r="R128" s="33">
        <v>46239.0</v>
      </c>
      <c r="S128" s="33">
        <v>46269.0</v>
      </c>
      <c r="T128" s="33">
        <v>46299.0</v>
      </c>
    </row>
    <row r="129" ht="15.75" customHeight="1">
      <c r="B129" s="33">
        <v>46209.0</v>
      </c>
      <c r="C129" s="35">
        <v>924417.0</v>
      </c>
      <c r="D129" s="35">
        <v>1000.0</v>
      </c>
      <c r="E129" s="37">
        <v>2.75</v>
      </c>
      <c r="F129" s="38">
        <f t="shared" si="2"/>
        <v>2750</v>
      </c>
      <c r="G129" s="35" t="s">
        <v>792</v>
      </c>
      <c r="H129" s="35">
        <v>44561.0</v>
      </c>
      <c r="I129" s="35" t="s">
        <v>41</v>
      </c>
      <c r="J129" s="35" t="s">
        <v>40</v>
      </c>
      <c r="K129" s="35" t="s">
        <v>35</v>
      </c>
      <c r="L129" s="35" t="s">
        <v>43</v>
      </c>
      <c r="M129" s="39">
        <v>1.0</v>
      </c>
      <c r="N129" s="44">
        <v>46218.0</v>
      </c>
      <c r="O129" s="42" t="b">
        <v>1</v>
      </c>
      <c r="P129" s="44">
        <v>46218.0</v>
      </c>
      <c r="Q129" s="34"/>
      <c r="R129" s="34"/>
      <c r="S129" s="33"/>
      <c r="T129" s="34"/>
    </row>
    <row r="130" ht="15.75" customHeight="1">
      <c r="B130" s="33">
        <v>46209.0</v>
      </c>
      <c r="C130" s="35">
        <v>924417.0</v>
      </c>
      <c r="D130" s="35">
        <v>1000.0</v>
      </c>
      <c r="E130" s="37">
        <v>25.35</v>
      </c>
      <c r="F130" s="38">
        <f t="shared" si="2"/>
        <v>25350</v>
      </c>
      <c r="G130" s="35" t="s">
        <v>800</v>
      </c>
      <c r="H130" s="35">
        <v>55921.0</v>
      </c>
      <c r="I130" s="35" t="s">
        <v>41</v>
      </c>
      <c r="J130" s="35" t="s">
        <v>40</v>
      </c>
      <c r="K130" s="35" t="s">
        <v>35</v>
      </c>
      <c r="L130" s="35" t="s">
        <v>43</v>
      </c>
      <c r="M130" s="39">
        <v>1.0</v>
      </c>
      <c r="N130" s="40">
        <v>46218.0</v>
      </c>
      <c r="O130" s="42" t="b">
        <v>1</v>
      </c>
      <c r="P130" s="44">
        <v>46218.0</v>
      </c>
      <c r="Q130" s="34"/>
      <c r="R130" s="34"/>
      <c r="S130" s="33"/>
      <c r="T130" s="34"/>
    </row>
    <row r="131" ht="15.75" customHeight="1">
      <c r="B131" s="33">
        <v>46209.0</v>
      </c>
      <c r="C131" s="35">
        <v>924417.0</v>
      </c>
      <c r="D131" s="35">
        <v>400.0</v>
      </c>
      <c r="E131" s="37">
        <v>42.9</v>
      </c>
      <c r="F131" s="38">
        <f t="shared" si="2"/>
        <v>17160</v>
      </c>
      <c r="G131" s="35" t="s">
        <v>811</v>
      </c>
      <c r="H131" s="35">
        <v>50537.0</v>
      </c>
      <c r="I131" s="35" t="s">
        <v>41</v>
      </c>
      <c r="J131" s="35" t="s">
        <v>40</v>
      </c>
      <c r="K131" s="35" t="s">
        <v>35</v>
      </c>
      <c r="L131" s="35" t="s">
        <v>43</v>
      </c>
      <c r="M131" s="39">
        <v>1.0</v>
      </c>
      <c r="N131" s="44">
        <v>46218.0</v>
      </c>
      <c r="O131" s="42" t="b">
        <v>1</v>
      </c>
      <c r="P131" s="44">
        <v>46218.0</v>
      </c>
      <c r="Q131" s="34"/>
      <c r="R131" s="34"/>
      <c r="S131" s="33"/>
      <c r="T131" s="34"/>
    </row>
    <row r="132" ht="15.75" customHeight="1">
      <c r="B132" s="33">
        <v>46209.0</v>
      </c>
      <c r="C132" s="35">
        <v>924417.0</v>
      </c>
      <c r="D132" s="35">
        <v>600.0</v>
      </c>
      <c r="E132" s="37">
        <v>42.9</v>
      </c>
      <c r="F132" s="38">
        <f t="shared" si="2"/>
        <v>25740</v>
      </c>
      <c r="G132" s="35" t="s">
        <v>815</v>
      </c>
      <c r="H132" s="35">
        <v>70627.0</v>
      </c>
      <c r="I132" s="35" t="s">
        <v>41</v>
      </c>
      <c r="J132" s="35" t="s">
        <v>40</v>
      </c>
      <c r="K132" s="35" t="s">
        <v>35</v>
      </c>
      <c r="L132" s="35" t="s">
        <v>43</v>
      </c>
      <c r="M132" s="39">
        <v>1.0</v>
      </c>
      <c r="N132" s="44">
        <v>46218.0</v>
      </c>
      <c r="O132" s="42" t="b">
        <v>1</v>
      </c>
      <c r="P132" s="44">
        <v>46218.0</v>
      </c>
      <c r="Q132" s="34"/>
      <c r="R132" s="34"/>
      <c r="S132" s="34"/>
      <c r="T132" s="34"/>
    </row>
    <row r="133" ht="15.75" customHeight="1">
      <c r="B133" s="33">
        <v>46209.0</v>
      </c>
      <c r="C133" s="35">
        <v>16855.0</v>
      </c>
      <c r="D133" s="35">
        <v>300.0</v>
      </c>
      <c r="E133" s="37">
        <v>45.0</v>
      </c>
      <c r="F133" s="38">
        <f t="shared" si="2"/>
        <v>13500</v>
      </c>
      <c r="G133" s="35" t="s">
        <v>817</v>
      </c>
      <c r="H133" s="35" t="s">
        <v>819</v>
      </c>
      <c r="I133" s="35" t="s">
        <v>77</v>
      </c>
      <c r="J133" s="35" t="s">
        <v>79</v>
      </c>
      <c r="K133" s="35" t="s">
        <v>35</v>
      </c>
      <c r="L133" s="35" t="s">
        <v>279</v>
      </c>
      <c r="M133" s="39">
        <v>1.0</v>
      </c>
      <c r="N133" s="35" t="s">
        <v>84</v>
      </c>
      <c r="O133" s="42" t="b">
        <v>1</v>
      </c>
      <c r="P133" s="35" t="s">
        <v>84</v>
      </c>
      <c r="Q133" s="34"/>
      <c r="R133" s="34"/>
      <c r="S133" s="34"/>
      <c r="T133" s="34"/>
    </row>
    <row r="134" ht="15.75" customHeight="1">
      <c r="B134" s="33">
        <v>46210.0</v>
      </c>
      <c r="C134" s="35" t="s">
        <v>35</v>
      </c>
      <c r="D134" s="35">
        <v>50.0</v>
      </c>
      <c r="E134" s="37">
        <v>380.0</v>
      </c>
      <c r="F134" s="38">
        <f t="shared" si="2"/>
        <v>19000</v>
      </c>
      <c r="G134" s="35" t="s">
        <v>581</v>
      </c>
      <c r="H134" s="35" t="s">
        <v>35</v>
      </c>
      <c r="I134" s="35" t="s">
        <v>59</v>
      </c>
      <c r="J134" s="35" t="s">
        <v>34</v>
      </c>
      <c r="K134" s="35" t="s">
        <v>35</v>
      </c>
      <c r="L134" s="35" t="s">
        <v>585</v>
      </c>
      <c r="M134" s="39">
        <v>31.0</v>
      </c>
      <c r="N134" s="44">
        <v>46210.0</v>
      </c>
      <c r="O134" s="42" t="b">
        <v>1</v>
      </c>
      <c r="P134" s="44">
        <v>46210.0</v>
      </c>
      <c r="Q134" s="34"/>
      <c r="R134" s="34"/>
      <c r="S134" s="34"/>
      <c r="T134" s="34"/>
    </row>
    <row r="135" ht="15.75" customHeight="1">
      <c r="B135" s="33">
        <v>46210.0</v>
      </c>
      <c r="C135" s="35">
        <v>1040.0</v>
      </c>
      <c r="D135" s="35">
        <v>20.0</v>
      </c>
      <c r="E135" s="37">
        <v>152.0</v>
      </c>
      <c r="F135" s="38">
        <f t="shared" si="2"/>
        <v>3040</v>
      </c>
      <c r="G135" s="35" t="s">
        <v>659</v>
      </c>
      <c r="H135" s="35" t="s">
        <v>660</v>
      </c>
      <c r="I135" s="35" t="s">
        <v>59</v>
      </c>
      <c r="J135" s="35" t="s">
        <v>34</v>
      </c>
      <c r="K135" s="35" t="s">
        <v>35</v>
      </c>
      <c r="L135" s="35" t="s">
        <v>132</v>
      </c>
      <c r="M135" s="39">
        <v>31.0</v>
      </c>
      <c r="N135" s="44">
        <v>46210.0</v>
      </c>
      <c r="O135" s="42" t="b">
        <v>1</v>
      </c>
      <c r="P135" s="44">
        <v>46210.0</v>
      </c>
      <c r="Q135" s="34"/>
      <c r="R135" s="34"/>
      <c r="S135" s="34"/>
      <c r="T135" s="34"/>
    </row>
    <row r="136" ht="15.75" customHeight="1">
      <c r="B136" s="33">
        <v>46210.0</v>
      </c>
      <c r="C136" s="35">
        <v>22513.0</v>
      </c>
      <c r="D136" s="35">
        <v>120.0</v>
      </c>
      <c r="E136" s="37">
        <v>15.99</v>
      </c>
      <c r="F136" s="38">
        <f t="shared" si="2"/>
        <v>1918.8</v>
      </c>
      <c r="G136" s="35" t="s">
        <v>826</v>
      </c>
      <c r="H136" s="35" t="s">
        <v>828</v>
      </c>
      <c r="I136" s="35" t="s">
        <v>41</v>
      </c>
      <c r="J136" s="35" t="s">
        <v>34</v>
      </c>
      <c r="K136" s="35" t="s">
        <v>35</v>
      </c>
      <c r="L136" s="35" t="s">
        <v>96</v>
      </c>
      <c r="M136" s="39">
        <v>31.0</v>
      </c>
      <c r="N136" s="44">
        <v>46211.0</v>
      </c>
      <c r="O136" s="42" t="b">
        <v>1</v>
      </c>
      <c r="P136" s="44">
        <v>46211.0</v>
      </c>
      <c r="Q136" s="34"/>
      <c r="R136" s="34"/>
      <c r="S136" s="34"/>
      <c r="T136" s="34"/>
    </row>
    <row r="137" ht="15.75" customHeight="1">
      <c r="B137" s="33">
        <v>46210.0</v>
      </c>
      <c r="C137" s="35">
        <v>22513.0</v>
      </c>
      <c r="D137" s="35">
        <v>3.0</v>
      </c>
      <c r="E137" s="37">
        <v>269.9</v>
      </c>
      <c r="F137" s="38">
        <f t="shared" si="2"/>
        <v>809.7</v>
      </c>
      <c r="G137" s="35" t="s">
        <v>833</v>
      </c>
      <c r="H137" s="35" t="s">
        <v>200</v>
      </c>
      <c r="I137" s="35" t="s">
        <v>41</v>
      </c>
      <c r="J137" s="35" t="s">
        <v>34</v>
      </c>
      <c r="K137" s="35" t="s">
        <v>35</v>
      </c>
      <c r="L137" s="35" t="s">
        <v>96</v>
      </c>
      <c r="M137" s="39">
        <v>31.0</v>
      </c>
      <c r="N137" s="44">
        <v>46211.0</v>
      </c>
      <c r="O137" s="42" t="b">
        <v>1</v>
      </c>
      <c r="P137" s="44">
        <v>46211.0</v>
      </c>
      <c r="Q137" s="34"/>
      <c r="R137" s="34"/>
      <c r="S137" s="34"/>
      <c r="T137" s="34"/>
    </row>
    <row r="138" ht="15.75" customHeight="1">
      <c r="B138" s="33">
        <v>46210.0</v>
      </c>
      <c r="C138" s="35">
        <v>22513.0</v>
      </c>
      <c r="D138" s="35">
        <v>25.0</v>
      </c>
      <c r="E138" s="37">
        <v>149.9</v>
      </c>
      <c r="F138" s="38">
        <f t="shared" si="2"/>
        <v>3747.5</v>
      </c>
      <c r="G138" s="35" t="s">
        <v>840</v>
      </c>
      <c r="H138" s="35" t="s">
        <v>841</v>
      </c>
      <c r="I138" s="35" t="s">
        <v>41</v>
      </c>
      <c r="J138" s="35" t="s">
        <v>34</v>
      </c>
      <c r="K138" s="35" t="s">
        <v>35</v>
      </c>
      <c r="L138" s="35" t="s">
        <v>96</v>
      </c>
      <c r="M138" s="39">
        <v>31.0</v>
      </c>
      <c r="N138" s="44">
        <v>46211.0</v>
      </c>
      <c r="O138" s="42" t="b">
        <v>1</v>
      </c>
      <c r="P138" s="44">
        <v>46211.0</v>
      </c>
      <c r="Q138" s="34"/>
      <c r="R138" s="34"/>
      <c r="S138" s="34"/>
      <c r="T138" s="34"/>
    </row>
    <row r="139" ht="15.75" customHeight="1">
      <c r="B139" s="33">
        <v>46210.0</v>
      </c>
      <c r="C139" s="35">
        <v>22513.0</v>
      </c>
      <c r="D139" s="35">
        <v>30.0</v>
      </c>
      <c r="E139" s="37">
        <v>139.9</v>
      </c>
      <c r="F139" s="38">
        <f t="shared" si="2"/>
        <v>4197</v>
      </c>
      <c r="G139" s="35" t="s">
        <v>845</v>
      </c>
      <c r="H139" s="35" t="s">
        <v>846</v>
      </c>
      <c r="I139" s="35" t="s">
        <v>41</v>
      </c>
      <c r="J139" s="35" t="s">
        <v>34</v>
      </c>
      <c r="K139" s="35" t="s">
        <v>35</v>
      </c>
      <c r="L139" s="35" t="s">
        <v>96</v>
      </c>
      <c r="M139" s="39">
        <v>31.0</v>
      </c>
      <c r="N139" s="44">
        <v>46211.0</v>
      </c>
      <c r="O139" s="42" t="b">
        <v>1</v>
      </c>
      <c r="P139" s="44">
        <v>46211.0</v>
      </c>
      <c r="Q139" s="34"/>
      <c r="R139" s="34"/>
      <c r="S139" s="34"/>
      <c r="T139" s="34"/>
    </row>
    <row r="140" ht="15.75" customHeight="1">
      <c r="B140" s="33">
        <v>46210.0</v>
      </c>
      <c r="C140" s="35">
        <v>22513.0</v>
      </c>
      <c r="D140" s="35">
        <v>60.0</v>
      </c>
      <c r="E140" s="37">
        <v>34.9</v>
      </c>
      <c r="F140" s="38">
        <f t="shared" si="2"/>
        <v>2094</v>
      </c>
      <c r="G140" s="35" t="s">
        <v>854</v>
      </c>
      <c r="H140" s="35" t="s">
        <v>855</v>
      </c>
      <c r="I140" s="35" t="s">
        <v>41</v>
      </c>
      <c r="J140" s="35" t="s">
        <v>34</v>
      </c>
      <c r="K140" s="35" t="s">
        <v>35</v>
      </c>
      <c r="L140" s="35" t="s">
        <v>96</v>
      </c>
      <c r="M140" s="39">
        <v>31.0</v>
      </c>
      <c r="N140" s="44">
        <v>46211.0</v>
      </c>
      <c r="O140" s="42" t="b">
        <v>1</v>
      </c>
      <c r="P140" s="44">
        <v>46211.0</v>
      </c>
      <c r="Q140" s="34"/>
      <c r="R140" s="34"/>
      <c r="S140" s="34"/>
      <c r="T140" s="34"/>
    </row>
    <row r="141" ht="15.75" customHeight="1">
      <c r="B141" s="33">
        <v>46210.0</v>
      </c>
      <c r="C141" s="35">
        <v>22513.0</v>
      </c>
      <c r="D141" s="35">
        <v>100.0</v>
      </c>
      <c r="E141" s="37">
        <v>39.9</v>
      </c>
      <c r="F141" s="38">
        <f t="shared" si="2"/>
        <v>3990</v>
      </c>
      <c r="G141" s="35" t="s">
        <v>861</v>
      </c>
      <c r="H141" s="35" t="s">
        <v>862</v>
      </c>
      <c r="I141" s="35" t="s">
        <v>41</v>
      </c>
      <c r="J141" s="35" t="s">
        <v>34</v>
      </c>
      <c r="K141" s="35" t="s">
        <v>35</v>
      </c>
      <c r="L141" s="35" t="s">
        <v>96</v>
      </c>
      <c r="M141" s="39">
        <v>31.0</v>
      </c>
      <c r="N141" s="44">
        <v>46211.0</v>
      </c>
      <c r="O141" s="42" t="b">
        <v>1</v>
      </c>
      <c r="P141" s="44">
        <v>46211.0</v>
      </c>
      <c r="Q141" s="34"/>
      <c r="R141" s="34"/>
      <c r="S141" s="34"/>
      <c r="T141" s="34"/>
    </row>
    <row r="142" ht="15.75" customHeight="1">
      <c r="B142" s="33">
        <v>46210.0</v>
      </c>
      <c r="C142" s="35">
        <v>22513.0</v>
      </c>
      <c r="D142" s="35">
        <v>24.0</v>
      </c>
      <c r="E142" s="37">
        <v>79.9</v>
      </c>
      <c r="F142" s="38">
        <f t="shared" si="2"/>
        <v>1917.6</v>
      </c>
      <c r="G142" s="35" t="s">
        <v>871</v>
      </c>
      <c r="H142" s="35" t="s">
        <v>872</v>
      </c>
      <c r="I142" s="35" t="s">
        <v>41</v>
      </c>
      <c r="J142" s="35" t="s">
        <v>34</v>
      </c>
      <c r="K142" s="35" t="s">
        <v>35</v>
      </c>
      <c r="L142" s="35" t="s">
        <v>96</v>
      </c>
      <c r="M142" s="39">
        <v>31.0</v>
      </c>
      <c r="N142" s="44">
        <v>46211.0</v>
      </c>
      <c r="O142" s="42" t="b">
        <v>1</v>
      </c>
      <c r="P142" s="44">
        <v>46211.0</v>
      </c>
      <c r="Q142" s="34"/>
      <c r="R142" s="34"/>
      <c r="S142" s="34"/>
      <c r="T142" s="34"/>
    </row>
    <row r="143" ht="15.75" customHeight="1">
      <c r="B143" s="33">
        <v>46210.0</v>
      </c>
      <c r="C143" s="35">
        <v>22513.0</v>
      </c>
      <c r="D143" s="35">
        <v>120.0</v>
      </c>
      <c r="E143" s="37">
        <v>21.9</v>
      </c>
      <c r="F143" s="38">
        <f t="shared" si="2"/>
        <v>2628</v>
      </c>
      <c r="G143" s="35" t="s">
        <v>879</v>
      </c>
      <c r="H143" s="35" t="s">
        <v>880</v>
      </c>
      <c r="I143" s="35" t="s">
        <v>41</v>
      </c>
      <c r="J143" s="35" t="s">
        <v>34</v>
      </c>
      <c r="K143" s="35" t="s">
        <v>35</v>
      </c>
      <c r="L143" s="35" t="s">
        <v>96</v>
      </c>
      <c r="M143" s="39">
        <v>31.0</v>
      </c>
      <c r="N143" s="44">
        <v>46211.0</v>
      </c>
      <c r="O143" s="42" t="b">
        <v>1</v>
      </c>
      <c r="P143" s="44">
        <v>46211.0</v>
      </c>
      <c r="Q143" s="34"/>
      <c r="R143" s="34"/>
      <c r="S143" s="34"/>
      <c r="T143" s="34"/>
    </row>
    <row r="144" ht="15.75" customHeight="1">
      <c r="B144" s="33">
        <v>46210.0</v>
      </c>
      <c r="C144" s="35">
        <v>22513.0</v>
      </c>
      <c r="D144" s="35">
        <v>12.0</v>
      </c>
      <c r="E144" s="37">
        <v>69.9</v>
      </c>
      <c r="F144" s="38">
        <f t="shared" si="2"/>
        <v>838.8</v>
      </c>
      <c r="G144" s="35" t="s">
        <v>885</v>
      </c>
      <c r="H144" s="35" t="s">
        <v>886</v>
      </c>
      <c r="I144" s="35" t="s">
        <v>41</v>
      </c>
      <c r="J144" s="35" t="s">
        <v>34</v>
      </c>
      <c r="K144" s="35" t="s">
        <v>35</v>
      </c>
      <c r="L144" s="35" t="s">
        <v>96</v>
      </c>
      <c r="M144" s="39">
        <v>31.0</v>
      </c>
      <c r="N144" s="44">
        <v>46211.0</v>
      </c>
      <c r="O144" s="42" t="b">
        <v>1</v>
      </c>
      <c r="P144" s="44">
        <v>46211.0</v>
      </c>
      <c r="Q144" s="34"/>
      <c r="R144" s="34"/>
      <c r="S144" s="34"/>
      <c r="T144" s="34"/>
    </row>
    <row r="145" ht="15.75" customHeight="1">
      <c r="B145" s="33">
        <v>46210.0</v>
      </c>
      <c r="C145" s="35">
        <v>22513.0</v>
      </c>
      <c r="D145" s="35">
        <v>2.0</v>
      </c>
      <c r="E145" s="37">
        <v>379.9</v>
      </c>
      <c r="F145" s="38">
        <f t="shared" si="2"/>
        <v>759.8</v>
      </c>
      <c r="G145" s="35" t="s">
        <v>891</v>
      </c>
      <c r="H145" s="35" t="s">
        <v>892</v>
      </c>
      <c r="I145" s="35" t="s">
        <v>41</v>
      </c>
      <c r="J145" s="35" t="s">
        <v>34</v>
      </c>
      <c r="K145" s="35" t="s">
        <v>35</v>
      </c>
      <c r="L145" s="35" t="s">
        <v>96</v>
      </c>
      <c r="M145" s="39">
        <v>31.0</v>
      </c>
      <c r="N145" s="44">
        <v>46211.0</v>
      </c>
      <c r="O145" s="42" t="b">
        <v>1</v>
      </c>
      <c r="P145" s="44">
        <v>46211.0</v>
      </c>
      <c r="Q145" s="34"/>
      <c r="R145" s="34"/>
      <c r="S145" s="34"/>
      <c r="T145" s="34"/>
    </row>
    <row r="146" ht="15.75" customHeight="1">
      <c r="B146" s="33">
        <v>46210.0</v>
      </c>
      <c r="C146" s="35">
        <v>22513.0</v>
      </c>
      <c r="D146" s="35">
        <v>12.0</v>
      </c>
      <c r="E146" s="37">
        <v>189.9</v>
      </c>
      <c r="F146" s="38">
        <f t="shared" si="2"/>
        <v>2278.8</v>
      </c>
      <c r="G146" s="35" t="s">
        <v>897</v>
      </c>
      <c r="H146" s="35" t="s">
        <v>898</v>
      </c>
      <c r="I146" s="35" t="s">
        <v>41</v>
      </c>
      <c r="J146" s="35" t="s">
        <v>34</v>
      </c>
      <c r="K146" s="35" t="s">
        <v>35</v>
      </c>
      <c r="L146" s="35" t="s">
        <v>96</v>
      </c>
      <c r="M146" s="39">
        <v>31.0</v>
      </c>
      <c r="N146" s="44">
        <v>46211.0</v>
      </c>
      <c r="O146" s="42" t="b">
        <v>1</v>
      </c>
      <c r="P146" s="44">
        <v>46211.0</v>
      </c>
      <c r="Q146" s="34"/>
      <c r="R146" s="34"/>
      <c r="S146" s="34"/>
      <c r="T146" s="34"/>
    </row>
    <row r="147" ht="15.75" customHeight="1">
      <c r="B147" s="33">
        <v>46210.0</v>
      </c>
      <c r="C147" s="35">
        <v>22513.0</v>
      </c>
      <c r="D147" s="35">
        <v>10.0</v>
      </c>
      <c r="E147" s="37">
        <v>79.9</v>
      </c>
      <c r="F147" s="38">
        <f t="shared" si="2"/>
        <v>799</v>
      </c>
      <c r="G147" s="35" t="s">
        <v>902</v>
      </c>
      <c r="H147" s="35" t="s">
        <v>732</v>
      </c>
      <c r="I147" s="35" t="s">
        <v>41</v>
      </c>
      <c r="J147" s="35" t="s">
        <v>34</v>
      </c>
      <c r="K147" s="35" t="s">
        <v>35</v>
      </c>
      <c r="L147" s="35" t="s">
        <v>96</v>
      </c>
      <c r="M147" s="39">
        <v>31.0</v>
      </c>
      <c r="N147" s="40">
        <v>46211.0</v>
      </c>
      <c r="O147" s="42" t="b">
        <v>1</v>
      </c>
      <c r="P147" s="44">
        <v>46211.0</v>
      </c>
      <c r="Q147" s="34"/>
      <c r="R147" s="34"/>
      <c r="S147" s="34"/>
      <c r="T147" s="34"/>
    </row>
    <row r="148" ht="15.75" customHeight="1">
      <c r="B148" s="33">
        <v>46210.0</v>
      </c>
      <c r="C148" s="35">
        <v>22513.0</v>
      </c>
      <c r="D148" s="35">
        <v>20.0</v>
      </c>
      <c r="E148" s="37">
        <v>109.9</v>
      </c>
      <c r="F148" s="38">
        <f t="shared" si="2"/>
        <v>2198</v>
      </c>
      <c r="G148" s="35" t="s">
        <v>416</v>
      </c>
      <c r="H148" s="35" t="s">
        <v>417</v>
      </c>
      <c r="I148" s="35" t="s">
        <v>41</v>
      </c>
      <c r="J148" s="35" t="s">
        <v>34</v>
      </c>
      <c r="K148" s="35" t="s">
        <v>35</v>
      </c>
      <c r="L148" s="35" t="s">
        <v>96</v>
      </c>
      <c r="M148" s="39">
        <v>31.0</v>
      </c>
      <c r="N148" s="40">
        <v>46211.0</v>
      </c>
      <c r="O148" s="42" t="b">
        <v>1</v>
      </c>
      <c r="P148" s="44">
        <v>46211.0</v>
      </c>
      <c r="Q148" s="34"/>
      <c r="R148" s="34"/>
      <c r="S148" s="34"/>
      <c r="T148" s="34"/>
    </row>
    <row r="149" ht="15.75" customHeight="1">
      <c r="B149" s="33">
        <v>46210.0</v>
      </c>
      <c r="C149" s="35">
        <v>22513.0</v>
      </c>
      <c r="D149" s="35">
        <v>36.0</v>
      </c>
      <c r="E149" s="37">
        <v>109.99</v>
      </c>
      <c r="F149" s="38">
        <f t="shared" si="2"/>
        <v>3959.64</v>
      </c>
      <c r="G149" s="35" t="s">
        <v>912</v>
      </c>
      <c r="H149" s="35" t="s">
        <v>914</v>
      </c>
      <c r="I149" s="35" t="s">
        <v>41</v>
      </c>
      <c r="J149" s="35" t="s">
        <v>34</v>
      </c>
      <c r="K149" s="35" t="s">
        <v>35</v>
      </c>
      <c r="L149" s="35" t="s">
        <v>96</v>
      </c>
      <c r="M149" s="39">
        <v>31.0</v>
      </c>
      <c r="N149" s="40">
        <v>46211.0</v>
      </c>
      <c r="O149" s="42" t="b">
        <v>1</v>
      </c>
      <c r="P149" s="44">
        <v>46211.0</v>
      </c>
      <c r="Q149" s="34"/>
      <c r="R149" s="34"/>
      <c r="S149" s="34"/>
      <c r="T149" s="34"/>
    </row>
    <row r="150" ht="15.75" customHeight="1">
      <c r="B150" s="33">
        <v>46210.0</v>
      </c>
      <c r="C150" s="35">
        <v>22513.0</v>
      </c>
      <c r="D150" s="35">
        <v>10.0</v>
      </c>
      <c r="E150" s="37">
        <v>89.99</v>
      </c>
      <c r="F150" s="38">
        <f t="shared" si="2"/>
        <v>899.9</v>
      </c>
      <c r="G150" s="35" t="s">
        <v>918</v>
      </c>
      <c r="H150" s="35" t="s">
        <v>512</v>
      </c>
      <c r="I150" s="35" t="s">
        <v>41</v>
      </c>
      <c r="J150" s="35" t="s">
        <v>34</v>
      </c>
      <c r="K150" s="35" t="s">
        <v>35</v>
      </c>
      <c r="L150" s="35" t="s">
        <v>96</v>
      </c>
      <c r="M150" s="39">
        <v>31.0</v>
      </c>
      <c r="N150" s="40">
        <v>46211.0</v>
      </c>
      <c r="O150" s="42" t="b">
        <v>1</v>
      </c>
      <c r="P150" s="44">
        <v>46211.0</v>
      </c>
      <c r="Q150" s="34"/>
      <c r="R150" s="34"/>
      <c r="S150" s="34"/>
      <c r="T150" s="34"/>
    </row>
    <row r="151" ht="15.75" customHeight="1">
      <c r="B151" s="33">
        <v>46210.0</v>
      </c>
      <c r="C151" s="35">
        <v>22513.0</v>
      </c>
      <c r="D151" s="35">
        <v>100.0</v>
      </c>
      <c r="E151" s="37">
        <v>13.99</v>
      </c>
      <c r="F151" s="38">
        <f t="shared" si="2"/>
        <v>1399</v>
      </c>
      <c r="G151" s="35" t="s">
        <v>923</v>
      </c>
      <c r="H151" s="35" t="s">
        <v>924</v>
      </c>
      <c r="I151" s="35" t="s">
        <v>41</v>
      </c>
      <c r="J151" s="35" t="s">
        <v>34</v>
      </c>
      <c r="K151" s="35" t="s">
        <v>35</v>
      </c>
      <c r="L151" s="35" t="s">
        <v>96</v>
      </c>
      <c r="M151" s="39">
        <v>31.0</v>
      </c>
      <c r="N151" s="40">
        <v>46211.0</v>
      </c>
      <c r="O151" s="42" t="b">
        <v>1</v>
      </c>
      <c r="P151" s="44">
        <v>46211.0</v>
      </c>
      <c r="Q151" s="34"/>
      <c r="R151" s="34"/>
      <c r="S151" s="34"/>
      <c r="T151" s="34"/>
    </row>
    <row r="152" ht="15.75" customHeight="1">
      <c r="B152" s="33">
        <v>46210.0</v>
      </c>
      <c r="C152" s="35">
        <v>22502.0</v>
      </c>
      <c r="D152" s="35">
        <v>40.0</v>
      </c>
      <c r="E152" s="37">
        <v>379.9</v>
      </c>
      <c r="F152" s="38">
        <f t="shared" si="2"/>
        <v>15196</v>
      </c>
      <c r="G152" s="35" t="s">
        <v>528</v>
      </c>
      <c r="H152" s="35" t="s">
        <v>530</v>
      </c>
      <c r="I152" s="35" t="s">
        <v>41</v>
      </c>
      <c r="J152" s="35" t="s">
        <v>34</v>
      </c>
      <c r="K152" s="35" t="s">
        <v>35</v>
      </c>
      <c r="L152" s="35" t="s">
        <v>96</v>
      </c>
      <c r="M152" s="39">
        <v>31.0</v>
      </c>
      <c r="N152" s="40">
        <v>46212.0</v>
      </c>
      <c r="O152" s="42" t="b">
        <v>0</v>
      </c>
      <c r="P152" s="44"/>
      <c r="Q152" s="34"/>
      <c r="R152" s="34"/>
      <c r="S152" s="34"/>
      <c r="T152" s="34"/>
    </row>
    <row r="153" ht="15.75" customHeight="1">
      <c r="B153" s="33">
        <v>46210.0</v>
      </c>
      <c r="C153" s="35">
        <v>22502.0</v>
      </c>
      <c r="D153" s="35">
        <v>40.0</v>
      </c>
      <c r="E153" s="37">
        <v>0.01</v>
      </c>
      <c r="F153" s="38">
        <f t="shared" si="2"/>
        <v>0.4</v>
      </c>
      <c r="G153" s="35" t="s">
        <v>936</v>
      </c>
      <c r="H153" s="35" t="s">
        <v>172</v>
      </c>
      <c r="I153" s="35" t="s">
        <v>41</v>
      </c>
      <c r="J153" s="35" t="s">
        <v>34</v>
      </c>
      <c r="K153" s="35" t="s">
        <v>35</v>
      </c>
      <c r="L153" s="35" t="s">
        <v>96</v>
      </c>
      <c r="M153" s="39">
        <v>31.0</v>
      </c>
      <c r="N153" s="44">
        <v>46212.0</v>
      </c>
      <c r="O153" s="42" t="b">
        <v>0</v>
      </c>
      <c r="P153" s="44"/>
      <c r="Q153" s="34"/>
      <c r="R153" s="34"/>
      <c r="S153" s="34"/>
      <c r="T153" s="34"/>
    </row>
    <row r="154" ht="15.75" customHeight="1">
      <c r="B154" s="33">
        <v>46210.0</v>
      </c>
      <c r="C154" s="35">
        <v>22503.0</v>
      </c>
      <c r="D154" s="35">
        <v>20.0</v>
      </c>
      <c r="E154" s="37">
        <v>379.9</v>
      </c>
      <c r="F154" s="38">
        <f t="shared" si="2"/>
        <v>7598</v>
      </c>
      <c r="G154" s="35" t="s">
        <v>528</v>
      </c>
      <c r="H154" s="35" t="s">
        <v>530</v>
      </c>
      <c r="I154" s="35" t="s">
        <v>41</v>
      </c>
      <c r="J154" s="35" t="s">
        <v>34</v>
      </c>
      <c r="K154" s="35" t="s">
        <v>35</v>
      </c>
      <c r="L154" s="35" t="s">
        <v>96</v>
      </c>
      <c r="M154" s="39">
        <v>31.0</v>
      </c>
      <c r="N154" s="44">
        <v>46212.0</v>
      </c>
      <c r="O154" s="42" t="b">
        <v>0</v>
      </c>
      <c r="P154" s="44"/>
      <c r="Q154" s="34"/>
      <c r="R154" s="34"/>
      <c r="S154" s="34"/>
      <c r="T154" s="34"/>
    </row>
    <row r="155" ht="15.75" customHeight="1">
      <c r="B155" s="33">
        <v>46210.0</v>
      </c>
      <c r="C155" s="35">
        <v>22503.0</v>
      </c>
      <c r="D155" s="35">
        <v>20.0</v>
      </c>
      <c r="E155" s="37">
        <v>0.01</v>
      </c>
      <c r="F155" s="38">
        <f t="shared" si="2"/>
        <v>0.2</v>
      </c>
      <c r="G155" s="35" t="s">
        <v>936</v>
      </c>
      <c r="H155" s="35" t="s">
        <v>172</v>
      </c>
      <c r="I155" s="35" t="s">
        <v>41</v>
      </c>
      <c r="J155" s="35" t="s">
        <v>34</v>
      </c>
      <c r="K155" s="35" t="s">
        <v>35</v>
      </c>
      <c r="L155" s="35" t="s">
        <v>96</v>
      </c>
      <c r="M155" s="39">
        <v>31.0</v>
      </c>
      <c r="N155" s="44">
        <v>46212.0</v>
      </c>
      <c r="O155" s="42" t="b">
        <v>0</v>
      </c>
      <c r="P155" s="44"/>
      <c r="Q155" s="34"/>
      <c r="R155" s="34"/>
      <c r="S155" s="34"/>
      <c r="T155" s="34"/>
    </row>
    <row r="156" ht="15.75" customHeight="1">
      <c r="B156" s="33">
        <v>46210.0</v>
      </c>
      <c r="C156" s="35" t="s">
        <v>35</v>
      </c>
      <c r="D156" s="35">
        <v>100.0</v>
      </c>
      <c r="E156" s="37">
        <v>90.0</v>
      </c>
      <c r="F156" s="38">
        <f t="shared" si="2"/>
        <v>9000</v>
      </c>
      <c r="G156" s="35" t="s">
        <v>950</v>
      </c>
      <c r="H156" s="35" t="s">
        <v>951</v>
      </c>
      <c r="I156" s="35" t="s">
        <v>41</v>
      </c>
      <c r="J156" s="35" t="s">
        <v>40</v>
      </c>
      <c r="K156" s="35" t="s">
        <v>35</v>
      </c>
      <c r="L156" s="35" t="s">
        <v>67</v>
      </c>
      <c r="M156" s="39">
        <v>31.0</v>
      </c>
      <c r="N156" s="44">
        <v>46211.0</v>
      </c>
      <c r="O156" s="42" t="b">
        <v>1</v>
      </c>
      <c r="P156" s="44">
        <v>46212.0</v>
      </c>
      <c r="Q156" s="34"/>
      <c r="R156" s="34"/>
      <c r="S156" s="34"/>
      <c r="T156" s="34"/>
    </row>
    <row r="157" ht="15.75" customHeight="1">
      <c r="B157" s="33">
        <v>46210.0</v>
      </c>
      <c r="C157" s="35" t="s">
        <v>35</v>
      </c>
      <c r="D157" s="35">
        <v>140.0</v>
      </c>
      <c r="E157" s="37">
        <v>90.0</v>
      </c>
      <c r="F157" s="38">
        <f t="shared" si="2"/>
        <v>12600</v>
      </c>
      <c r="G157" s="35" t="s">
        <v>950</v>
      </c>
      <c r="H157" s="35" t="s">
        <v>951</v>
      </c>
      <c r="I157" s="35" t="s">
        <v>77</v>
      </c>
      <c r="J157" s="35" t="s">
        <v>79</v>
      </c>
      <c r="K157" s="35" t="s">
        <v>35</v>
      </c>
      <c r="L157" s="35" t="s">
        <v>67</v>
      </c>
      <c r="M157" s="39">
        <v>31.0</v>
      </c>
      <c r="N157" s="44">
        <v>46211.0</v>
      </c>
      <c r="O157" s="42" t="b">
        <v>1</v>
      </c>
      <c r="P157" s="35" t="s">
        <v>84</v>
      </c>
      <c r="Q157" s="34"/>
      <c r="R157" s="34"/>
      <c r="S157" s="34"/>
      <c r="T157" s="34"/>
    </row>
    <row r="158" ht="15.75" customHeight="1">
      <c r="B158" s="33">
        <v>46210.0</v>
      </c>
      <c r="C158" s="35">
        <v>22520.0</v>
      </c>
      <c r="D158" s="35">
        <v>72.0</v>
      </c>
      <c r="E158" s="37">
        <v>8.9</v>
      </c>
      <c r="F158" s="38">
        <f t="shared" si="2"/>
        <v>640.8</v>
      </c>
      <c r="G158" s="35" t="s">
        <v>957</v>
      </c>
      <c r="H158" s="35" t="s">
        <v>958</v>
      </c>
      <c r="I158" s="35" t="s">
        <v>32</v>
      </c>
      <c r="J158" s="35" t="s">
        <v>34</v>
      </c>
      <c r="K158" s="35" t="s">
        <v>35</v>
      </c>
      <c r="L158" s="35" t="s">
        <v>96</v>
      </c>
      <c r="M158" s="39">
        <v>1.0</v>
      </c>
      <c r="N158" s="44">
        <v>46213.0</v>
      </c>
      <c r="O158" s="42" t="b">
        <v>1</v>
      </c>
      <c r="P158" s="44">
        <v>46213.0</v>
      </c>
      <c r="Q158" s="34"/>
      <c r="R158" s="34"/>
      <c r="S158" s="34"/>
      <c r="T158" s="34"/>
    </row>
    <row r="159" ht="15.75" customHeight="1">
      <c r="B159" s="33">
        <v>46210.0</v>
      </c>
      <c r="C159" s="35">
        <v>22520.0</v>
      </c>
      <c r="D159" s="35">
        <v>50.0</v>
      </c>
      <c r="E159" s="37">
        <v>27.9</v>
      </c>
      <c r="F159" s="38">
        <f t="shared" si="2"/>
        <v>1395</v>
      </c>
      <c r="G159" s="35" t="s">
        <v>966</v>
      </c>
      <c r="H159" s="35" t="s">
        <v>967</v>
      </c>
      <c r="I159" s="35" t="s">
        <v>32</v>
      </c>
      <c r="J159" s="35" t="s">
        <v>34</v>
      </c>
      <c r="K159" s="35" t="s">
        <v>35</v>
      </c>
      <c r="L159" s="35" t="s">
        <v>96</v>
      </c>
      <c r="M159" s="39">
        <v>1.0</v>
      </c>
      <c r="N159" s="44">
        <v>46213.0</v>
      </c>
      <c r="O159" s="42" t="b">
        <v>1</v>
      </c>
      <c r="P159" s="44">
        <v>46213.0</v>
      </c>
      <c r="Q159" s="34"/>
      <c r="R159" s="34"/>
      <c r="S159" s="34"/>
      <c r="T159" s="34"/>
    </row>
    <row r="160" ht="15.75" customHeight="1">
      <c r="B160" s="33">
        <v>46210.0</v>
      </c>
      <c r="C160" s="35">
        <v>22520.0</v>
      </c>
      <c r="D160" s="35">
        <v>100.0</v>
      </c>
      <c r="E160" s="37">
        <v>8.9</v>
      </c>
      <c r="F160" s="38">
        <f t="shared" si="2"/>
        <v>890</v>
      </c>
      <c r="G160" s="35" t="s">
        <v>978</v>
      </c>
      <c r="H160" s="35" t="s">
        <v>979</v>
      </c>
      <c r="I160" s="35" t="s">
        <v>32</v>
      </c>
      <c r="J160" s="35" t="s">
        <v>34</v>
      </c>
      <c r="K160" s="35" t="s">
        <v>35</v>
      </c>
      <c r="L160" s="35" t="s">
        <v>96</v>
      </c>
      <c r="M160" s="39">
        <v>1.0</v>
      </c>
      <c r="N160" s="44">
        <v>46213.0</v>
      </c>
      <c r="O160" s="42" t="b">
        <v>1</v>
      </c>
      <c r="P160" s="44">
        <v>46213.0</v>
      </c>
      <c r="Q160" s="34"/>
      <c r="R160" s="34"/>
      <c r="S160" s="34"/>
      <c r="T160" s="34"/>
    </row>
    <row r="161" ht="15.75" customHeight="1">
      <c r="B161" s="33">
        <v>46210.0</v>
      </c>
      <c r="C161" s="35">
        <v>22520.0</v>
      </c>
      <c r="D161" s="35">
        <v>100.0</v>
      </c>
      <c r="E161" s="37">
        <v>79.99</v>
      </c>
      <c r="F161" s="38">
        <f t="shared" si="2"/>
        <v>7999</v>
      </c>
      <c r="G161" s="35" t="s">
        <v>986</v>
      </c>
      <c r="H161" s="35" t="s">
        <v>987</v>
      </c>
      <c r="I161" s="35" t="s">
        <v>32</v>
      </c>
      <c r="J161" s="35" t="s">
        <v>34</v>
      </c>
      <c r="K161" s="35" t="s">
        <v>35</v>
      </c>
      <c r="L161" s="35" t="s">
        <v>96</v>
      </c>
      <c r="M161" s="39">
        <v>1.0</v>
      </c>
      <c r="N161" s="44">
        <v>46213.0</v>
      </c>
      <c r="O161" s="42" t="b">
        <v>1</v>
      </c>
      <c r="P161" s="44">
        <v>46213.0</v>
      </c>
      <c r="Q161" s="34"/>
      <c r="R161" s="34"/>
      <c r="S161" s="34"/>
      <c r="T161" s="34"/>
    </row>
    <row r="162" ht="15.75" customHeight="1">
      <c r="B162" s="33">
        <v>46210.0</v>
      </c>
      <c r="C162" s="35">
        <v>22520.0</v>
      </c>
      <c r="D162" s="35">
        <v>120.0</v>
      </c>
      <c r="E162" s="37">
        <v>18.99</v>
      </c>
      <c r="F162" s="38">
        <f t="shared" si="2"/>
        <v>2278.8</v>
      </c>
      <c r="G162" s="35" t="s">
        <v>991</v>
      </c>
      <c r="H162" s="35" t="s">
        <v>993</v>
      </c>
      <c r="I162" s="35" t="s">
        <v>32</v>
      </c>
      <c r="J162" s="35" t="s">
        <v>34</v>
      </c>
      <c r="K162" s="35" t="s">
        <v>35</v>
      </c>
      <c r="L162" s="35" t="s">
        <v>96</v>
      </c>
      <c r="M162" s="39">
        <v>1.0</v>
      </c>
      <c r="N162" s="40">
        <v>46213.0</v>
      </c>
      <c r="O162" s="42" t="b">
        <v>1</v>
      </c>
      <c r="P162" s="44">
        <v>46213.0</v>
      </c>
      <c r="Q162" s="34"/>
      <c r="R162" s="34"/>
      <c r="S162" s="34"/>
      <c r="T162" s="34"/>
    </row>
    <row r="163" ht="15.75" customHeight="1">
      <c r="B163" s="33">
        <v>46210.0</v>
      </c>
      <c r="C163" s="35">
        <v>22520.0</v>
      </c>
      <c r="D163" s="35">
        <v>5.0</v>
      </c>
      <c r="E163" s="37">
        <v>209.9</v>
      </c>
      <c r="F163" s="38">
        <f t="shared" si="2"/>
        <v>1049.5</v>
      </c>
      <c r="G163" s="35" t="s">
        <v>997</v>
      </c>
      <c r="H163" s="35" t="s">
        <v>998</v>
      </c>
      <c r="I163" s="35" t="s">
        <v>32</v>
      </c>
      <c r="J163" s="35" t="s">
        <v>34</v>
      </c>
      <c r="K163" s="35" t="s">
        <v>35</v>
      </c>
      <c r="L163" s="35" t="s">
        <v>96</v>
      </c>
      <c r="M163" s="39">
        <v>1.0</v>
      </c>
      <c r="N163" s="40">
        <v>46213.0</v>
      </c>
      <c r="O163" s="42" t="b">
        <v>1</v>
      </c>
      <c r="P163" s="44">
        <v>46213.0</v>
      </c>
      <c r="Q163" s="34"/>
      <c r="R163" s="34"/>
      <c r="S163" s="34"/>
      <c r="T163" s="34"/>
    </row>
    <row r="164" ht="15.75" customHeight="1">
      <c r="B164" s="33">
        <v>46210.0</v>
      </c>
      <c r="C164" s="35">
        <v>22520.0</v>
      </c>
      <c r="D164" s="35">
        <v>100.0</v>
      </c>
      <c r="E164" s="37">
        <v>8.99</v>
      </c>
      <c r="F164" s="38">
        <f t="shared" si="2"/>
        <v>899</v>
      </c>
      <c r="G164" s="35" t="s">
        <v>497</v>
      </c>
      <c r="H164" s="35" t="s">
        <v>498</v>
      </c>
      <c r="I164" s="35" t="s">
        <v>32</v>
      </c>
      <c r="J164" s="35" t="s">
        <v>34</v>
      </c>
      <c r="K164" s="35" t="s">
        <v>35</v>
      </c>
      <c r="L164" s="35" t="s">
        <v>96</v>
      </c>
      <c r="M164" s="39">
        <v>1.0</v>
      </c>
      <c r="N164" s="44">
        <v>46213.0</v>
      </c>
      <c r="O164" s="42" t="b">
        <v>1</v>
      </c>
      <c r="P164" s="44">
        <v>46213.0</v>
      </c>
      <c r="Q164" s="34"/>
      <c r="R164" s="34"/>
      <c r="S164" s="34"/>
      <c r="T164" s="34"/>
    </row>
    <row r="165" ht="15.75" customHeight="1">
      <c r="B165" s="33">
        <v>46210.0</v>
      </c>
      <c r="C165" s="35">
        <v>22520.0</v>
      </c>
      <c r="D165" s="35">
        <v>5.0</v>
      </c>
      <c r="E165" s="37">
        <v>159.9</v>
      </c>
      <c r="F165" s="38">
        <f t="shared" si="2"/>
        <v>799.5</v>
      </c>
      <c r="G165" s="35" t="s">
        <v>1009</v>
      </c>
      <c r="H165" s="35" t="s">
        <v>1010</v>
      </c>
      <c r="I165" s="35" t="s">
        <v>32</v>
      </c>
      <c r="J165" s="35" t="s">
        <v>34</v>
      </c>
      <c r="K165" s="35" t="s">
        <v>35</v>
      </c>
      <c r="L165" s="35" t="s">
        <v>96</v>
      </c>
      <c r="M165" s="39">
        <v>1.0</v>
      </c>
      <c r="N165" s="44">
        <v>46213.0</v>
      </c>
      <c r="O165" s="42" t="b">
        <v>1</v>
      </c>
      <c r="P165" s="44">
        <v>46213.0</v>
      </c>
      <c r="Q165" s="34"/>
      <c r="R165" s="34"/>
      <c r="S165" s="34"/>
      <c r="T165" s="34"/>
    </row>
    <row r="166" ht="15.75" customHeight="1">
      <c r="B166" s="33">
        <v>46210.0</v>
      </c>
      <c r="C166" s="35">
        <v>22520.0</v>
      </c>
      <c r="D166" s="35">
        <v>60.0</v>
      </c>
      <c r="E166" s="37">
        <v>13.9</v>
      </c>
      <c r="F166" s="38">
        <f t="shared" si="2"/>
        <v>834</v>
      </c>
      <c r="G166" s="35" t="s">
        <v>1015</v>
      </c>
      <c r="H166" s="35" t="s">
        <v>1017</v>
      </c>
      <c r="I166" s="35" t="s">
        <v>32</v>
      </c>
      <c r="J166" s="35" t="s">
        <v>34</v>
      </c>
      <c r="K166" s="35" t="s">
        <v>35</v>
      </c>
      <c r="L166" s="35" t="s">
        <v>96</v>
      </c>
      <c r="M166" s="39">
        <v>1.0</v>
      </c>
      <c r="N166" s="44">
        <v>46213.0</v>
      </c>
      <c r="O166" s="42" t="b">
        <v>1</v>
      </c>
      <c r="P166" s="44">
        <v>46213.0</v>
      </c>
      <c r="Q166" s="34"/>
      <c r="R166" s="34"/>
      <c r="S166" s="34"/>
      <c r="T166" s="34"/>
    </row>
    <row r="167" ht="15.75" customHeight="1">
      <c r="B167" s="33">
        <v>46210.0</v>
      </c>
      <c r="C167" s="46" t="s">
        <v>1019</v>
      </c>
      <c r="D167" s="35">
        <v>100.0</v>
      </c>
      <c r="E167" s="37">
        <v>28.8</v>
      </c>
      <c r="F167" s="38">
        <f t="shared" si="2"/>
        <v>2880</v>
      </c>
      <c r="G167" s="35" t="s">
        <v>1021</v>
      </c>
      <c r="H167" s="35" t="s">
        <v>1022</v>
      </c>
      <c r="I167" s="35" t="s">
        <v>41</v>
      </c>
      <c r="J167" s="35" t="s">
        <v>40</v>
      </c>
      <c r="K167" s="35" t="s">
        <v>35</v>
      </c>
      <c r="L167" s="35" t="s">
        <v>46</v>
      </c>
      <c r="M167" s="39">
        <v>1.0</v>
      </c>
      <c r="N167" s="44">
        <v>46212.0</v>
      </c>
      <c r="O167" s="42" t="b">
        <v>1</v>
      </c>
      <c r="P167" s="44">
        <v>46217.0</v>
      </c>
      <c r="Q167" s="34"/>
      <c r="R167" s="34"/>
      <c r="S167" s="34"/>
      <c r="T167" s="34"/>
    </row>
    <row r="168" ht="15.75" customHeight="1">
      <c r="B168" s="33">
        <v>46210.0</v>
      </c>
      <c r="C168" s="46" t="s">
        <v>1019</v>
      </c>
      <c r="D168" s="35">
        <v>100.0</v>
      </c>
      <c r="E168" s="37">
        <v>52.2</v>
      </c>
      <c r="F168" s="38">
        <f t="shared" si="2"/>
        <v>5220</v>
      </c>
      <c r="G168" s="35" t="s">
        <v>453</v>
      </c>
      <c r="H168" s="35" t="s">
        <v>454</v>
      </c>
      <c r="I168" s="35" t="s">
        <v>41</v>
      </c>
      <c r="J168" s="35" t="s">
        <v>40</v>
      </c>
      <c r="K168" s="35" t="s">
        <v>35</v>
      </c>
      <c r="L168" s="35" t="s">
        <v>46</v>
      </c>
      <c r="M168" s="39">
        <v>1.0</v>
      </c>
      <c r="N168" s="44">
        <v>46212.0</v>
      </c>
      <c r="O168" s="42" t="b">
        <v>1</v>
      </c>
      <c r="P168" s="44">
        <v>46217.0</v>
      </c>
      <c r="Q168" s="34"/>
      <c r="R168" s="34"/>
      <c r="S168" s="34"/>
      <c r="T168" s="34"/>
    </row>
    <row r="169" ht="15.75" customHeight="1">
      <c r="B169" s="33">
        <v>46210.0</v>
      </c>
      <c r="C169" s="35">
        <v>22544.0</v>
      </c>
      <c r="D169" s="35">
        <v>80.0</v>
      </c>
      <c r="E169" s="37">
        <v>13.9</v>
      </c>
      <c r="F169" s="38">
        <f t="shared" si="2"/>
        <v>1112</v>
      </c>
      <c r="G169" s="35" t="s">
        <v>1034</v>
      </c>
      <c r="H169" s="35" t="s">
        <v>1035</v>
      </c>
      <c r="I169" s="35" t="s">
        <v>240</v>
      </c>
      <c r="J169" s="35" t="s">
        <v>1036</v>
      </c>
      <c r="K169" s="35" t="s">
        <v>1037</v>
      </c>
      <c r="L169" s="35" t="s">
        <v>96</v>
      </c>
      <c r="M169" s="39">
        <v>31.0</v>
      </c>
      <c r="N169" s="44">
        <v>46213.0</v>
      </c>
      <c r="O169" s="42" t="b">
        <v>1</v>
      </c>
      <c r="P169" s="44">
        <v>46213.0</v>
      </c>
      <c r="Q169" s="34"/>
      <c r="R169" s="34"/>
      <c r="S169" s="34"/>
      <c r="T169" s="34"/>
    </row>
    <row r="170" ht="15.75" customHeight="1">
      <c r="B170" s="33">
        <v>46210.0</v>
      </c>
      <c r="C170" s="35">
        <v>22544.0</v>
      </c>
      <c r="D170" s="35">
        <v>240.0</v>
      </c>
      <c r="E170" s="37">
        <v>5.9</v>
      </c>
      <c r="F170" s="38">
        <f t="shared" si="2"/>
        <v>1416</v>
      </c>
      <c r="G170" s="35" t="s">
        <v>1044</v>
      </c>
      <c r="H170" s="35" t="s">
        <v>1045</v>
      </c>
      <c r="I170" s="35" t="s">
        <v>240</v>
      </c>
      <c r="J170" s="35" t="s">
        <v>1036</v>
      </c>
      <c r="K170" s="35" t="s">
        <v>1037</v>
      </c>
      <c r="L170" s="35" t="s">
        <v>96</v>
      </c>
      <c r="M170" s="39">
        <v>31.0</v>
      </c>
      <c r="N170" s="44">
        <v>46213.0</v>
      </c>
      <c r="O170" s="42" t="b">
        <v>1</v>
      </c>
      <c r="P170" s="44">
        <v>46213.0</v>
      </c>
      <c r="Q170" s="34"/>
      <c r="R170" s="34"/>
      <c r="S170" s="34"/>
      <c r="T170" s="34"/>
    </row>
    <row r="171" ht="15.75" customHeight="1">
      <c r="B171" s="33">
        <v>46210.0</v>
      </c>
      <c r="C171" s="35">
        <v>22544.0</v>
      </c>
      <c r="D171" s="35">
        <v>40.0</v>
      </c>
      <c r="E171" s="37">
        <v>20.8</v>
      </c>
      <c r="F171" s="38">
        <f t="shared" si="2"/>
        <v>832</v>
      </c>
      <c r="G171" s="35" t="s">
        <v>1051</v>
      </c>
      <c r="H171" s="35" t="s">
        <v>1052</v>
      </c>
      <c r="I171" s="35" t="s">
        <v>240</v>
      </c>
      <c r="J171" s="35" t="s">
        <v>1036</v>
      </c>
      <c r="K171" s="35" t="s">
        <v>1037</v>
      </c>
      <c r="L171" s="35" t="s">
        <v>96</v>
      </c>
      <c r="M171" s="39">
        <v>31.0</v>
      </c>
      <c r="N171" s="44">
        <v>46213.0</v>
      </c>
      <c r="O171" s="42" t="b">
        <v>1</v>
      </c>
      <c r="P171" s="44">
        <v>46213.0</v>
      </c>
      <c r="Q171" s="34"/>
      <c r="R171" s="34"/>
      <c r="S171" s="34"/>
      <c r="T171" s="34"/>
    </row>
    <row r="172" ht="15.75" customHeight="1">
      <c r="B172" s="33">
        <v>46210.0</v>
      </c>
      <c r="C172" s="35">
        <v>22544.0</v>
      </c>
      <c r="D172" s="35">
        <v>20.0</v>
      </c>
      <c r="E172" s="37">
        <v>40.9</v>
      </c>
      <c r="F172" s="38">
        <f t="shared" si="2"/>
        <v>818</v>
      </c>
      <c r="G172" s="35" t="s">
        <v>1056</v>
      </c>
      <c r="H172" s="35" t="s">
        <v>1057</v>
      </c>
      <c r="I172" s="35" t="s">
        <v>240</v>
      </c>
      <c r="J172" s="35" t="s">
        <v>1036</v>
      </c>
      <c r="K172" s="35" t="s">
        <v>1037</v>
      </c>
      <c r="L172" s="35" t="s">
        <v>96</v>
      </c>
      <c r="M172" s="39">
        <v>31.0</v>
      </c>
      <c r="N172" s="44">
        <v>46213.0</v>
      </c>
      <c r="O172" s="42" t="b">
        <v>1</v>
      </c>
      <c r="P172" s="44">
        <v>46213.0</v>
      </c>
      <c r="Q172" s="34"/>
      <c r="R172" s="34"/>
      <c r="S172" s="34"/>
      <c r="T172" s="34"/>
    </row>
    <row r="173" ht="15.75" customHeight="1">
      <c r="B173" s="33">
        <v>46210.0</v>
      </c>
      <c r="C173" s="35">
        <v>22544.0</v>
      </c>
      <c r="D173" s="35">
        <v>96.0</v>
      </c>
      <c r="E173" s="37">
        <v>8.99</v>
      </c>
      <c r="F173" s="38">
        <f t="shared" si="2"/>
        <v>863.04</v>
      </c>
      <c r="G173" s="35" t="s">
        <v>1060</v>
      </c>
      <c r="H173" s="35" t="s">
        <v>1062</v>
      </c>
      <c r="I173" s="35" t="s">
        <v>240</v>
      </c>
      <c r="J173" s="35" t="s">
        <v>1036</v>
      </c>
      <c r="K173" s="35" t="s">
        <v>1037</v>
      </c>
      <c r="L173" s="35" t="s">
        <v>96</v>
      </c>
      <c r="M173" s="39">
        <v>31.0</v>
      </c>
      <c r="N173" s="44">
        <v>46213.0</v>
      </c>
      <c r="O173" s="42" t="b">
        <v>1</v>
      </c>
      <c r="P173" s="44">
        <v>46213.0</v>
      </c>
      <c r="Q173" s="34"/>
      <c r="R173" s="34"/>
      <c r="S173" s="34"/>
      <c r="T173" s="34"/>
    </row>
    <row r="174" ht="15.75" customHeight="1">
      <c r="B174" s="33">
        <v>46210.0</v>
      </c>
      <c r="C174" s="35">
        <v>22544.0</v>
      </c>
      <c r="D174" s="35">
        <v>144.0</v>
      </c>
      <c r="E174" s="37">
        <v>3.99</v>
      </c>
      <c r="F174" s="38">
        <f t="shared" si="2"/>
        <v>574.56</v>
      </c>
      <c r="G174" s="35" t="s">
        <v>1067</v>
      </c>
      <c r="H174" s="35" t="s">
        <v>1069</v>
      </c>
      <c r="I174" s="35" t="s">
        <v>240</v>
      </c>
      <c r="J174" s="35" t="s">
        <v>1036</v>
      </c>
      <c r="K174" s="35" t="s">
        <v>1037</v>
      </c>
      <c r="L174" s="35" t="s">
        <v>96</v>
      </c>
      <c r="M174" s="39">
        <v>31.0</v>
      </c>
      <c r="N174" s="44">
        <v>46213.0</v>
      </c>
      <c r="O174" s="42" t="b">
        <v>1</v>
      </c>
      <c r="P174" s="44">
        <v>46213.0</v>
      </c>
      <c r="Q174" s="34"/>
      <c r="R174" s="44"/>
      <c r="S174" s="34"/>
      <c r="T174" s="34"/>
    </row>
    <row r="175" ht="15.75" customHeight="1">
      <c r="B175" s="33">
        <v>46210.0</v>
      </c>
      <c r="C175" s="35">
        <v>22544.0</v>
      </c>
      <c r="D175" s="35">
        <v>72.0</v>
      </c>
      <c r="E175" s="37">
        <v>6.99</v>
      </c>
      <c r="F175" s="38">
        <f t="shared" si="2"/>
        <v>503.28</v>
      </c>
      <c r="G175" s="35" t="s">
        <v>1073</v>
      </c>
      <c r="H175" s="35" t="s">
        <v>1075</v>
      </c>
      <c r="I175" s="35" t="s">
        <v>240</v>
      </c>
      <c r="J175" s="35" t="s">
        <v>1036</v>
      </c>
      <c r="K175" s="35" t="s">
        <v>1037</v>
      </c>
      <c r="L175" s="35" t="s">
        <v>96</v>
      </c>
      <c r="M175" s="39">
        <v>31.0</v>
      </c>
      <c r="N175" s="44">
        <v>46213.0</v>
      </c>
      <c r="O175" s="42" t="b">
        <v>1</v>
      </c>
      <c r="P175" s="44">
        <v>46213.0</v>
      </c>
      <c r="Q175" s="34"/>
      <c r="R175" s="33"/>
      <c r="S175" s="34"/>
      <c r="T175" s="34"/>
    </row>
    <row r="176" ht="15.75" customHeight="1">
      <c r="B176" s="33">
        <v>46210.0</v>
      </c>
      <c r="C176" s="35">
        <v>22544.0</v>
      </c>
      <c r="D176" s="35">
        <v>400.0</v>
      </c>
      <c r="E176" s="37">
        <v>7.99</v>
      </c>
      <c r="F176" s="38">
        <f t="shared" si="2"/>
        <v>3196</v>
      </c>
      <c r="G176" s="35" t="s">
        <v>1081</v>
      </c>
      <c r="H176" s="35" t="s">
        <v>1082</v>
      </c>
      <c r="I176" s="35" t="s">
        <v>240</v>
      </c>
      <c r="J176" s="35" t="s">
        <v>1036</v>
      </c>
      <c r="K176" s="35" t="s">
        <v>1037</v>
      </c>
      <c r="L176" s="35" t="s">
        <v>96</v>
      </c>
      <c r="M176" s="39">
        <v>31.0</v>
      </c>
      <c r="N176" s="44">
        <v>46213.0</v>
      </c>
      <c r="O176" s="42" t="b">
        <v>1</v>
      </c>
      <c r="P176" s="44">
        <v>46213.0</v>
      </c>
      <c r="Q176" s="34"/>
      <c r="R176" s="34"/>
      <c r="S176" s="34"/>
      <c r="T176" s="34"/>
    </row>
    <row r="177" ht="15.75" customHeight="1">
      <c r="B177" s="33">
        <v>46210.0</v>
      </c>
      <c r="C177" s="35">
        <v>22544.0</v>
      </c>
      <c r="D177" s="35">
        <v>240.0</v>
      </c>
      <c r="E177" s="37">
        <v>5.9</v>
      </c>
      <c r="F177" s="38">
        <f t="shared" si="2"/>
        <v>1416</v>
      </c>
      <c r="G177" s="35" t="s">
        <v>1086</v>
      </c>
      <c r="H177" s="35" t="s">
        <v>1087</v>
      </c>
      <c r="I177" s="35" t="s">
        <v>240</v>
      </c>
      <c r="J177" s="35" t="s">
        <v>1036</v>
      </c>
      <c r="K177" s="35" t="s">
        <v>1037</v>
      </c>
      <c r="L177" s="35" t="s">
        <v>96</v>
      </c>
      <c r="M177" s="39">
        <v>31.0</v>
      </c>
      <c r="N177" s="40">
        <v>46213.0</v>
      </c>
      <c r="O177" s="42" t="b">
        <v>1</v>
      </c>
      <c r="P177" s="44">
        <v>46213.0</v>
      </c>
      <c r="Q177" s="34"/>
      <c r="R177" s="34"/>
      <c r="S177" s="34"/>
      <c r="T177" s="34"/>
    </row>
    <row r="178" ht="15.75" customHeight="1">
      <c r="B178" s="33">
        <v>46210.0</v>
      </c>
      <c r="C178" s="35">
        <v>22544.0</v>
      </c>
      <c r="D178" s="35">
        <v>200.0</v>
      </c>
      <c r="E178" s="37">
        <v>3.5</v>
      </c>
      <c r="F178" s="38">
        <f t="shared" si="2"/>
        <v>700</v>
      </c>
      <c r="G178" s="35" t="s">
        <v>1090</v>
      </c>
      <c r="H178" s="35" t="s">
        <v>1092</v>
      </c>
      <c r="I178" s="35" t="s">
        <v>240</v>
      </c>
      <c r="J178" s="35" t="s">
        <v>1036</v>
      </c>
      <c r="K178" s="35" t="s">
        <v>1037</v>
      </c>
      <c r="L178" s="35" t="s">
        <v>96</v>
      </c>
      <c r="M178" s="39">
        <v>31.0</v>
      </c>
      <c r="N178" s="40">
        <v>46213.0</v>
      </c>
      <c r="O178" s="42" t="b">
        <v>1</v>
      </c>
      <c r="P178" s="44">
        <v>46213.0</v>
      </c>
      <c r="Q178" s="34"/>
      <c r="R178" s="34"/>
      <c r="S178" s="34"/>
      <c r="T178" s="34"/>
    </row>
    <row r="179" ht="15.75" customHeight="1">
      <c r="B179" s="33">
        <v>46210.0</v>
      </c>
      <c r="C179" s="46" t="s">
        <v>1096</v>
      </c>
      <c r="D179" s="35">
        <v>8.0</v>
      </c>
      <c r="E179" s="37">
        <v>142.2</v>
      </c>
      <c r="F179" s="38">
        <f t="shared" si="2"/>
        <v>1137.6</v>
      </c>
      <c r="G179" s="35" t="s">
        <v>1098</v>
      </c>
      <c r="H179" s="35" t="s">
        <v>1099</v>
      </c>
      <c r="I179" s="35" t="s">
        <v>32</v>
      </c>
      <c r="J179" s="35" t="s">
        <v>34</v>
      </c>
      <c r="K179" s="35" t="s">
        <v>35</v>
      </c>
      <c r="L179" s="35" t="s">
        <v>241</v>
      </c>
      <c r="M179" s="39">
        <v>31.0</v>
      </c>
      <c r="N179" s="40">
        <v>46211.0</v>
      </c>
      <c r="O179" s="42" t="b">
        <v>1</v>
      </c>
      <c r="P179" s="44">
        <v>46211.0</v>
      </c>
      <c r="Q179" s="34"/>
      <c r="R179" s="34"/>
      <c r="S179" s="34"/>
      <c r="T179" s="34"/>
    </row>
    <row r="180" ht="15.75" customHeight="1">
      <c r="B180" s="33">
        <v>46210.0</v>
      </c>
      <c r="C180" s="46" t="s">
        <v>1096</v>
      </c>
      <c r="D180" s="35">
        <v>8.0</v>
      </c>
      <c r="E180" s="37">
        <v>142.2</v>
      </c>
      <c r="F180" s="38">
        <f t="shared" si="2"/>
        <v>1137.6</v>
      </c>
      <c r="G180" s="35" t="s">
        <v>1105</v>
      </c>
      <c r="H180" s="35" t="s">
        <v>1106</v>
      </c>
      <c r="I180" s="35" t="s">
        <v>32</v>
      </c>
      <c r="J180" s="35" t="s">
        <v>34</v>
      </c>
      <c r="K180" s="35" t="s">
        <v>35</v>
      </c>
      <c r="L180" s="35" t="s">
        <v>241</v>
      </c>
      <c r="M180" s="39">
        <v>31.0</v>
      </c>
      <c r="N180" s="40">
        <v>46211.0</v>
      </c>
      <c r="O180" s="42" t="b">
        <v>1</v>
      </c>
      <c r="P180" s="44">
        <v>46211.0</v>
      </c>
      <c r="Q180" s="34"/>
      <c r="R180" s="34"/>
      <c r="S180" s="34"/>
      <c r="T180" s="34"/>
    </row>
    <row r="181" ht="15.75" customHeight="1">
      <c r="B181" s="33">
        <v>46210.0</v>
      </c>
      <c r="C181" s="46" t="s">
        <v>1096</v>
      </c>
      <c r="D181" s="35">
        <v>14.0</v>
      </c>
      <c r="E181" s="37">
        <v>63.0</v>
      </c>
      <c r="F181" s="38">
        <f t="shared" si="2"/>
        <v>882</v>
      </c>
      <c r="G181" s="35" t="s">
        <v>1111</v>
      </c>
      <c r="H181" s="35" t="s">
        <v>1112</v>
      </c>
      <c r="I181" s="35" t="s">
        <v>32</v>
      </c>
      <c r="J181" s="35" t="s">
        <v>34</v>
      </c>
      <c r="K181" s="35" t="s">
        <v>35</v>
      </c>
      <c r="L181" s="35" t="s">
        <v>241</v>
      </c>
      <c r="M181" s="39">
        <v>31.0</v>
      </c>
      <c r="N181" s="40">
        <v>46211.0</v>
      </c>
      <c r="O181" s="42" t="b">
        <v>1</v>
      </c>
      <c r="P181" s="44">
        <v>46211.0</v>
      </c>
      <c r="Q181" s="34"/>
      <c r="R181" s="34"/>
      <c r="S181" s="34"/>
      <c r="T181" s="34"/>
    </row>
    <row r="182" ht="15.75" customHeight="1">
      <c r="B182" s="33">
        <v>46210.0</v>
      </c>
      <c r="C182" s="35" t="s">
        <v>35</v>
      </c>
      <c r="D182" s="35">
        <v>4000.0</v>
      </c>
      <c r="E182" s="37">
        <v>70.0</v>
      </c>
      <c r="F182" s="38">
        <f t="shared" si="2"/>
        <v>280000</v>
      </c>
      <c r="G182" s="35" t="s">
        <v>1120</v>
      </c>
      <c r="H182" s="35" t="s">
        <v>35</v>
      </c>
      <c r="I182" s="35" t="s">
        <v>41</v>
      </c>
      <c r="J182" s="35" t="s">
        <v>40</v>
      </c>
      <c r="K182" s="35" t="s">
        <v>35</v>
      </c>
      <c r="L182" s="35" t="s">
        <v>585</v>
      </c>
      <c r="M182" s="39">
        <v>31.0</v>
      </c>
      <c r="N182" s="40">
        <v>46217.0</v>
      </c>
      <c r="O182" s="42" t="b">
        <v>1</v>
      </c>
      <c r="P182" s="44">
        <v>46218.0</v>
      </c>
      <c r="Q182" s="34"/>
      <c r="R182" s="34"/>
      <c r="S182" s="34"/>
      <c r="T182" s="34"/>
    </row>
    <row r="183" ht="15.75" customHeight="1">
      <c r="B183" s="33">
        <v>46210.0</v>
      </c>
      <c r="C183" s="35">
        <v>13261.0</v>
      </c>
      <c r="D183" s="35">
        <v>100.0</v>
      </c>
      <c r="E183" s="37">
        <v>8.0</v>
      </c>
      <c r="F183" s="38">
        <f t="shared" si="2"/>
        <v>800</v>
      </c>
      <c r="G183" s="35" t="s">
        <v>782</v>
      </c>
      <c r="H183" s="35" t="s">
        <v>1129</v>
      </c>
      <c r="I183" s="35" t="s">
        <v>41</v>
      </c>
      <c r="J183" s="35" t="s">
        <v>34</v>
      </c>
      <c r="K183" s="35" t="s">
        <v>35</v>
      </c>
      <c r="L183" s="35" t="s">
        <v>87</v>
      </c>
      <c r="M183" s="39">
        <v>1.0</v>
      </c>
      <c r="N183" s="40">
        <v>46210.0</v>
      </c>
      <c r="O183" s="42" t="b">
        <v>1</v>
      </c>
      <c r="P183" s="44">
        <v>46212.0</v>
      </c>
      <c r="Q183" s="34"/>
      <c r="R183" s="34"/>
      <c r="S183" s="34"/>
      <c r="T183" s="34"/>
    </row>
    <row r="184" ht="15.75" customHeight="1">
      <c r="B184" s="33">
        <v>46210.0</v>
      </c>
      <c r="C184" s="35">
        <v>13262.0</v>
      </c>
      <c r="D184" s="35">
        <v>100.0</v>
      </c>
      <c r="E184" s="37">
        <v>34.2</v>
      </c>
      <c r="F184" s="38">
        <f t="shared" si="2"/>
        <v>3420</v>
      </c>
      <c r="G184" s="35" t="s">
        <v>1134</v>
      </c>
      <c r="H184" s="35" t="s">
        <v>1135</v>
      </c>
      <c r="I184" s="35" t="s">
        <v>41</v>
      </c>
      <c r="J184" s="35" t="s">
        <v>40</v>
      </c>
      <c r="K184" s="35" t="s">
        <v>35</v>
      </c>
      <c r="L184" s="35" t="s">
        <v>87</v>
      </c>
      <c r="M184" s="39">
        <v>1.0</v>
      </c>
      <c r="N184" s="40">
        <v>46210.0</v>
      </c>
      <c r="O184" s="42" t="b">
        <v>1</v>
      </c>
      <c r="P184" s="44">
        <v>46212.0</v>
      </c>
      <c r="Q184" s="34"/>
      <c r="R184" s="34"/>
      <c r="S184" s="34"/>
      <c r="T184" s="34"/>
    </row>
    <row r="185" ht="15.75" customHeight="1">
      <c r="B185" s="33">
        <v>46210.0</v>
      </c>
      <c r="C185" s="35">
        <v>243299.0</v>
      </c>
      <c r="D185" s="35">
        <v>30.0</v>
      </c>
      <c r="E185" s="37">
        <v>15.9</v>
      </c>
      <c r="F185" s="38">
        <f t="shared" si="2"/>
        <v>477</v>
      </c>
      <c r="G185" s="65" t="s">
        <v>1139</v>
      </c>
      <c r="H185" s="35" t="s">
        <v>1142</v>
      </c>
      <c r="I185" s="35" t="s">
        <v>32</v>
      </c>
      <c r="J185" s="35" t="s">
        <v>40</v>
      </c>
      <c r="K185" s="35" t="s">
        <v>35</v>
      </c>
      <c r="L185" s="35" t="s">
        <v>1144</v>
      </c>
      <c r="M185" s="39">
        <v>31.0</v>
      </c>
      <c r="N185" s="40">
        <v>46227.0</v>
      </c>
      <c r="O185" s="42" t="b">
        <v>0</v>
      </c>
      <c r="P185" s="44">
        <v>46233.0</v>
      </c>
      <c r="Q185" s="34"/>
      <c r="R185" s="33"/>
      <c r="S185" s="34"/>
      <c r="T185" s="34"/>
    </row>
    <row r="186" ht="15.75" customHeight="1">
      <c r="B186" s="33">
        <v>46210.0</v>
      </c>
      <c r="C186" s="35">
        <v>243299.0</v>
      </c>
      <c r="D186" s="35">
        <v>30.0</v>
      </c>
      <c r="E186" s="37">
        <v>15.9</v>
      </c>
      <c r="F186" s="38">
        <f t="shared" si="2"/>
        <v>477</v>
      </c>
      <c r="G186" s="65" t="s">
        <v>1147</v>
      </c>
      <c r="H186" s="35" t="s">
        <v>1149</v>
      </c>
      <c r="I186" s="35" t="s">
        <v>32</v>
      </c>
      <c r="J186" s="35" t="s">
        <v>40</v>
      </c>
      <c r="K186" s="35" t="s">
        <v>35</v>
      </c>
      <c r="L186" s="35" t="s">
        <v>1144</v>
      </c>
      <c r="M186" s="39">
        <v>31.0</v>
      </c>
      <c r="N186" s="40">
        <v>46227.0</v>
      </c>
      <c r="O186" s="42" t="b">
        <v>0</v>
      </c>
      <c r="P186" s="44">
        <v>46233.0</v>
      </c>
      <c r="Q186" s="34"/>
      <c r="R186" s="33"/>
      <c r="S186" s="34"/>
      <c r="T186" s="34"/>
    </row>
    <row r="187" ht="15.75" customHeight="1">
      <c r="B187" s="33">
        <v>46210.0</v>
      </c>
      <c r="C187" s="35">
        <v>243299.0</v>
      </c>
      <c r="D187" s="35">
        <v>30.0</v>
      </c>
      <c r="E187" s="37">
        <v>15.9</v>
      </c>
      <c r="F187" s="38">
        <f t="shared" si="2"/>
        <v>477</v>
      </c>
      <c r="G187" s="65" t="s">
        <v>1153</v>
      </c>
      <c r="H187" s="35" t="s">
        <v>1155</v>
      </c>
      <c r="I187" s="35" t="s">
        <v>32</v>
      </c>
      <c r="J187" s="35" t="s">
        <v>40</v>
      </c>
      <c r="K187" s="35" t="s">
        <v>35</v>
      </c>
      <c r="L187" s="35" t="s">
        <v>1144</v>
      </c>
      <c r="M187" s="39">
        <v>31.0</v>
      </c>
      <c r="N187" s="40">
        <v>46227.0</v>
      </c>
      <c r="O187" s="42" t="b">
        <v>0</v>
      </c>
      <c r="P187" s="44">
        <v>46233.0</v>
      </c>
      <c r="Q187" s="34"/>
      <c r="R187" s="34"/>
      <c r="S187" s="34"/>
      <c r="T187" s="34"/>
    </row>
    <row r="188" ht="15.75" customHeight="1">
      <c r="B188" s="33">
        <v>46210.0</v>
      </c>
      <c r="C188" s="35">
        <v>243299.0</v>
      </c>
      <c r="D188" s="35">
        <v>20.0</v>
      </c>
      <c r="E188" s="37">
        <v>28.5</v>
      </c>
      <c r="F188" s="38">
        <f t="shared" si="2"/>
        <v>570</v>
      </c>
      <c r="G188" s="65" t="s">
        <v>1161</v>
      </c>
      <c r="H188" s="35" t="s">
        <v>1162</v>
      </c>
      <c r="I188" s="35" t="s">
        <v>32</v>
      </c>
      <c r="J188" s="35" t="s">
        <v>40</v>
      </c>
      <c r="K188" s="35" t="s">
        <v>35</v>
      </c>
      <c r="L188" s="35" t="s">
        <v>1144</v>
      </c>
      <c r="M188" s="39">
        <v>31.0</v>
      </c>
      <c r="N188" s="40">
        <v>46227.0</v>
      </c>
      <c r="O188" s="42" t="b">
        <v>0</v>
      </c>
      <c r="P188" s="44">
        <v>46233.0</v>
      </c>
      <c r="Q188" s="34"/>
      <c r="R188" s="34"/>
      <c r="S188" s="34"/>
      <c r="T188" s="34"/>
    </row>
    <row r="189" ht="15.0" customHeight="1">
      <c r="B189" s="33">
        <v>46210.0</v>
      </c>
      <c r="C189" s="35">
        <v>243299.0</v>
      </c>
      <c r="D189" s="35">
        <v>20.0</v>
      </c>
      <c r="E189" s="37">
        <v>28.5</v>
      </c>
      <c r="F189" s="38">
        <f t="shared" si="2"/>
        <v>570</v>
      </c>
      <c r="G189" s="65" t="s">
        <v>1168</v>
      </c>
      <c r="H189" s="35" t="s">
        <v>1169</v>
      </c>
      <c r="I189" s="35" t="s">
        <v>32</v>
      </c>
      <c r="J189" s="35" t="s">
        <v>40</v>
      </c>
      <c r="K189" s="35" t="s">
        <v>35</v>
      </c>
      <c r="L189" s="35" t="s">
        <v>1144</v>
      </c>
      <c r="M189" s="39">
        <v>31.0</v>
      </c>
      <c r="N189" s="40">
        <v>46227.0</v>
      </c>
      <c r="O189" s="42" t="b">
        <v>0</v>
      </c>
      <c r="P189" s="44">
        <v>46233.0</v>
      </c>
      <c r="Q189" s="34"/>
      <c r="R189" s="34"/>
      <c r="S189" s="34"/>
      <c r="T189" s="34"/>
    </row>
    <row r="190" ht="15.75" customHeight="1">
      <c r="B190" s="33">
        <v>46210.0</v>
      </c>
      <c r="C190" s="35">
        <v>243299.0</v>
      </c>
      <c r="D190" s="35">
        <v>30.0</v>
      </c>
      <c r="E190" s="37">
        <v>23.5</v>
      </c>
      <c r="F190" s="38">
        <f t="shared" si="2"/>
        <v>705</v>
      </c>
      <c r="G190" s="65" t="s">
        <v>1174</v>
      </c>
      <c r="H190" s="35" t="s">
        <v>1175</v>
      </c>
      <c r="I190" s="35" t="s">
        <v>32</v>
      </c>
      <c r="J190" s="35" t="s">
        <v>40</v>
      </c>
      <c r="K190" s="35" t="s">
        <v>35</v>
      </c>
      <c r="L190" s="35" t="s">
        <v>1144</v>
      </c>
      <c r="M190" s="39">
        <v>31.0</v>
      </c>
      <c r="N190" s="40">
        <v>46227.0</v>
      </c>
      <c r="O190" s="42" t="b">
        <v>0</v>
      </c>
      <c r="P190" s="44">
        <v>46233.0</v>
      </c>
      <c r="Q190" s="34"/>
      <c r="R190" s="34"/>
      <c r="S190" s="34"/>
      <c r="T190" s="34"/>
    </row>
    <row r="191" ht="15.75" customHeight="1">
      <c r="B191" s="33">
        <v>46210.0</v>
      </c>
      <c r="C191" s="35">
        <v>243299.0</v>
      </c>
      <c r="D191" s="35">
        <v>30.0</v>
      </c>
      <c r="E191" s="37">
        <v>15.9</v>
      </c>
      <c r="F191" s="38">
        <f t="shared" si="2"/>
        <v>477</v>
      </c>
      <c r="G191" s="65" t="s">
        <v>1179</v>
      </c>
      <c r="H191" s="35" t="s">
        <v>1180</v>
      </c>
      <c r="I191" s="35" t="s">
        <v>32</v>
      </c>
      <c r="J191" s="35" t="s">
        <v>40</v>
      </c>
      <c r="K191" s="35" t="s">
        <v>35</v>
      </c>
      <c r="L191" s="35" t="s">
        <v>1144</v>
      </c>
      <c r="M191" s="39">
        <v>31.0</v>
      </c>
      <c r="N191" s="40">
        <v>46227.0</v>
      </c>
      <c r="O191" s="42" t="b">
        <v>0</v>
      </c>
      <c r="P191" s="44">
        <v>46233.0</v>
      </c>
      <c r="Q191" s="34"/>
      <c r="R191" s="34"/>
      <c r="S191" s="34"/>
      <c r="T191" s="34"/>
    </row>
    <row r="192" ht="15.75" customHeight="1">
      <c r="B192" s="33">
        <v>46210.0</v>
      </c>
      <c r="C192" s="35">
        <v>243299.0</v>
      </c>
      <c r="D192" s="35">
        <v>30.0</v>
      </c>
      <c r="E192" s="37">
        <v>15.9</v>
      </c>
      <c r="F192" s="38">
        <f t="shared" si="2"/>
        <v>477</v>
      </c>
      <c r="G192" s="65" t="s">
        <v>1187</v>
      </c>
      <c r="H192" s="35" t="s">
        <v>1188</v>
      </c>
      <c r="I192" s="35" t="s">
        <v>32</v>
      </c>
      <c r="J192" s="35" t="s">
        <v>40</v>
      </c>
      <c r="K192" s="35" t="s">
        <v>35</v>
      </c>
      <c r="L192" s="35" t="s">
        <v>1144</v>
      </c>
      <c r="M192" s="39">
        <v>31.0</v>
      </c>
      <c r="N192" s="40">
        <v>46227.0</v>
      </c>
      <c r="O192" s="42" t="b">
        <v>0</v>
      </c>
      <c r="P192" s="44">
        <v>46233.0</v>
      </c>
      <c r="Q192" s="34"/>
      <c r="R192" s="34"/>
      <c r="S192" s="34"/>
      <c r="T192" s="34"/>
    </row>
    <row r="193" ht="15.75" customHeight="1">
      <c r="B193" s="33">
        <v>46211.0</v>
      </c>
      <c r="C193" s="46" t="s">
        <v>1191</v>
      </c>
      <c r="D193" s="35">
        <v>50.0</v>
      </c>
      <c r="E193" s="37">
        <v>16.0</v>
      </c>
      <c r="F193" s="38">
        <f t="shared" si="2"/>
        <v>800</v>
      </c>
      <c r="G193" s="35" t="s">
        <v>1194</v>
      </c>
      <c r="H193" s="35" t="s">
        <v>1196</v>
      </c>
      <c r="I193" s="35" t="s">
        <v>240</v>
      </c>
      <c r="J193" s="35" t="s">
        <v>183</v>
      </c>
      <c r="K193" s="35" t="s">
        <v>35</v>
      </c>
      <c r="L193" s="35" t="s">
        <v>241</v>
      </c>
      <c r="M193" s="39">
        <v>1.0</v>
      </c>
      <c r="N193" s="40">
        <v>46212.0</v>
      </c>
      <c r="O193" s="42" t="b">
        <v>1</v>
      </c>
      <c r="P193" s="44">
        <v>46213.0</v>
      </c>
      <c r="Q193" s="34"/>
      <c r="R193" s="34"/>
      <c r="S193" s="34"/>
      <c r="T193" s="34"/>
    </row>
    <row r="194" ht="15.75" customHeight="1">
      <c r="B194" s="33">
        <v>46211.0</v>
      </c>
      <c r="C194" s="46" t="s">
        <v>1191</v>
      </c>
      <c r="D194" s="35">
        <v>100.0</v>
      </c>
      <c r="E194" s="37">
        <v>8.82</v>
      </c>
      <c r="F194" s="38">
        <f t="shared" si="2"/>
        <v>882</v>
      </c>
      <c r="G194" s="35" t="s">
        <v>1201</v>
      </c>
      <c r="H194" s="35" t="s">
        <v>1202</v>
      </c>
      <c r="I194" s="35" t="s">
        <v>240</v>
      </c>
      <c r="J194" s="35" t="s">
        <v>183</v>
      </c>
      <c r="K194" s="35" t="s">
        <v>35</v>
      </c>
      <c r="L194" s="35" t="s">
        <v>241</v>
      </c>
      <c r="M194" s="39">
        <v>1.0</v>
      </c>
      <c r="N194" s="40">
        <v>46212.0</v>
      </c>
      <c r="O194" s="42" t="b">
        <v>1</v>
      </c>
      <c r="P194" s="44">
        <v>46213.0</v>
      </c>
      <c r="Q194" s="34"/>
      <c r="R194" s="34"/>
      <c r="S194" s="34"/>
      <c r="T194" s="35"/>
    </row>
    <row r="195" ht="15.75" customHeight="1">
      <c r="B195" s="33">
        <v>46211.0</v>
      </c>
      <c r="C195" s="35" t="s">
        <v>35</v>
      </c>
      <c r="D195" s="35">
        <v>70.0</v>
      </c>
      <c r="E195" s="37">
        <v>380.0</v>
      </c>
      <c r="F195" s="38">
        <f t="shared" si="2"/>
        <v>26600</v>
      </c>
      <c r="G195" s="35" t="s">
        <v>581</v>
      </c>
      <c r="H195" s="35" t="s">
        <v>35</v>
      </c>
      <c r="I195" s="35" t="s">
        <v>41</v>
      </c>
      <c r="J195" s="35" t="s">
        <v>34</v>
      </c>
      <c r="K195" s="35" t="s">
        <v>35</v>
      </c>
      <c r="L195" s="35" t="s">
        <v>585</v>
      </c>
      <c r="M195" s="39">
        <v>31.0</v>
      </c>
      <c r="N195" s="40">
        <v>46213.0</v>
      </c>
      <c r="O195" s="42" t="b">
        <v>1</v>
      </c>
      <c r="P195" s="44">
        <v>46213.0</v>
      </c>
      <c r="Q195" s="34"/>
      <c r="R195" s="33">
        <v>46211.0</v>
      </c>
      <c r="S195" s="34"/>
      <c r="T195" s="34"/>
    </row>
    <row r="196" ht="15.75" customHeight="1">
      <c r="B196" s="33">
        <v>46211.0</v>
      </c>
      <c r="C196" s="35">
        <v>13127.0</v>
      </c>
      <c r="D196" s="35">
        <v>50.0</v>
      </c>
      <c r="E196" s="37">
        <v>20.46</v>
      </c>
      <c r="F196" s="38">
        <f t="shared" si="2"/>
        <v>1023</v>
      </c>
      <c r="G196" s="35" t="s">
        <v>1206</v>
      </c>
      <c r="H196" s="35" t="s">
        <v>1207</v>
      </c>
      <c r="I196" s="35" t="s">
        <v>240</v>
      </c>
      <c r="J196" s="35" t="s">
        <v>183</v>
      </c>
      <c r="K196" s="35" t="s">
        <v>35</v>
      </c>
      <c r="L196" s="35" t="s">
        <v>340</v>
      </c>
      <c r="M196" s="39">
        <v>1.0</v>
      </c>
      <c r="N196" s="40">
        <v>46216.0</v>
      </c>
      <c r="O196" s="42" t="b">
        <v>1</v>
      </c>
      <c r="P196" s="44">
        <v>46218.0</v>
      </c>
      <c r="Q196" s="34"/>
      <c r="R196" s="34"/>
      <c r="S196" s="34"/>
      <c r="T196" s="34"/>
    </row>
    <row r="197" ht="15.75" customHeight="1">
      <c r="B197" s="33">
        <v>46211.0</v>
      </c>
      <c r="C197" s="35">
        <v>22620.0</v>
      </c>
      <c r="D197" s="35">
        <v>60.0</v>
      </c>
      <c r="E197" s="37">
        <v>46.9</v>
      </c>
      <c r="F197" s="38">
        <f t="shared" si="2"/>
        <v>2814</v>
      </c>
      <c r="G197" s="35" t="s">
        <v>1213</v>
      </c>
      <c r="H197" s="35" t="s">
        <v>1214</v>
      </c>
      <c r="I197" s="35" t="s">
        <v>41</v>
      </c>
      <c r="J197" s="35" t="s">
        <v>34</v>
      </c>
      <c r="K197" s="35" t="s">
        <v>35</v>
      </c>
      <c r="L197" s="35" t="s">
        <v>96</v>
      </c>
      <c r="M197" s="39">
        <v>31.0</v>
      </c>
      <c r="N197" s="40">
        <v>46211.0</v>
      </c>
      <c r="O197" s="42" t="b">
        <v>1</v>
      </c>
      <c r="P197" s="44">
        <v>46212.0</v>
      </c>
      <c r="Q197" s="34"/>
      <c r="R197" s="34"/>
      <c r="S197" s="34"/>
      <c r="T197" s="34"/>
    </row>
    <row r="198" ht="15.75" customHeight="1">
      <c r="B198" s="33">
        <v>46211.0</v>
      </c>
      <c r="C198" s="35">
        <v>22620.0</v>
      </c>
      <c r="D198" s="35">
        <v>12.0</v>
      </c>
      <c r="E198" s="37">
        <v>379.9</v>
      </c>
      <c r="F198" s="38">
        <f t="shared" si="2"/>
        <v>4558.8</v>
      </c>
      <c r="G198" s="35" t="s">
        <v>1217</v>
      </c>
      <c r="H198" s="35" t="s">
        <v>1218</v>
      </c>
      <c r="I198" s="35" t="s">
        <v>41</v>
      </c>
      <c r="J198" s="35" t="s">
        <v>34</v>
      </c>
      <c r="K198" s="35" t="s">
        <v>35</v>
      </c>
      <c r="L198" s="35" t="s">
        <v>96</v>
      </c>
      <c r="M198" s="39">
        <v>31.0</v>
      </c>
      <c r="N198" s="40">
        <v>46211.0</v>
      </c>
      <c r="O198" s="42" t="b">
        <v>1</v>
      </c>
      <c r="P198" s="44">
        <v>46212.0</v>
      </c>
      <c r="Q198" s="34"/>
      <c r="R198" s="34"/>
      <c r="S198" s="34"/>
      <c r="T198" s="34"/>
    </row>
    <row r="199" ht="15.75" customHeight="1">
      <c r="B199" s="33">
        <v>46211.0</v>
      </c>
      <c r="C199" s="35">
        <v>22620.0</v>
      </c>
      <c r="D199" s="35">
        <v>60.0</v>
      </c>
      <c r="E199" s="37">
        <v>89.9</v>
      </c>
      <c r="F199" s="38">
        <f t="shared" si="2"/>
        <v>5394</v>
      </c>
      <c r="G199" s="35" t="s">
        <v>207</v>
      </c>
      <c r="H199" s="35" t="s">
        <v>208</v>
      </c>
      <c r="I199" s="35" t="s">
        <v>41</v>
      </c>
      <c r="J199" s="35" t="s">
        <v>34</v>
      </c>
      <c r="K199" s="35" t="s">
        <v>35</v>
      </c>
      <c r="L199" s="35" t="s">
        <v>96</v>
      </c>
      <c r="M199" s="39">
        <v>31.0</v>
      </c>
      <c r="N199" s="40">
        <v>46211.0</v>
      </c>
      <c r="O199" s="42" t="b">
        <v>1</v>
      </c>
      <c r="P199" s="44">
        <v>46212.0</v>
      </c>
      <c r="Q199" s="34"/>
      <c r="R199" s="34"/>
      <c r="S199" s="34"/>
      <c r="T199" s="34"/>
    </row>
    <row r="200" ht="15.75" customHeight="1">
      <c r="B200" s="33">
        <v>46211.0</v>
      </c>
      <c r="C200" s="35">
        <v>22635.0</v>
      </c>
      <c r="D200" s="35">
        <v>10.0</v>
      </c>
      <c r="E200" s="37">
        <v>79.9</v>
      </c>
      <c r="F200" s="38">
        <f t="shared" si="2"/>
        <v>799</v>
      </c>
      <c r="G200" s="35" t="s">
        <v>1228</v>
      </c>
      <c r="H200" s="35" t="s">
        <v>1229</v>
      </c>
      <c r="I200" s="35" t="s">
        <v>41</v>
      </c>
      <c r="J200" s="35" t="s">
        <v>34</v>
      </c>
      <c r="K200" s="35" t="s">
        <v>35</v>
      </c>
      <c r="L200" s="35" t="s">
        <v>96</v>
      </c>
      <c r="M200" s="39">
        <v>31.0</v>
      </c>
      <c r="N200" s="40">
        <v>46211.0</v>
      </c>
      <c r="O200" s="42" t="b">
        <v>1</v>
      </c>
      <c r="P200" s="44">
        <v>46212.0</v>
      </c>
      <c r="Q200" s="34"/>
      <c r="R200" s="34"/>
      <c r="S200" s="34"/>
      <c r="T200" s="34"/>
    </row>
    <row r="201" ht="15.75" customHeight="1">
      <c r="B201" s="33">
        <v>46211.0</v>
      </c>
      <c r="C201" s="35">
        <v>22635.0</v>
      </c>
      <c r="D201" s="35">
        <v>3.0</v>
      </c>
      <c r="E201" s="37">
        <v>269.9</v>
      </c>
      <c r="F201" s="38">
        <f t="shared" si="2"/>
        <v>809.7</v>
      </c>
      <c r="G201" s="35" t="s">
        <v>1234</v>
      </c>
      <c r="H201" s="35" t="s">
        <v>200</v>
      </c>
      <c r="I201" s="35" t="s">
        <v>41</v>
      </c>
      <c r="J201" s="35" t="s">
        <v>34</v>
      </c>
      <c r="K201" s="35" t="s">
        <v>35</v>
      </c>
      <c r="L201" s="35" t="s">
        <v>96</v>
      </c>
      <c r="M201" s="39">
        <v>31.0</v>
      </c>
      <c r="N201" s="40">
        <v>46211.0</v>
      </c>
      <c r="O201" s="42" t="b">
        <v>1</v>
      </c>
      <c r="P201" s="44">
        <v>46212.0</v>
      </c>
      <c r="Q201" s="34"/>
      <c r="R201" s="33"/>
      <c r="S201" s="34"/>
      <c r="T201" s="35"/>
    </row>
    <row r="202" ht="15.75" customHeight="1">
      <c r="B202" s="33">
        <v>46211.0</v>
      </c>
      <c r="C202" s="35">
        <v>22635.0</v>
      </c>
      <c r="D202" s="35">
        <v>120.0</v>
      </c>
      <c r="E202" s="37">
        <v>18.99</v>
      </c>
      <c r="F202" s="38">
        <f t="shared" si="2"/>
        <v>2278.8</v>
      </c>
      <c r="G202" s="35" t="s">
        <v>1241</v>
      </c>
      <c r="H202" s="35" t="s">
        <v>1242</v>
      </c>
      <c r="I202" s="35" t="s">
        <v>41</v>
      </c>
      <c r="J202" s="35" t="s">
        <v>34</v>
      </c>
      <c r="K202" s="35" t="s">
        <v>35</v>
      </c>
      <c r="L202" s="35" t="s">
        <v>96</v>
      </c>
      <c r="M202" s="39">
        <v>31.0</v>
      </c>
      <c r="N202" s="40">
        <v>46211.0</v>
      </c>
      <c r="O202" s="42" t="b">
        <v>1</v>
      </c>
      <c r="P202" s="44">
        <v>46212.0</v>
      </c>
      <c r="Q202" s="34"/>
      <c r="R202" s="33"/>
      <c r="S202" s="34"/>
      <c r="T202" s="34"/>
    </row>
    <row r="203" ht="15.75" customHeight="1">
      <c r="B203" s="33">
        <v>46211.0</v>
      </c>
      <c r="C203" s="35">
        <v>92733.0</v>
      </c>
      <c r="D203" s="35">
        <v>100.0</v>
      </c>
      <c r="E203" s="37">
        <v>21.0</v>
      </c>
      <c r="F203" s="38">
        <f t="shared" si="2"/>
        <v>2100</v>
      </c>
      <c r="G203" s="35" t="s">
        <v>1248</v>
      </c>
      <c r="H203" s="35" t="s">
        <v>1249</v>
      </c>
      <c r="I203" s="35" t="s">
        <v>41</v>
      </c>
      <c r="J203" s="35" t="s">
        <v>34</v>
      </c>
      <c r="K203" s="35" t="s">
        <v>35</v>
      </c>
      <c r="L203" s="35" t="s">
        <v>1250</v>
      </c>
      <c r="M203" s="39">
        <v>31.0</v>
      </c>
      <c r="N203" s="47" t="s">
        <v>1251</v>
      </c>
      <c r="O203" s="42" t="b">
        <v>1</v>
      </c>
      <c r="P203" s="44">
        <v>46218.0</v>
      </c>
      <c r="Q203" s="34"/>
      <c r="R203" s="33">
        <v>46213.0</v>
      </c>
      <c r="S203" s="34"/>
      <c r="T203" s="34"/>
    </row>
    <row r="204" ht="15.75" customHeight="1">
      <c r="B204" s="33">
        <v>46211.0</v>
      </c>
      <c r="C204" s="35">
        <v>22687.0</v>
      </c>
      <c r="D204" s="35">
        <v>50.0</v>
      </c>
      <c r="E204" s="37">
        <v>23.99</v>
      </c>
      <c r="F204" s="38">
        <f t="shared" si="2"/>
        <v>1199.5</v>
      </c>
      <c r="G204" s="35" t="s">
        <v>1255</v>
      </c>
      <c r="H204" s="35" t="s">
        <v>1257</v>
      </c>
      <c r="I204" s="35" t="s">
        <v>32</v>
      </c>
      <c r="J204" s="35" t="s">
        <v>34</v>
      </c>
      <c r="K204" s="35" t="s">
        <v>35</v>
      </c>
      <c r="L204" s="35" t="s">
        <v>96</v>
      </c>
      <c r="M204" s="39">
        <v>31.0</v>
      </c>
      <c r="N204" s="40">
        <v>46210.0</v>
      </c>
      <c r="O204" s="42" t="b">
        <v>1</v>
      </c>
      <c r="P204" s="44">
        <v>46211.0</v>
      </c>
      <c r="Q204" s="34"/>
      <c r="R204" s="34"/>
      <c r="S204" s="34"/>
      <c r="T204" s="34"/>
    </row>
    <row r="205" ht="15.75" customHeight="1">
      <c r="B205" s="33">
        <v>46211.0</v>
      </c>
      <c r="C205" s="35">
        <v>22687.0</v>
      </c>
      <c r="D205" s="35">
        <v>10.0</v>
      </c>
      <c r="E205" s="37">
        <v>148.8</v>
      </c>
      <c r="F205" s="38">
        <f t="shared" si="2"/>
        <v>1488</v>
      </c>
      <c r="G205" s="35" t="s">
        <v>1259</v>
      </c>
      <c r="H205" s="35" t="s">
        <v>1261</v>
      </c>
      <c r="I205" s="35" t="s">
        <v>32</v>
      </c>
      <c r="J205" s="35" t="s">
        <v>34</v>
      </c>
      <c r="K205" s="35" t="s">
        <v>35</v>
      </c>
      <c r="L205" s="35" t="s">
        <v>96</v>
      </c>
      <c r="M205" s="39">
        <v>31.0</v>
      </c>
      <c r="N205" s="40">
        <v>46210.0</v>
      </c>
      <c r="O205" s="42" t="b">
        <v>1</v>
      </c>
      <c r="P205" s="44">
        <v>46211.0</v>
      </c>
      <c r="Q205" s="34"/>
      <c r="R205" s="34"/>
      <c r="S205" s="34"/>
      <c r="T205" s="34"/>
    </row>
    <row r="206" ht="15.75" customHeight="1">
      <c r="B206" s="33">
        <v>46211.0</v>
      </c>
      <c r="C206" s="35" t="s">
        <v>35</v>
      </c>
      <c r="D206" s="35">
        <v>2.0</v>
      </c>
      <c r="E206" s="37">
        <v>328.16</v>
      </c>
      <c r="F206" s="38">
        <f t="shared" si="2"/>
        <v>656.32</v>
      </c>
      <c r="G206" s="35" t="s">
        <v>1263</v>
      </c>
      <c r="H206" s="35" t="s">
        <v>35</v>
      </c>
      <c r="I206" s="35" t="s">
        <v>174</v>
      </c>
      <c r="J206" s="35" t="s">
        <v>175</v>
      </c>
      <c r="K206" s="35" t="s">
        <v>35</v>
      </c>
      <c r="L206" s="35" t="s">
        <v>1265</v>
      </c>
      <c r="M206" s="39">
        <v>1.0</v>
      </c>
      <c r="N206" s="40">
        <v>46215.0</v>
      </c>
      <c r="O206" s="42" t="b">
        <v>1</v>
      </c>
      <c r="P206" s="44">
        <v>46216.0</v>
      </c>
      <c r="Q206" s="34"/>
      <c r="R206" s="34"/>
      <c r="S206" s="34"/>
      <c r="T206" s="34"/>
    </row>
    <row r="207" ht="15.75" customHeight="1">
      <c r="B207" s="33">
        <v>46211.0</v>
      </c>
      <c r="C207" s="35" t="s">
        <v>35</v>
      </c>
      <c r="D207" s="35">
        <v>50.0</v>
      </c>
      <c r="E207" s="37">
        <v>380.0</v>
      </c>
      <c r="F207" s="38">
        <f t="shared" si="2"/>
        <v>19000</v>
      </c>
      <c r="G207" s="35" t="s">
        <v>581</v>
      </c>
      <c r="H207" s="35" t="s">
        <v>35</v>
      </c>
      <c r="I207" s="35" t="s">
        <v>59</v>
      </c>
      <c r="J207" s="35" t="s">
        <v>34</v>
      </c>
      <c r="K207" s="35" t="s">
        <v>35</v>
      </c>
      <c r="L207" s="35" t="s">
        <v>585</v>
      </c>
      <c r="M207" s="39">
        <v>31.0</v>
      </c>
      <c r="N207" s="40">
        <v>46212.0</v>
      </c>
      <c r="O207" s="42" t="b">
        <v>1</v>
      </c>
      <c r="P207" s="44">
        <v>46210.0</v>
      </c>
      <c r="Q207" s="34"/>
      <c r="R207" s="33">
        <v>46213.0</v>
      </c>
      <c r="S207" s="34"/>
      <c r="T207" s="34"/>
    </row>
    <row r="208" ht="15.75" customHeight="1">
      <c r="B208" s="33">
        <v>46211.0</v>
      </c>
      <c r="C208" s="35" t="s">
        <v>35</v>
      </c>
      <c r="D208" s="35">
        <v>30.0</v>
      </c>
      <c r="E208" s="37">
        <v>380.0</v>
      </c>
      <c r="F208" s="38">
        <f t="shared" si="2"/>
        <v>11400</v>
      </c>
      <c r="G208" s="35" t="s">
        <v>581</v>
      </c>
      <c r="H208" s="35" t="s">
        <v>35</v>
      </c>
      <c r="I208" s="35" t="s">
        <v>41</v>
      </c>
      <c r="J208" s="35" t="s">
        <v>40</v>
      </c>
      <c r="K208" s="35" t="s">
        <v>35</v>
      </c>
      <c r="L208" s="35" t="s">
        <v>585</v>
      </c>
      <c r="M208" s="39">
        <v>31.0</v>
      </c>
      <c r="N208" s="40">
        <v>46212.0</v>
      </c>
      <c r="O208" s="42" t="b">
        <v>1</v>
      </c>
      <c r="P208" s="44">
        <v>46213.0</v>
      </c>
      <c r="Q208" s="34"/>
      <c r="R208" s="33">
        <v>46212.0</v>
      </c>
      <c r="S208" s="34"/>
      <c r="T208" s="34"/>
    </row>
    <row r="209" ht="15.75" customHeight="1">
      <c r="B209" s="33">
        <v>46211.0</v>
      </c>
      <c r="C209" s="35">
        <v>924774.0</v>
      </c>
      <c r="D209" s="35">
        <v>300.0</v>
      </c>
      <c r="E209" s="37">
        <v>81.5</v>
      </c>
      <c r="F209" s="38">
        <f t="shared" si="2"/>
        <v>24450</v>
      </c>
      <c r="G209" s="35" t="s">
        <v>1277</v>
      </c>
      <c r="H209" s="35">
        <v>61188.0</v>
      </c>
      <c r="I209" s="35" t="s">
        <v>41</v>
      </c>
      <c r="J209" s="35" t="s">
        <v>34</v>
      </c>
      <c r="K209" s="35" t="s">
        <v>35</v>
      </c>
      <c r="L209" s="35" t="s">
        <v>43</v>
      </c>
      <c r="M209" s="39">
        <v>1.0</v>
      </c>
      <c r="N209" s="40">
        <v>46216.0</v>
      </c>
      <c r="O209" s="42" t="b">
        <v>1</v>
      </c>
      <c r="P209" s="44">
        <v>46217.0</v>
      </c>
      <c r="Q209" s="34"/>
      <c r="R209" s="34"/>
      <c r="S209" s="34"/>
      <c r="T209" s="34"/>
    </row>
    <row r="210" ht="15.75" customHeight="1">
      <c r="B210" s="33">
        <v>46211.0</v>
      </c>
      <c r="C210" s="35">
        <v>22635.0</v>
      </c>
      <c r="D210" s="35">
        <v>4.0</v>
      </c>
      <c r="E210" s="37">
        <v>169.9</v>
      </c>
      <c r="F210" s="38">
        <f t="shared" si="2"/>
        <v>679.6</v>
      </c>
      <c r="G210" s="35" t="s">
        <v>1278</v>
      </c>
      <c r="H210" s="35" t="s">
        <v>184</v>
      </c>
      <c r="I210" s="35" t="s">
        <v>41</v>
      </c>
      <c r="J210" s="35" t="s">
        <v>34</v>
      </c>
      <c r="K210" s="35" t="s">
        <v>35</v>
      </c>
      <c r="L210" s="35" t="s">
        <v>96</v>
      </c>
      <c r="M210" s="39">
        <v>31.0</v>
      </c>
      <c r="N210" s="40">
        <v>46211.0</v>
      </c>
      <c r="O210" s="42" t="b">
        <v>1</v>
      </c>
      <c r="P210" s="44">
        <v>46212.0</v>
      </c>
      <c r="Q210" s="34"/>
      <c r="R210" s="34"/>
      <c r="S210" s="34"/>
      <c r="T210" s="34"/>
    </row>
    <row r="211" ht="15.75" customHeight="1">
      <c r="B211" s="33">
        <v>46211.0</v>
      </c>
      <c r="C211" s="35">
        <v>16936.0</v>
      </c>
      <c r="D211" s="35">
        <v>1200.0</v>
      </c>
      <c r="E211" s="37">
        <v>14.3</v>
      </c>
      <c r="F211" s="38">
        <f t="shared" si="2"/>
        <v>17160</v>
      </c>
      <c r="G211" s="35" t="s">
        <v>1285</v>
      </c>
      <c r="H211" s="35" t="s">
        <v>35</v>
      </c>
      <c r="I211" s="35" t="s">
        <v>59</v>
      </c>
      <c r="J211" s="35" t="s">
        <v>34</v>
      </c>
      <c r="K211" s="35" t="s">
        <v>35</v>
      </c>
      <c r="L211" s="35" t="s">
        <v>877</v>
      </c>
      <c r="M211" s="39">
        <v>1.0</v>
      </c>
      <c r="N211" s="40">
        <v>46215.0</v>
      </c>
      <c r="O211" s="42" t="b">
        <v>1</v>
      </c>
      <c r="P211" s="44">
        <v>46216.0</v>
      </c>
      <c r="Q211" s="34"/>
      <c r="R211" s="34"/>
      <c r="S211" s="34"/>
      <c r="T211" s="34"/>
    </row>
    <row r="212" ht="15.75" customHeight="1">
      <c r="B212" s="33">
        <v>46211.0</v>
      </c>
      <c r="C212" s="35">
        <v>16936.0</v>
      </c>
      <c r="D212" s="35">
        <v>1200.0</v>
      </c>
      <c r="E212" s="37">
        <v>18.0</v>
      </c>
      <c r="F212" s="38">
        <f t="shared" si="2"/>
        <v>21600</v>
      </c>
      <c r="G212" s="35" t="s">
        <v>1288</v>
      </c>
      <c r="H212" s="35" t="s">
        <v>35</v>
      </c>
      <c r="I212" s="35" t="s">
        <v>59</v>
      </c>
      <c r="J212" s="35" t="s">
        <v>34</v>
      </c>
      <c r="K212" s="35" t="s">
        <v>35</v>
      </c>
      <c r="L212" s="35" t="s">
        <v>877</v>
      </c>
      <c r="M212" s="39">
        <v>1.0</v>
      </c>
      <c r="N212" s="40">
        <v>46215.0</v>
      </c>
      <c r="O212" s="42" t="b">
        <v>1</v>
      </c>
      <c r="P212" s="44">
        <v>46216.0</v>
      </c>
      <c r="Q212" s="34"/>
      <c r="R212" s="34"/>
      <c r="S212" s="34"/>
      <c r="T212" s="34"/>
    </row>
    <row r="213" ht="15.75" customHeight="1">
      <c r="B213" s="33">
        <v>46211.0</v>
      </c>
      <c r="C213" s="35">
        <v>16936.0</v>
      </c>
      <c r="D213" s="35">
        <v>1200.0</v>
      </c>
      <c r="E213" s="37">
        <v>26.4</v>
      </c>
      <c r="F213" s="38">
        <f t="shared" si="2"/>
        <v>31680</v>
      </c>
      <c r="G213" s="35" t="s">
        <v>1293</v>
      </c>
      <c r="H213" s="35" t="s">
        <v>35</v>
      </c>
      <c r="I213" s="35" t="s">
        <v>59</v>
      </c>
      <c r="J213" s="35" t="s">
        <v>34</v>
      </c>
      <c r="K213" s="35" t="s">
        <v>35</v>
      </c>
      <c r="L213" s="35" t="s">
        <v>877</v>
      </c>
      <c r="M213" s="39">
        <v>1.0</v>
      </c>
      <c r="N213" s="40">
        <v>46215.0</v>
      </c>
      <c r="O213" s="42" t="b">
        <v>1</v>
      </c>
      <c r="P213" s="44">
        <v>46216.0</v>
      </c>
      <c r="Q213" s="34"/>
      <c r="R213" s="34"/>
      <c r="S213" s="34"/>
      <c r="T213" s="34"/>
    </row>
    <row r="214" ht="15.75" customHeight="1">
      <c r="B214" s="33">
        <v>46211.0</v>
      </c>
      <c r="C214" s="35">
        <v>16936.0</v>
      </c>
      <c r="D214" s="35">
        <v>600.0</v>
      </c>
      <c r="E214" s="37">
        <v>9.7</v>
      </c>
      <c r="F214" s="38">
        <f t="shared" si="2"/>
        <v>5820</v>
      </c>
      <c r="G214" s="35" t="s">
        <v>1297</v>
      </c>
      <c r="H214" s="35" t="s">
        <v>35</v>
      </c>
      <c r="I214" s="35" t="s">
        <v>59</v>
      </c>
      <c r="J214" s="35" t="s">
        <v>34</v>
      </c>
      <c r="K214" s="35" t="s">
        <v>35</v>
      </c>
      <c r="L214" s="35" t="s">
        <v>877</v>
      </c>
      <c r="M214" s="39">
        <v>1.0</v>
      </c>
      <c r="N214" s="40">
        <v>46215.0</v>
      </c>
      <c r="O214" s="42" t="b">
        <v>1</v>
      </c>
      <c r="P214" s="44">
        <v>46216.0</v>
      </c>
      <c r="Q214" s="34"/>
      <c r="R214" s="34"/>
      <c r="S214" s="34"/>
      <c r="T214" s="34"/>
    </row>
    <row r="215" ht="15.75" customHeight="1">
      <c r="B215" s="33">
        <v>46211.0</v>
      </c>
      <c r="C215" s="35">
        <v>16936.0</v>
      </c>
      <c r="D215" s="35">
        <v>600.0</v>
      </c>
      <c r="E215" s="37">
        <v>11.3</v>
      </c>
      <c r="F215" s="38">
        <f t="shared" si="2"/>
        <v>6780</v>
      </c>
      <c r="G215" s="35" t="s">
        <v>1301</v>
      </c>
      <c r="H215" s="35" t="s">
        <v>35</v>
      </c>
      <c r="I215" s="35" t="s">
        <v>59</v>
      </c>
      <c r="J215" s="35" t="s">
        <v>34</v>
      </c>
      <c r="K215" s="35" t="s">
        <v>35</v>
      </c>
      <c r="L215" s="35" t="s">
        <v>877</v>
      </c>
      <c r="M215" s="39">
        <v>1.0</v>
      </c>
      <c r="N215" s="40">
        <v>46215.0</v>
      </c>
      <c r="O215" s="42" t="b">
        <v>1</v>
      </c>
      <c r="P215" s="44">
        <v>46216.0</v>
      </c>
      <c r="Q215" s="34"/>
      <c r="R215" s="34"/>
      <c r="S215" s="34"/>
      <c r="T215" s="34"/>
    </row>
    <row r="216" ht="15.75" customHeight="1">
      <c r="B216" s="33">
        <v>46211.0</v>
      </c>
      <c r="C216" s="35">
        <v>16936.0</v>
      </c>
      <c r="D216" s="35">
        <v>600.0</v>
      </c>
      <c r="E216" s="37">
        <v>10.2</v>
      </c>
      <c r="F216" s="38">
        <f t="shared" si="2"/>
        <v>6120</v>
      </c>
      <c r="G216" s="35" t="s">
        <v>1310</v>
      </c>
      <c r="H216" s="35" t="s">
        <v>35</v>
      </c>
      <c r="I216" s="35" t="s">
        <v>59</v>
      </c>
      <c r="J216" s="35" t="s">
        <v>34</v>
      </c>
      <c r="K216" s="35" t="s">
        <v>35</v>
      </c>
      <c r="L216" s="35" t="s">
        <v>877</v>
      </c>
      <c r="M216" s="39">
        <v>1.0</v>
      </c>
      <c r="N216" s="40">
        <v>46215.0</v>
      </c>
      <c r="O216" s="42" t="b">
        <v>1</v>
      </c>
      <c r="P216" s="44">
        <v>46216.0</v>
      </c>
      <c r="Q216" s="34"/>
      <c r="R216" s="34"/>
      <c r="S216" s="34"/>
      <c r="T216" s="34"/>
    </row>
    <row r="217" ht="15.75" customHeight="1">
      <c r="B217" s="33">
        <v>46211.0</v>
      </c>
      <c r="C217" s="35">
        <v>16936.0</v>
      </c>
      <c r="D217" s="35">
        <v>1200.0</v>
      </c>
      <c r="E217" s="37">
        <v>12.1</v>
      </c>
      <c r="F217" s="38">
        <f t="shared" si="2"/>
        <v>14520</v>
      </c>
      <c r="G217" s="35" t="s">
        <v>1315</v>
      </c>
      <c r="H217" s="35" t="s">
        <v>35</v>
      </c>
      <c r="I217" s="35" t="s">
        <v>59</v>
      </c>
      <c r="J217" s="35" t="s">
        <v>34</v>
      </c>
      <c r="K217" s="35" t="s">
        <v>35</v>
      </c>
      <c r="L217" s="35" t="s">
        <v>877</v>
      </c>
      <c r="M217" s="39">
        <v>1.0</v>
      </c>
      <c r="N217" s="40">
        <v>46215.0</v>
      </c>
      <c r="O217" s="42" t="b">
        <v>1</v>
      </c>
      <c r="P217" s="44">
        <v>46216.0</v>
      </c>
      <c r="Q217" s="34"/>
      <c r="R217" s="34"/>
      <c r="S217" s="34"/>
      <c r="T217" s="35"/>
    </row>
    <row r="218" ht="15.75" customHeight="1">
      <c r="B218" s="33">
        <v>46211.0</v>
      </c>
      <c r="C218" s="35">
        <v>16936.0</v>
      </c>
      <c r="D218" s="35">
        <v>1200.0</v>
      </c>
      <c r="E218" s="37">
        <v>13.8</v>
      </c>
      <c r="F218" s="38">
        <f t="shared" si="2"/>
        <v>16560</v>
      </c>
      <c r="G218" s="35" t="s">
        <v>1318</v>
      </c>
      <c r="H218" s="35" t="s">
        <v>35</v>
      </c>
      <c r="I218" s="35" t="s">
        <v>59</v>
      </c>
      <c r="J218" s="35" t="s">
        <v>34</v>
      </c>
      <c r="K218" s="35" t="s">
        <v>35</v>
      </c>
      <c r="L218" s="35" t="s">
        <v>877</v>
      </c>
      <c r="M218" s="39">
        <v>1.0</v>
      </c>
      <c r="N218" s="40">
        <v>46215.0</v>
      </c>
      <c r="O218" s="42" t="b">
        <v>1</v>
      </c>
      <c r="P218" s="44">
        <v>46216.0</v>
      </c>
      <c r="Q218" s="34"/>
      <c r="R218" s="34"/>
      <c r="S218" s="34"/>
      <c r="T218" s="35"/>
    </row>
    <row r="219" ht="15.75" customHeight="1">
      <c r="B219" s="33">
        <v>46211.0</v>
      </c>
      <c r="C219" s="35">
        <v>16936.0</v>
      </c>
      <c r="D219" s="35">
        <v>1200.0</v>
      </c>
      <c r="E219" s="37">
        <v>20.4</v>
      </c>
      <c r="F219" s="38">
        <f t="shared" si="2"/>
        <v>24480</v>
      </c>
      <c r="G219" s="35" t="s">
        <v>1325</v>
      </c>
      <c r="H219" s="35" t="s">
        <v>35</v>
      </c>
      <c r="I219" s="35" t="s">
        <v>59</v>
      </c>
      <c r="J219" s="35" t="s">
        <v>34</v>
      </c>
      <c r="K219" s="35" t="s">
        <v>35</v>
      </c>
      <c r="L219" s="35" t="s">
        <v>877</v>
      </c>
      <c r="M219" s="39">
        <v>1.0</v>
      </c>
      <c r="N219" s="40">
        <v>46215.0</v>
      </c>
      <c r="O219" s="42" t="b">
        <v>1</v>
      </c>
      <c r="P219" s="44">
        <v>46216.0</v>
      </c>
      <c r="Q219" s="34"/>
      <c r="R219" s="34"/>
      <c r="S219" s="34"/>
      <c r="T219" s="34"/>
    </row>
    <row r="220" ht="15.75" customHeight="1">
      <c r="B220" s="33">
        <v>46211.0</v>
      </c>
      <c r="C220" s="46" t="s">
        <v>1329</v>
      </c>
      <c r="D220" s="35">
        <v>20.0</v>
      </c>
      <c r="E220" s="37">
        <v>2070.0</v>
      </c>
      <c r="F220" s="38">
        <f t="shared" si="2"/>
        <v>41400</v>
      </c>
      <c r="G220" s="35" t="s">
        <v>1332</v>
      </c>
      <c r="H220" s="35" t="s">
        <v>1333</v>
      </c>
      <c r="I220" s="35" t="s">
        <v>39</v>
      </c>
      <c r="J220" s="35" t="s">
        <v>40</v>
      </c>
      <c r="K220" s="35" t="s">
        <v>35</v>
      </c>
      <c r="L220" s="35" t="s">
        <v>62</v>
      </c>
      <c r="M220" s="39">
        <v>1.0</v>
      </c>
      <c r="N220" s="40">
        <v>46216.0</v>
      </c>
      <c r="O220" s="42" t="b">
        <v>1</v>
      </c>
      <c r="P220" s="44">
        <v>46217.0</v>
      </c>
      <c r="Q220" s="34"/>
      <c r="R220" s="35"/>
      <c r="S220" s="34"/>
      <c r="T220" s="34"/>
    </row>
    <row r="221" ht="15.75" customHeight="1">
      <c r="B221" s="33">
        <v>46211.0</v>
      </c>
      <c r="C221" s="35" t="s">
        <v>35</v>
      </c>
      <c r="D221" s="35">
        <v>7.0</v>
      </c>
      <c r="E221" s="37">
        <v>2801.66</v>
      </c>
      <c r="F221" s="38">
        <f t="shared" si="2"/>
        <v>19611.62</v>
      </c>
      <c r="G221" s="35" t="s">
        <v>1337</v>
      </c>
      <c r="H221" s="35" t="s">
        <v>35</v>
      </c>
      <c r="I221" s="35" t="s">
        <v>237</v>
      </c>
      <c r="J221" s="35" t="s">
        <v>175</v>
      </c>
      <c r="K221" s="35" t="s">
        <v>35</v>
      </c>
      <c r="L221" s="35" t="s">
        <v>711</v>
      </c>
      <c r="M221" s="39">
        <v>31.0</v>
      </c>
      <c r="N221" s="40">
        <v>46217.0</v>
      </c>
      <c r="O221" s="42" t="b">
        <v>1</v>
      </c>
      <c r="P221" s="44">
        <v>46220.0</v>
      </c>
      <c r="Q221" s="34"/>
      <c r="R221" s="34"/>
      <c r="S221" s="34"/>
      <c r="T221" s="34"/>
    </row>
    <row r="222" ht="15.75" customHeight="1">
      <c r="B222" s="33">
        <v>46211.0</v>
      </c>
      <c r="C222" s="35" t="s">
        <v>35</v>
      </c>
      <c r="D222" s="35">
        <v>9.0</v>
      </c>
      <c r="E222" s="37">
        <v>3320.97</v>
      </c>
      <c r="F222" s="38">
        <f t="shared" si="2"/>
        <v>29888.73</v>
      </c>
      <c r="G222" s="35" t="s">
        <v>1343</v>
      </c>
      <c r="H222" s="35" t="s">
        <v>35</v>
      </c>
      <c r="I222" s="35" t="s">
        <v>237</v>
      </c>
      <c r="J222" s="35" t="s">
        <v>175</v>
      </c>
      <c r="K222" s="35" t="s">
        <v>35</v>
      </c>
      <c r="L222" s="35" t="s">
        <v>711</v>
      </c>
      <c r="M222" s="39">
        <v>31.0</v>
      </c>
      <c r="N222" s="40">
        <v>46217.0</v>
      </c>
      <c r="O222" s="42" t="b">
        <v>1</v>
      </c>
      <c r="P222" s="44">
        <v>46220.0</v>
      </c>
      <c r="Q222" s="34"/>
      <c r="R222" s="34"/>
      <c r="S222" s="34"/>
      <c r="T222" s="34"/>
    </row>
    <row r="223" ht="15.75" customHeight="1">
      <c r="B223" s="33">
        <v>46211.0</v>
      </c>
      <c r="C223" s="35">
        <v>22958.0</v>
      </c>
      <c r="D223" s="35">
        <v>200.0</v>
      </c>
      <c r="E223" s="37">
        <v>2.771</v>
      </c>
      <c r="F223" s="38">
        <f t="shared" si="2"/>
        <v>554.2</v>
      </c>
      <c r="G223" s="35" t="s">
        <v>1349</v>
      </c>
      <c r="H223" s="35" t="s">
        <v>1350</v>
      </c>
      <c r="I223" s="35" t="s">
        <v>41</v>
      </c>
      <c r="J223" s="35" t="s">
        <v>34</v>
      </c>
      <c r="K223" s="35" t="s">
        <v>35</v>
      </c>
      <c r="L223" s="35" t="s">
        <v>719</v>
      </c>
      <c r="M223" s="39">
        <v>31.0</v>
      </c>
      <c r="N223" s="40">
        <v>46213.0</v>
      </c>
      <c r="O223" s="42" t="b">
        <v>1</v>
      </c>
      <c r="P223" s="44">
        <v>46216.0</v>
      </c>
      <c r="Q223" s="34"/>
      <c r="R223" s="34"/>
      <c r="S223" s="34"/>
      <c r="T223" s="34"/>
    </row>
    <row r="224" ht="15.75" customHeight="1">
      <c r="B224" s="33">
        <v>46211.0</v>
      </c>
      <c r="C224" s="35">
        <v>22958.0</v>
      </c>
      <c r="D224" s="35">
        <v>200.0</v>
      </c>
      <c r="E224" s="37">
        <v>2.771</v>
      </c>
      <c r="F224" s="38">
        <f t="shared" si="2"/>
        <v>554.2</v>
      </c>
      <c r="G224" s="35" t="s">
        <v>1357</v>
      </c>
      <c r="H224" s="35" t="s">
        <v>1359</v>
      </c>
      <c r="I224" s="35" t="s">
        <v>41</v>
      </c>
      <c r="J224" s="35" t="s">
        <v>34</v>
      </c>
      <c r="K224" s="35" t="s">
        <v>35</v>
      </c>
      <c r="L224" s="35" t="s">
        <v>719</v>
      </c>
      <c r="M224" s="39">
        <v>31.0</v>
      </c>
      <c r="N224" s="40">
        <v>46213.0</v>
      </c>
      <c r="O224" s="42" t="b">
        <v>1</v>
      </c>
      <c r="P224" s="44">
        <v>46216.0</v>
      </c>
      <c r="Q224" s="34"/>
      <c r="R224" s="34"/>
      <c r="S224" s="34"/>
      <c r="T224" s="34"/>
    </row>
    <row r="225" ht="15.75" customHeight="1">
      <c r="B225" s="33">
        <v>46211.0</v>
      </c>
      <c r="C225" s="35">
        <v>22958.0</v>
      </c>
      <c r="D225" s="35">
        <v>200.0</v>
      </c>
      <c r="E225" s="37">
        <v>2.771</v>
      </c>
      <c r="F225" s="38">
        <f t="shared" si="2"/>
        <v>554.2</v>
      </c>
      <c r="G225" s="35" t="s">
        <v>1362</v>
      </c>
      <c r="H225" s="35" t="s">
        <v>1364</v>
      </c>
      <c r="I225" s="35" t="s">
        <v>41</v>
      </c>
      <c r="J225" s="35" t="s">
        <v>34</v>
      </c>
      <c r="K225" s="35" t="s">
        <v>35</v>
      </c>
      <c r="L225" s="35" t="s">
        <v>719</v>
      </c>
      <c r="M225" s="39">
        <v>31.0</v>
      </c>
      <c r="N225" s="40">
        <v>46213.0</v>
      </c>
      <c r="O225" s="42" t="b">
        <v>1</v>
      </c>
      <c r="P225" s="44">
        <v>46216.0</v>
      </c>
      <c r="Q225" s="34"/>
      <c r="R225" s="34"/>
      <c r="S225" s="34"/>
      <c r="T225" s="34"/>
    </row>
    <row r="226" ht="15.75" customHeight="1">
      <c r="B226" s="33">
        <v>46211.0</v>
      </c>
      <c r="C226" s="35">
        <v>22958.0</v>
      </c>
      <c r="D226" s="35">
        <v>200.0</v>
      </c>
      <c r="E226" s="37">
        <v>4.371</v>
      </c>
      <c r="F226" s="38">
        <f t="shared" si="2"/>
        <v>874.2</v>
      </c>
      <c r="G226" s="35" t="s">
        <v>1372</v>
      </c>
      <c r="H226" s="35" t="s">
        <v>1373</v>
      </c>
      <c r="I226" s="35" t="s">
        <v>41</v>
      </c>
      <c r="J226" s="35" t="s">
        <v>34</v>
      </c>
      <c r="K226" s="35" t="s">
        <v>35</v>
      </c>
      <c r="L226" s="35" t="s">
        <v>719</v>
      </c>
      <c r="M226" s="39">
        <v>31.0</v>
      </c>
      <c r="N226" s="40">
        <v>46213.0</v>
      </c>
      <c r="O226" s="42" t="b">
        <v>1</v>
      </c>
      <c r="P226" s="44">
        <v>46216.0</v>
      </c>
      <c r="Q226" s="34"/>
      <c r="R226" s="34"/>
      <c r="S226" s="34"/>
      <c r="T226" s="34"/>
    </row>
    <row r="227" ht="15.75" customHeight="1">
      <c r="B227" s="33">
        <v>46211.0</v>
      </c>
      <c r="C227" s="35">
        <v>22958.0</v>
      </c>
      <c r="D227" s="35">
        <v>200.0</v>
      </c>
      <c r="E227" s="37">
        <v>3.432</v>
      </c>
      <c r="F227" s="38">
        <f t="shared" si="2"/>
        <v>686.4</v>
      </c>
      <c r="G227" s="35" t="s">
        <v>1375</v>
      </c>
      <c r="H227" s="35" t="s">
        <v>1376</v>
      </c>
      <c r="I227" s="35" t="s">
        <v>41</v>
      </c>
      <c r="J227" s="35" t="s">
        <v>34</v>
      </c>
      <c r="K227" s="35" t="s">
        <v>35</v>
      </c>
      <c r="L227" s="35" t="s">
        <v>719</v>
      </c>
      <c r="M227" s="39">
        <v>31.0</v>
      </c>
      <c r="N227" s="40">
        <v>46213.0</v>
      </c>
      <c r="O227" s="42" t="b">
        <v>1</v>
      </c>
      <c r="P227" s="44">
        <v>46216.0</v>
      </c>
      <c r="Q227" s="34"/>
      <c r="R227" s="34"/>
      <c r="S227" s="34"/>
      <c r="T227" s="34"/>
    </row>
    <row r="228" ht="15.75" customHeight="1">
      <c r="B228" s="33">
        <v>46211.0</v>
      </c>
      <c r="C228" s="35">
        <v>22958.0</v>
      </c>
      <c r="D228" s="35">
        <v>200.0</v>
      </c>
      <c r="E228" s="37">
        <v>5.487</v>
      </c>
      <c r="F228" s="38">
        <f t="shared" si="2"/>
        <v>1097.4</v>
      </c>
      <c r="G228" s="35" t="s">
        <v>1381</v>
      </c>
      <c r="H228" s="35" t="s">
        <v>1382</v>
      </c>
      <c r="I228" s="35" t="s">
        <v>41</v>
      </c>
      <c r="J228" s="35" t="s">
        <v>34</v>
      </c>
      <c r="K228" s="35" t="s">
        <v>35</v>
      </c>
      <c r="L228" s="35" t="s">
        <v>719</v>
      </c>
      <c r="M228" s="39">
        <v>31.0</v>
      </c>
      <c r="N228" s="40">
        <v>46213.0</v>
      </c>
      <c r="O228" s="42" t="b">
        <v>1</v>
      </c>
      <c r="P228" s="44">
        <v>46216.0</v>
      </c>
      <c r="Q228" s="34"/>
      <c r="R228" s="34"/>
      <c r="S228" s="34"/>
      <c r="T228" s="34"/>
    </row>
    <row r="229" ht="15.75" customHeight="1">
      <c r="B229" s="33">
        <v>46211.0</v>
      </c>
      <c r="C229" s="35">
        <v>22958.0</v>
      </c>
      <c r="D229" s="35">
        <v>200.0</v>
      </c>
      <c r="E229" s="37">
        <v>3.618</v>
      </c>
      <c r="F229" s="38">
        <f t="shared" si="2"/>
        <v>723.6</v>
      </c>
      <c r="G229" s="35" t="s">
        <v>1385</v>
      </c>
      <c r="H229" s="35" t="s">
        <v>1386</v>
      </c>
      <c r="I229" s="35" t="s">
        <v>41</v>
      </c>
      <c r="J229" s="35" t="s">
        <v>34</v>
      </c>
      <c r="K229" s="35" t="s">
        <v>35</v>
      </c>
      <c r="L229" s="35" t="s">
        <v>719</v>
      </c>
      <c r="M229" s="39">
        <v>31.0</v>
      </c>
      <c r="N229" s="40">
        <v>46213.0</v>
      </c>
      <c r="O229" s="42" t="b">
        <v>1</v>
      </c>
      <c r="P229" s="44">
        <v>46216.0</v>
      </c>
      <c r="Q229" s="34"/>
      <c r="R229" s="34"/>
      <c r="S229" s="34"/>
      <c r="T229" s="34"/>
    </row>
    <row r="230" ht="15.75" customHeight="1">
      <c r="B230" s="33">
        <v>46211.0</v>
      </c>
      <c r="C230" s="35">
        <v>22958.0</v>
      </c>
      <c r="D230" s="35">
        <v>200.0</v>
      </c>
      <c r="E230" s="37">
        <v>2.771</v>
      </c>
      <c r="F230" s="38">
        <f t="shared" si="2"/>
        <v>554.2</v>
      </c>
      <c r="G230" s="35" t="s">
        <v>1393</v>
      </c>
      <c r="H230" s="35" t="s">
        <v>1395</v>
      </c>
      <c r="I230" s="35" t="s">
        <v>41</v>
      </c>
      <c r="J230" s="35" t="s">
        <v>34</v>
      </c>
      <c r="K230" s="35" t="s">
        <v>35</v>
      </c>
      <c r="L230" s="35" t="s">
        <v>719</v>
      </c>
      <c r="M230" s="39">
        <v>31.0</v>
      </c>
      <c r="N230" s="40">
        <v>46213.0</v>
      </c>
      <c r="O230" s="42" t="b">
        <v>1</v>
      </c>
      <c r="P230" s="44">
        <v>46216.0</v>
      </c>
      <c r="Q230" s="34"/>
      <c r="R230" s="34"/>
      <c r="S230" s="34"/>
      <c r="T230" s="34"/>
    </row>
    <row r="231" ht="15.75" customHeight="1">
      <c r="B231" s="33">
        <v>46211.0</v>
      </c>
      <c r="C231" s="35">
        <v>22958.0</v>
      </c>
      <c r="D231" s="35">
        <v>200.0</v>
      </c>
      <c r="E231" s="37">
        <v>6.045</v>
      </c>
      <c r="F231" s="38">
        <f t="shared" si="2"/>
        <v>1209</v>
      </c>
      <c r="G231" s="35" t="s">
        <v>1397</v>
      </c>
      <c r="H231" s="35" t="s">
        <v>1398</v>
      </c>
      <c r="I231" s="35" t="s">
        <v>41</v>
      </c>
      <c r="J231" s="35" t="s">
        <v>34</v>
      </c>
      <c r="K231" s="35" t="s">
        <v>35</v>
      </c>
      <c r="L231" s="35" t="s">
        <v>719</v>
      </c>
      <c r="M231" s="39">
        <v>31.0</v>
      </c>
      <c r="N231" s="40">
        <v>46213.0</v>
      </c>
      <c r="O231" s="42" t="b">
        <v>1</v>
      </c>
      <c r="P231" s="44">
        <v>46216.0</v>
      </c>
      <c r="Q231" s="34"/>
      <c r="R231" s="34"/>
      <c r="S231" s="34"/>
      <c r="T231" s="34"/>
    </row>
    <row r="232" ht="15.75" customHeight="1">
      <c r="B232" s="33">
        <v>46211.0</v>
      </c>
      <c r="C232" s="35">
        <v>22958.0</v>
      </c>
      <c r="D232" s="35">
        <v>200.0</v>
      </c>
      <c r="E232" s="37">
        <v>4.929</v>
      </c>
      <c r="F232" s="38">
        <f t="shared" si="2"/>
        <v>985.8</v>
      </c>
      <c r="G232" s="35" t="s">
        <v>1404</v>
      </c>
      <c r="H232" s="35" t="s">
        <v>1405</v>
      </c>
      <c r="I232" s="35" t="s">
        <v>41</v>
      </c>
      <c r="J232" s="35" t="s">
        <v>34</v>
      </c>
      <c r="K232" s="35" t="s">
        <v>35</v>
      </c>
      <c r="L232" s="35" t="s">
        <v>719</v>
      </c>
      <c r="M232" s="39">
        <v>31.0</v>
      </c>
      <c r="N232" s="40">
        <v>46213.0</v>
      </c>
      <c r="O232" s="42" t="b">
        <v>1</v>
      </c>
      <c r="P232" s="44">
        <v>46216.0</v>
      </c>
      <c r="Q232" s="34"/>
      <c r="R232" s="34"/>
      <c r="S232" s="34"/>
      <c r="T232" s="35"/>
    </row>
    <row r="233" ht="15.75" customHeight="1">
      <c r="B233" s="33">
        <v>46211.0</v>
      </c>
      <c r="C233" s="35">
        <v>22958.0</v>
      </c>
      <c r="D233" s="35">
        <v>200.0</v>
      </c>
      <c r="E233" s="37">
        <v>4.185</v>
      </c>
      <c r="F233" s="38">
        <f t="shared" si="2"/>
        <v>837</v>
      </c>
      <c r="G233" s="35" t="s">
        <v>1409</v>
      </c>
      <c r="H233" s="35" t="s">
        <v>1410</v>
      </c>
      <c r="I233" s="35" t="s">
        <v>41</v>
      </c>
      <c r="J233" s="35" t="s">
        <v>34</v>
      </c>
      <c r="K233" s="35" t="s">
        <v>35</v>
      </c>
      <c r="L233" s="35" t="s">
        <v>719</v>
      </c>
      <c r="M233" s="39">
        <v>31.0</v>
      </c>
      <c r="N233" s="40">
        <v>46213.0</v>
      </c>
      <c r="O233" s="42" t="b">
        <v>1</v>
      </c>
      <c r="P233" s="44">
        <v>46216.0</v>
      </c>
      <c r="Q233" s="34"/>
      <c r="R233" s="34"/>
      <c r="S233" s="34"/>
      <c r="T233" s="34"/>
    </row>
    <row r="234" ht="15.75" customHeight="1">
      <c r="B234" s="33">
        <v>46211.0</v>
      </c>
      <c r="C234" s="35">
        <v>3.0</v>
      </c>
      <c r="D234" s="35">
        <v>40.0</v>
      </c>
      <c r="E234" s="37">
        <v>80.0</v>
      </c>
      <c r="F234" s="38">
        <f t="shared" si="2"/>
        <v>3200</v>
      </c>
      <c r="G234" s="35" t="s">
        <v>1418</v>
      </c>
      <c r="H234" s="35" t="s">
        <v>1420</v>
      </c>
      <c r="I234" s="35" t="s">
        <v>32</v>
      </c>
      <c r="J234" s="35" t="s">
        <v>40</v>
      </c>
      <c r="K234" s="35" t="s">
        <v>35</v>
      </c>
      <c r="L234" s="35" t="s">
        <v>515</v>
      </c>
      <c r="M234" s="39">
        <v>1.0</v>
      </c>
      <c r="N234" s="40">
        <v>46215.0</v>
      </c>
      <c r="O234" s="42" t="b">
        <v>1</v>
      </c>
      <c r="P234" s="44">
        <v>46216.0</v>
      </c>
      <c r="Q234" s="34"/>
      <c r="R234" s="34"/>
      <c r="S234" s="34"/>
      <c r="T234" s="35"/>
    </row>
    <row r="235" ht="15.75" customHeight="1">
      <c r="B235" s="33">
        <v>46211.0</v>
      </c>
      <c r="C235" s="35">
        <v>3.0</v>
      </c>
      <c r="D235" s="35">
        <v>20.0</v>
      </c>
      <c r="E235" s="37">
        <v>265.0</v>
      </c>
      <c r="F235" s="38">
        <f t="shared" si="2"/>
        <v>5300</v>
      </c>
      <c r="G235" s="35" t="s">
        <v>1425</v>
      </c>
      <c r="H235" s="35" t="s">
        <v>1138</v>
      </c>
      <c r="I235" s="35" t="s">
        <v>32</v>
      </c>
      <c r="J235" s="35" t="s">
        <v>40</v>
      </c>
      <c r="K235" s="35" t="s">
        <v>35</v>
      </c>
      <c r="L235" s="35" t="s">
        <v>515</v>
      </c>
      <c r="M235" s="39">
        <v>1.0</v>
      </c>
      <c r="N235" s="40">
        <v>46215.0</v>
      </c>
      <c r="O235" s="42" t="b">
        <v>1</v>
      </c>
      <c r="P235" s="44">
        <v>46216.0</v>
      </c>
      <c r="Q235" s="34"/>
      <c r="R235" s="34"/>
      <c r="S235" s="34"/>
      <c r="T235" s="34"/>
    </row>
    <row r="236" ht="15.75" customHeight="1">
      <c r="B236" s="33">
        <v>46211.0</v>
      </c>
      <c r="C236" s="35">
        <v>3.0</v>
      </c>
      <c r="D236" s="35">
        <v>3.0</v>
      </c>
      <c r="E236" s="37">
        <v>1500.0</v>
      </c>
      <c r="F236" s="38">
        <f t="shared" si="2"/>
        <v>4500</v>
      </c>
      <c r="G236" s="35" t="s">
        <v>1431</v>
      </c>
      <c r="H236" s="35" t="s">
        <v>1322</v>
      </c>
      <c r="I236" s="35" t="s">
        <v>32</v>
      </c>
      <c r="J236" s="35" t="s">
        <v>40</v>
      </c>
      <c r="K236" s="35" t="s">
        <v>35</v>
      </c>
      <c r="L236" s="35" t="s">
        <v>515</v>
      </c>
      <c r="M236" s="39">
        <v>1.0</v>
      </c>
      <c r="N236" s="40">
        <v>46215.0</v>
      </c>
      <c r="O236" s="42" t="b">
        <v>1</v>
      </c>
      <c r="P236" s="44">
        <v>46216.0</v>
      </c>
      <c r="Q236" s="34"/>
      <c r="R236" s="34"/>
      <c r="S236" s="34"/>
      <c r="T236" s="34"/>
    </row>
    <row r="237" ht="15.75" customHeight="1">
      <c r="B237" s="33">
        <v>46211.0</v>
      </c>
      <c r="C237" s="35">
        <v>3.0</v>
      </c>
      <c r="D237" s="35">
        <v>2.0</v>
      </c>
      <c r="E237" s="37">
        <v>550.0</v>
      </c>
      <c r="F237" s="38">
        <f t="shared" si="2"/>
        <v>1100</v>
      </c>
      <c r="G237" s="35" t="s">
        <v>1438</v>
      </c>
      <c r="H237" s="35" t="s">
        <v>1439</v>
      </c>
      <c r="I237" s="35" t="s">
        <v>32</v>
      </c>
      <c r="J237" s="35" t="s">
        <v>40</v>
      </c>
      <c r="K237" s="35" t="s">
        <v>35</v>
      </c>
      <c r="L237" s="35" t="s">
        <v>515</v>
      </c>
      <c r="M237" s="39">
        <v>1.0</v>
      </c>
      <c r="N237" s="40">
        <v>46215.0</v>
      </c>
      <c r="O237" s="42" t="b">
        <v>1</v>
      </c>
      <c r="P237" s="44">
        <v>46216.0</v>
      </c>
      <c r="Q237" s="34"/>
      <c r="R237" s="34"/>
      <c r="S237" s="34"/>
      <c r="T237" s="34"/>
    </row>
    <row r="238" ht="15.75" customHeight="1">
      <c r="B238" s="33">
        <v>46211.0</v>
      </c>
      <c r="C238" s="35">
        <v>3.0</v>
      </c>
      <c r="D238" s="35">
        <v>1.0</v>
      </c>
      <c r="E238" s="37">
        <v>1500.0</v>
      </c>
      <c r="F238" s="38">
        <f t="shared" si="2"/>
        <v>1500</v>
      </c>
      <c r="G238" s="35" t="s">
        <v>1442</v>
      </c>
      <c r="H238" s="35" t="s">
        <v>1443</v>
      </c>
      <c r="I238" s="35" t="s">
        <v>32</v>
      </c>
      <c r="J238" s="35" t="s">
        <v>40</v>
      </c>
      <c r="K238" s="35" t="s">
        <v>35</v>
      </c>
      <c r="L238" s="35" t="s">
        <v>515</v>
      </c>
      <c r="M238" s="39">
        <v>1.0</v>
      </c>
      <c r="N238" s="40">
        <v>46215.0</v>
      </c>
      <c r="O238" s="42" t="b">
        <v>1</v>
      </c>
      <c r="P238" s="44">
        <v>46216.0</v>
      </c>
      <c r="Q238" s="34"/>
      <c r="R238" s="34"/>
      <c r="S238" s="34"/>
      <c r="T238" s="34"/>
    </row>
    <row r="239" ht="15.75" customHeight="1">
      <c r="B239" s="33">
        <v>46211.0</v>
      </c>
      <c r="C239" s="35">
        <v>3.0</v>
      </c>
      <c r="D239" s="35">
        <v>1.0</v>
      </c>
      <c r="E239" s="37">
        <v>1650.0</v>
      </c>
      <c r="F239" s="38">
        <f t="shared" si="2"/>
        <v>1650</v>
      </c>
      <c r="G239" s="35" t="s">
        <v>1447</v>
      </c>
      <c r="H239" s="35" t="s">
        <v>1448</v>
      </c>
      <c r="I239" s="35" t="s">
        <v>32</v>
      </c>
      <c r="J239" s="35" t="s">
        <v>40</v>
      </c>
      <c r="K239" s="35" t="s">
        <v>35</v>
      </c>
      <c r="L239" s="35" t="s">
        <v>515</v>
      </c>
      <c r="M239" s="39">
        <v>1.0</v>
      </c>
      <c r="N239" s="40">
        <v>46215.0</v>
      </c>
      <c r="O239" s="42" t="b">
        <v>1</v>
      </c>
      <c r="P239" s="44">
        <v>46216.0</v>
      </c>
      <c r="Q239" s="34"/>
      <c r="R239" s="34"/>
      <c r="S239" s="34"/>
      <c r="T239" s="34"/>
    </row>
    <row r="240" ht="15.75" customHeight="1">
      <c r="B240" s="33">
        <v>46211.0</v>
      </c>
      <c r="C240" s="35">
        <v>16938.0</v>
      </c>
      <c r="D240" s="35">
        <v>1000.0</v>
      </c>
      <c r="E240" s="37">
        <v>26.4</v>
      </c>
      <c r="F240" s="38">
        <f t="shared" si="2"/>
        <v>26400</v>
      </c>
      <c r="G240" s="35" t="s">
        <v>1293</v>
      </c>
      <c r="H240" s="35" t="s">
        <v>35</v>
      </c>
      <c r="I240" s="35" t="s">
        <v>41</v>
      </c>
      <c r="J240" s="35" t="s">
        <v>40</v>
      </c>
      <c r="K240" s="35" t="s">
        <v>35</v>
      </c>
      <c r="L240" s="35" t="s">
        <v>877</v>
      </c>
      <c r="M240" s="39">
        <v>1.0</v>
      </c>
      <c r="N240" s="40">
        <v>46217.0</v>
      </c>
      <c r="O240" s="42" t="b">
        <v>1</v>
      </c>
      <c r="P240" s="44">
        <v>46218.0</v>
      </c>
      <c r="Q240" s="34"/>
      <c r="R240" s="33"/>
      <c r="S240" s="34"/>
      <c r="T240" s="35"/>
    </row>
    <row r="241" ht="15.75" customHeight="1">
      <c r="B241" s="33">
        <v>46211.0</v>
      </c>
      <c r="C241" s="35">
        <v>16938.0</v>
      </c>
      <c r="D241" s="35">
        <v>1000.0</v>
      </c>
      <c r="E241" s="37">
        <v>41.7</v>
      </c>
      <c r="F241" s="38">
        <f t="shared" si="2"/>
        <v>41700</v>
      </c>
      <c r="G241" s="35" t="s">
        <v>1457</v>
      </c>
      <c r="H241" s="35" t="s">
        <v>35</v>
      </c>
      <c r="I241" s="35" t="s">
        <v>41</v>
      </c>
      <c r="J241" s="35" t="s">
        <v>40</v>
      </c>
      <c r="K241" s="35" t="s">
        <v>35</v>
      </c>
      <c r="L241" s="35" t="s">
        <v>877</v>
      </c>
      <c r="M241" s="39">
        <v>1.0</v>
      </c>
      <c r="N241" s="40">
        <v>46217.0</v>
      </c>
      <c r="O241" s="42" t="b">
        <v>1</v>
      </c>
      <c r="P241" s="44">
        <v>46218.0</v>
      </c>
      <c r="Q241" s="34"/>
      <c r="R241" s="33"/>
      <c r="S241" s="34"/>
      <c r="T241" s="34"/>
    </row>
    <row r="242" ht="15.75" customHeight="1">
      <c r="B242" s="33">
        <v>46211.0</v>
      </c>
      <c r="C242" s="35">
        <v>16939.0</v>
      </c>
      <c r="D242" s="35">
        <v>1000.0</v>
      </c>
      <c r="E242" s="37">
        <v>26.4</v>
      </c>
      <c r="F242" s="38">
        <f t="shared" si="2"/>
        <v>26400</v>
      </c>
      <c r="G242" s="35" t="s">
        <v>1293</v>
      </c>
      <c r="H242" s="35" t="s">
        <v>35</v>
      </c>
      <c r="I242" s="35" t="s">
        <v>41</v>
      </c>
      <c r="J242" s="35" t="s">
        <v>40</v>
      </c>
      <c r="K242" s="35" t="s">
        <v>35</v>
      </c>
      <c r="L242" s="35" t="s">
        <v>877</v>
      </c>
      <c r="M242" s="39">
        <v>1.0</v>
      </c>
      <c r="N242" s="40">
        <v>46218.0</v>
      </c>
      <c r="O242" s="42" t="b">
        <v>0</v>
      </c>
      <c r="P242" s="44">
        <v>46218.0</v>
      </c>
      <c r="Q242" s="34"/>
      <c r="R242" s="34"/>
      <c r="S242" s="34"/>
      <c r="T242" s="34"/>
    </row>
    <row r="243" ht="15.75" customHeight="1">
      <c r="B243" s="33">
        <v>46211.0</v>
      </c>
      <c r="C243" s="35">
        <v>16939.0</v>
      </c>
      <c r="D243" s="35">
        <v>1000.0</v>
      </c>
      <c r="E243" s="37">
        <v>41.7</v>
      </c>
      <c r="F243" s="38">
        <f t="shared" si="2"/>
        <v>41700</v>
      </c>
      <c r="G243" s="35" t="s">
        <v>1457</v>
      </c>
      <c r="H243" s="35" t="s">
        <v>35</v>
      </c>
      <c r="I243" s="35" t="s">
        <v>41</v>
      </c>
      <c r="J243" s="35" t="s">
        <v>40</v>
      </c>
      <c r="K243" s="35" t="s">
        <v>35</v>
      </c>
      <c r="L243" s="35" t="s">
        <v>877</v>
      </c>
      <c r="M243" s="39">
        <v>1.0</v>
      </c>
      <c r="N243" s="40">
        <v>46218.0</v>
      </c>
      <c r="O243" s="42" t="b">
        <v>1</v>
      </c>
      <c r="P243" s="44">
        <v>46227.0</v>
      </c>
      <c r="Q243" s="34"/>
      <c r="R243" s="34"/>
      <c r="S243" s="34"/>
      <c r="T243" s="34"/>
    </row>
    <row r="244" ht="15.75" customHeight="1">
      <c r="B244" s="44">
        <v>46211.0</v>
      </c>
      <c r="C244" s="58">
        <v>795829.0</v>
      </c>
      <c r="D244" s="35">
        <v>10000.0</v>
      </c>
      <c r="E244" s="37">
        <v>7.2951</v>
      </c>
      <c r="F244" s="38">
        <f t="shared" si="2"/>
        <v>72951</v>
      </c>
      <c r="G244" s="35" t="s">
        <v>1476</v>
      </c>
      <c r="H244" s="35">
        <v>43382.0</v>
      </c>
      <c r="I244" s="35" t="s">
        <v>41</v>
      </c>
      <c r="J244" s="35" t="s">
        <v>40</v>
      </c>
      <c r="K244" s="35" t="s">
        <v>345</v>
      </c>
      <c r="L244" s="35" t="s">
        <v>68</v>
      </c>
      <c r="M244" s="39">
        <v>1.0</v>
      </c>
      <c r="N244" s="40">
        <v>46220.0</v>
      </c>
      <c r="O244" s="42" t="b">
        <v>1</v>
      </c>
      <c r="P244" s="44">
        <v>46225.0</v>
      </c>
      <c r="Q244" s="34"/>
      <c r="R244" s="34"/>
      <c r="S244" s="34"/>
      <c r="T244" s="34"/>
    </row>
    <row r="245" ht="15.75" customHeight="1">
      <c r="B245" s="44">
        <v>46211.0</v>
      </c>
      <c r="C245" s="58">
        <v>795829.0</v>
      </c>
      <c r="D245" s="35">
        <v>1000.0</v>
      </c>
      <c r="E245" s="37">
        <v>25.8999</v>
      </c>
      <c r="F245" s="38">
        <f t="shared" si="2"/>
        <v>25899.9</v>
      </c>
      <c r="G245" s="35" t="s">
        <v>1066</v>
      </c>
      <c r="H245" s="35">
        <v>16773.0</v>
      </c>
      <c r="I245" s="35" t="s">
        <v>41</v>
      </c>
      <c r="J245" s="35" t="s">
        <v>40</v>
      </c>
      <c r="K245" s="35" t="s">
        <v>345</v>
      </c>
      <c r="L245" s="35" t="s">
        <v>68</v>
      </c>
      <c r="M245" s="39">
        <v>1.0</v>
      </c>
      <c r="N245" s="40">
        <v>46220.0</v>
      </c>
      <c r="O245" s="42" t="b">
        <v>1</v>
      </c>
      <c r="P245" s="44">
        <v>46225.0</v>
      </c>
      <c r="Q245" s="34"/>
      <c r="R245" s="34"/>
      <c r="S245" s="34"/>
      <c r="T245" s="34"/>
    </row>
    <row r="246" ht="15.75" customHeight="1">
      <c r="B246" s="44">
        <v>46211.0</v>
      </c>
      <c r="C246" s="58">
        <v>795829.0</v>
      </c>
      <c r="D246" s="35">
        <v>1052.0</v>
      </c>
      <c r="E246" s="37">
        <v>225.8018</v>
      </c>
      <c r="F246" s="38">
        <f t="shared" si="2"/>
        <v>237543.4936</v>
      </c>
      <c r="G246" s="35" t="s">
        <v>1485</v>
      </c>
      <c r="H246" s="35">
        <v>37639.0</v>
      </c>
      <c r="I246" s="35" t="s">
        <v>41</v>
      </c>
      <c r="J246" s="35" t="s">
        <v>40</v>
      </c>
      <c r="K246" s="35" t="s">
        <v>345</v>
      </c>
      <c r="L246" s="35" t="s">
        <v>68</v>
      </c>
      <c r="M246" s="39">
        <v>1.0</v>
      </c>
      <c r="N246" s="40">
        <v>46220.0</v>
      </c>
      <c r="O246" s="42" t="b">
        <v>1</v>
      </c>
      <c r="P246" s="44">
        <v>46225.0</v>
      </c>
      <c r="Q246" s="34"/>
      <c r="R246" s="34"/>
      <c r="S246" s="34"/>
      <c r="T246" s="34"/>
    </row>
    <row r="247" ht="15.75" customHeight="1">
      <c r="B247" s="44">
        <v>46211.0</v>
      </c>
      <c r="C247" s="58">
        <v>795829.0</v>
      </c>
      <c r="D247" s="35">
        <v>39.0</v>
      </c>
      <c r="E247" s="37">
        <v>225.8964</v>
      </c>
      <c r="F247" s="38">
        <f t="shared" si="2"/>
        <v>8809.9596</v>
      </c>
      <c r="G247" s="35" t="s">
        <v>1492</v>
      </c>
      <c r="H247" s="35">
        <v>15944.0</v>
      </c>
      <c r="I247" s="35" t="s">
        <v>41</v>
      </c>
      <c r="J247" s="35" t="s">
        <v>40</v>
      </c>
      <c r="K247" s="35" t="s">
        <v>345</v>
      </c>
      <c r="L247" s="35" t="s">
        <v>68</v>
      </c>
      <c r="M247" s="39">
        <v>1.0</v>
      </c>
      <c r="N247" s="40">
        <v>46220.0</v>
      </c>
      <c r="O247" s="42" t="b">
        <v>1</v>
      </c>
      <c r="P247" s="44">
        <v>46225.0</v>
      </c>
      <c r="Q247" s="34"/>
      <c r="R247" s="34"/>
      <c r="S247" s="34"/>
      <c r="T247" s="34"/>
    </row>
    <row r="248" ht="15.75" customHeight="1">
      <c r="B248" s="33">
        <v>46212.0</v>
      </c>
      <c r="C248" s="35">
        <v>924887.0</v>
      </c>
      <c r="D248" s="35">
        <v>1700.0</v>
      </c>
      <c r="E248" s="37">
        <v>2.8</v>
      </c>
      <c r="F248" s="38">
        <f t="shared" si="2"/>
        <v>4760</v>
      </c>
      <c r="G248" s="35" t="s">
        <v>792</v>
      </c>
      <c r="H248" s="35">
        <v>44561.0</v>
      </c>
      <c r="I248" s="35" t="s">
        <v>41</v>
      </c>
      <c r="J248" s="35" t="s">
        <v>40</v>
      </c>
      <c r="K248" s="35" t="s">
        <v>35</v>
      </c>
      <c r="L248" s="35" t="s">
        <v>43</v>
      </c>
      <c r="M248" s="39">
        <v>1.0</v>
      </c>
      <c r="N248" s="40">
        <v>46212.0</v>
      </c>
      <c r="O248" s="42" t="b">
        <v>1</v>
      </c>
      <c r="P248" s="44">
        <v>46213.0</v>
      </c>
      <c r="Q248" s="34"/>
      <c r="R248" s="34"/>
      <c r="S248" s="34"/>
      <c r="T248" s="34"/>
    </row>
    <row r="249" ht="15.75" customHeight="1">
      <c r="B249" s="33">
        <v>46212.0</v>
      </c>
      <c r="C249" s="35">
        <v>924887.0</v>
      </c>
      <c r="D249" s="35">
        <v>300.0</v>
      </c>
      <c r="E249" s="37">
        <v>2.8</v>
      </c>
      <c r="F249" s="38">
        <f t="shared" si="2"/>
        <v>840</v>
      </c>
      <c r="G249" s="35" t="s">
        <v>792</v>
      </c>
      <c r="H249" s="35">
        <v>44561.0</v>
      </c>
      <c r="I249" s="35" t="s">
        <v>41</v>
      </c>
      <c r="J249" s="35" t="s">
        <v>34</v>
      </c>
      <c r="K249" s="35" t="s">
        <v>35</v>
      </c>
      <c r="L249" s="35" t="s">
        <v>43</v>
      </c>
      <c r="M249" s="39">
        <v>1.0</v>
      </c>
      <c r="N249" s="40">
        <v>46212.0</v>
      </c>
      <c r="O249" s="42" t="b">
        <v>1</v>
      </c>
      <c r="P249" s="44">
        <v>46213.0</v>
      </c>
      <c r="Q249" s="34"/>
      <c r="R249" s="34"/>
      <c r="S249" s="34"/>
      <c r="T249" s="34"/>
    </row>
    <row r="250" ht="15.75" customHeight="1">
      <c r="B250" s="33">
        <v>46212.0</v>
      </c>
      <c r="C250" s="35">
        <v>22817.0</v>
      </c>
      <c r="D250" s="35">
        <v>300.0</v>
      </c>
      <c r="E250" s="37">
        <v>4.9</v>
      </c>
      <c r="F250" s="38">
        <f t="shared" si="2"/>
        <v>1470</v>
      </c>
      <c r="G250" s="35" t="s">
        <v>1512</v>
      </c>
      <c r="H250" s="35" t="s">
        <v>1514</v>
      </c>
      <c r="I250" s="35" t="s">
        <v>240</v>
      </c>
      <c r="J250" s="35" t="s">
        <v>40</v>
      </c>
      <c r="K250" s="35" t="s">
        <v>35</v>
      </c>
      <c r="L250" s="35" t="s">
        <v>96</v>
      </c>
      <c r="M250" s="39">
        <v>1.0</v>
      </c>
      <c r="N250" s="40">
        <v>46212.0</v>
      </c>
      <c r="O250" s="42" t="b">
        <v>1</v>
      </c>
      <c r="P250" s="35" t="s">
        <v>1517</v>
      </c>
      <c r="Q250" s="34"/>
      <c r="R250" s="34"/>
      <c r="S250" s="34"/>
      <c r="T250" s="34"/>
    </row>
    <row r="251" ht="15.75" customHeight="1">
      <c r="B251" s="33">
        <v>46212.0</v>
      </c>
      <c r="C251" s="35" t="s">
        <v>35</v>
      </c>
      <c r="D251" s="35">
        <v>10.0</v>
      </c>
      <c r="E251" s="37">
        <v>250.0</v>
      </c>
      <c r="F251" s="38">
        <f t="shared" si="2"/>
        <v>2500</v>
      </c>
      <c r="G251" s="35" t="s">
        <v>1521</v>
      </c>
      <c r="H251" s="35" t="s">
        <v>227</v>
      </c>
      <c r="I251" s="35" t="s">
        <v>32</v>
      </c>
      <c r="J251" s="35" t="s">
        <v>34</v>
      </c>
      <c r="K251" s="35" t="s">
        <v>35</v>
      </c>
      <c r="L251" s="35" t="s">
        <v>314</v>
      </c>
      <c r="M251" s="39">
        <v>31.0</v>
      </c>
      <c r="N251" s="40">
        <v>46212.0</v>
      </c>
      <c r="O251" s="42" t="b">
        <v>1</v>
      </c>
      <c r="P251" s="44">
        <v>46219.0</v>
      </c>
      <c r="Q251" s="34"/>
      <c r="R251" s="33">
        <v>46213.0</v>
      </c>
      <c r="S251" s="34"/>
      <c r="T251" s="34"/>
    </row>
    <row r="252" ht="15.75" customHeight="1">
      <c r="B252" s="33">
        <v>46212.0</v>
      </c>
      <c r="C252" s="35">
        <v>1.027874E7</v>
      </c>
      <c r="D252" s="35">
        <v>5.0</v>
      </c>
      <c r="E252" s="37">
        <v>529.0</v>
      </c>
      <c r="F252" s="38">
        <f t="shared" si="2"/>
        <v>2645</v>
      </c>
      <c r="G252" s="35" t="s">
        <v>1528</v>
      </c>
      <c r="H252" s="35" t="s">
        <v>35</v>
      </c>
      <c r="I252" s="35" t="s">
        <v>240</v>
      </c>
      <c r="J252" s="35" t="s">
        <v>34</v>
      </c>
      <c r="K252" s="35" t="s">
        <v>35</v>
      </c>
      <c r="L252" s="35" t="s">
        <v>1504</v>
      </c>
      <c r="M252" s="39">
        <v>1.0</v>
      </c>
      <c r="N252" s="40">
        <v>46216.0</v>
      </c>
      <c r="O252" s="42" t="b">
        <v>0</v>
      </c>
      <c r="P252" s="44">
        <v>46225.0</v>
      </c>
      <c r="Q252" s="34"/>
      <c r="R252" s="34"/>
      <c r="S252" s="34"/>
      <c r="T252" s="34"/>
    </row>
    <row r="253" ht="15.75" customHeight="1">
      <c r="B253" s="33">
        <v>46212.0</v>
      </c>
      <c r="C253" s="35">
        <v>22791.0</v>
      </c>
      <c r="D253" s="35">
        <v>60.0</v>
      </c>
      <c r="E253" s="37">
        <v>14.99</v>
      </c>
      <c r="F253" s="38">
        <f t="shared" si="2"/>
        <v>899.4</v>
      </c>
      <c r="G253" s="35" t="s">
        <v>1535</v>
      </c>
      <c r="H253" s="35" t="s">
        <v>1537</v>
      </c>
      <c r="I253" s="35" t="s">
        <v>240</v>
      </c>
      <c r="J253" s="35" t="s">
        <v>1036</v>
      </c>
      <c r="K253" s="35" t="s">
        <v>1037</v>
      </c>
      <c r="L253" s="35" t="s">
        <v>96</v>
      </c>
      <c r="M253" s="39">
        <v>1.0</v>
      </c>
      <c r="N253" s="40">
        <v>46212.0</v>
      </c>
      <c r="O253" s="42" t="b">
        <v>1</v>
      </c>
      <c r="P253" s="44">
        <v>46216.0</v>
      </c>
      <c r="Q253" s="34"/>
      <c r="R253" s="34"/>
      <c r="S253" s="34"/>
      <c r="T253" s="34"/>
    </row>
    <row r="254" ht="15.75" customHeight="1">
      <c r="B254" s="33">
        <v>46212.0</v>
      </c>
      <c r="C254" s="35">
        <v>22791.0</v>
      </c>
      <c r="D254" s="35">
        <v>60.0</v>
      </c>
      <c r="E254" s="37">
        <v>14.9</v>
      </c>
      <c r="F254" s="38">
        <f t="shared" si="2"/>
        <v>894</v>
      </c>
      <c r="G254" s="35" t="s">
        <v>1553</v>
      </c>
      <c r="H254" s="35" t="s">
        <v>1556</v>
      </c>
      <c r="I254" s="35" t="s">
        <v>240</v>
      </c>
      <c r="J254" s="35" t="s">
        <v>1036</v>
      </c>
      <c r="K254" s="35" t="s">
        <v>1037</v>
      </c>
      <c r="L254" s="35" t="s">
        <v>96</v>
      </c>
      <c r="M254" s="39">
        <v>1.0</v>
      </c>
      <c r="N254" s="40">
        <v>46212.0</v>
      </c>
      <c r="O254" s="42" t="b">
        <v>1</v>
      </c>
      <c r="P254" s="44">
        <v>46216.0</v>
      </c>
      <c r="Q254" s="34"/>
      <c r="R254" s="34"/>
      <c r="S254" s="34"/>
      <c r="T254" s="34"/>
    </row>
    <row r="255" ht="15.75" customHeight="1">
      <c r="B255" s="33">
        <v>46212.0</v>
      </c>
      <c r="C255" s="35">
        <v>22791.0</v>
      </c>
      <c r="D255" s="35">
        <v>300.0</v>
      </c>
      <c r="E255" s="37">
        <v>4.8</v>
      </c>
      <c r="F255" s="38">
        <f t="shared" si="2"/>
        <v>1440</v>
      </c>
      <c r="G255" s="35" t="s">
        <v>1560</v>
      </c>
      <c r="H255" s="35" t="s">
        <v>1563</v>
      </c>
      <c r="I255" s="35" t="s">
        <v>240</v>
      </c>
      <c r="J255" s="35" t="s">
        <v>1036</v>
      </c>
      <c r="K255" s="35" t="s">
        <v>1037</v>
      </c>
      <c r="L255" s="35" t="s">
        <v>96</v>
      </c>
      <c r="M255" s="39">
        <v>1.0</v>
      </c>
      <c r="N255" s="40">
        <v>46212.0</v>
      </c>
      <c r="O255" s="42" t="b">
        <v>1</v>
      </c>
      <c r="P255" s="44">
        <v>46216.0</v>
      </c>
      <c r="Q255" s="34"/>
      <c r="R255" s="34"/>
      <c r="S255" s="34"/>
      <c r="T255" s="34"/>
    </row>
    <row r="256" ht="15.75" customHeight="1">
      <c r="B256" s="33">
        <v>46212.0</v>
      </c>
      <c r="C256" s="35">
        <v>22791.0</v>
      </c>
      <c r="D256" s="35">
        <v>300.0</v>
      </c>
      <c r="E256" s="37">
        <v>5.2</v>
      </c>
      <c r="F256" s="38">
        <f t="shared" si="2"/>
        <v>1560</v>
      </c>
      <c r="G256" s="35" t="s">
        <v>1568</v>
      </c>
      <c r="H256" s="35" t="s">
        <v>1569</v>
      </c>
      <c r="I256" s="35" t="s">
        <v>240</v>
      </c>
      <c r="J256" s="35" t="s">
        <v>1036</v>
      </c>
      <c r="K256" s="35" t="s">
        <v>1037</v>
      </c>
      <c r="L256" s="35" t="s">
        <v>96</v>
      </c>
      <c r="M256" s="39">
        <v>1.0</v>
      </c>
      <c r="N256" s="40">
        <v>46212.0</v>
      </c>
      <c r="O256" s="42" t="b">
        <v>1</v>
      </c>
      <c r="P256" s="44">
        <v>46216.0</v>
      </c>
      <c r="Q256" s="34"/>
      <c r="R256" s="34"/>
      <c r="S256" s="34"/>
      <c r="T256" s="34"/>
    </row>
    <row r="257" ht="15.75" customHeight="1">
      <c r="B257" s="33">
        <v>46212.0</v>
      </c>
      <c r="C257" s="35">
        <v>22791.0</v>
      </c>
      <c r="D257" s="35">
        <v>300.0</v>
      </c>
      <c r="E257" s="37">
        <v>5.6</v>
      </c>
      <c r="F257" s="38">
        <f t="shared" si="2"/>
        <v>1680</v>
      </c>
      <c r="G257" s="35" t="s">
        <v>1572</v>
      </c>
      <c r="H257" s="35" t="s">
        <v>1573</v>
      </c>
      <c r="I257" s="35" t="s">
        <v>240</v>
      </c>
      <c r="J257" s="35" t="s">
        <v>1036</v>
      </c>
      <c r="K257" s="35" t="s">
        <v>1037</v>
      </c>
      <c r="L257" s="35" t="s">
        <v>96</v>
      </c>
      <c r="M257" s="39">
        <v>1.0</v>
      </c>
      <c r="N257" s="40">
        <v>46212.0</v>
      </c>
      <c r="O257" s="42" t="b">
        <v>1</v>
      </c>
      <c r="P257" s="44">
        <v>46216.0</v>
      </c>
      <c r="Q257" s="34"/>
      <c r="R257" s="34"/>
      <c r="S257" s="34"/>
      <c r="T257" s="34"/>
    </row>
    <row r="258" ht="15.75" customHeight="1">
      <c r="B258" s="33">
        <v>46212.0</v>
      </c>
      <c r="C258" s="35">
        <v>22791.0</v>
      </c>
      <c r="D258" s="35">
        <v>40.0</v>
      </c>
      <c r="E258" s="37">
        <v>15.9</v>
      </c>
      <c r="F258" s="38">
        <f t="shared" si="2"/>
        <v>636</v>
      </c>
      <c r="G258" s="35" t="s">
        <v>1579</v>
      </c>
      <c r="H258" s="35" t="s">
        <v>1580</v>
      </c>
      <c r="I258" s="35" t="s">
        <v>240</v>
      </c>
      <c r="J258" s="35" t="s">
        <v>1036</v>
      </c>
      <c r="K258" s="35" t="s">
        <v>1037</v>
      </c>
      <c r="L258" s="35" t="s">
        <v>96</v>
      </c>
      <c r="M258" s="39">
        <v>1.0</v>
      </c>
      <c r="N258" s="40">
        <v>46212.0</v>
      </c>
      <c r="O258" s="42" t="b">
        <v>1</v>
      </c>
      <c r="P258" s="44">
        <v>46216.0</v>
      </c>
      <c r="Q258" s="34"/>
      <c r="R258" s="34"/>
      <c r="S258" s="34"/>
      <c r="T258" s="34"/>
    </row>
    <row r="259" ht="15.75" customHeight="1">
      <c r="B259" s="33">
        <v>46212.0</v>
      </c>
      <c r="C259" s="35">
        <v>22791.0</v>
      </c>
      <c r="D259" s="35">
        <v>60.0</v>
      </c>
      <c r="E259" s="37">
        <v>19.99</v>
      </c>
      <c r="F259" s="38">
        <f t="shared" si="2"/>
        <v>1199.4</v>
      </c>
      <c r="G259" s="35" t="s">
        <v>1584</v>
      </c>
      <c r="H259" s="35" t="s">
        <v>1585</v>
      </c>
      <c r="I259" s="35" t="s">
        <v>240</v>
      </c>
      <c r="J259" s="35" t="s">
        <v>1036</v>
      </c>
      <c r="K259" s="35" t="s">
        <v>1037</v>
      </c>
      <c r="L259" s="35" t="s">
        <v>96</v>
      </c>
      <c r="M259" s="39">
        <v>1.0</v>
      </c>
      <c r="N259" s="40">
        <v>46212.0</v>
      </c>
      <c r="O259" s="42" t="b">
        <v>1</v>
      </c>
      <c r="P259" s="44">
        <v>46216.0</v>
      </c>
      <c r="Q259" s="34"/>
      <c r="R259" s="34"/>
      <c r="S259" s="34"/>
      <c r="T259" s="34"/>
    </row>
    <row r="260" ht="15.75" customHeight="1">
      <c r="B260" s="33">
        <v>46212.0</v>
      </c>
      <c r="C260" s="35">
        <v>22791.0</v>
      </c>
      <c r="D260" s="35">
        <v>6.0</v>
      </c>
      <c r="E260" s="37">
        <v>229.9</v>
      </c>
      <c r="F260" s="38">
        <f t="shared" si="2"/>
        <v>1379.4</v>
      </c>
      <c r="G260" s="35" t="s">
        <v>187</v>
      </c>
      <c r="H260" s="35" t="s">
        <v>188</v>
      </c>
      <c r="I260" s="35" t="s">
        <v>240</v>
      </c>
      <c r="J260" s="35" t="s">
        <v>1036</v>
      </c>
      <c r="K260" s="35" t="s">
        <v>1037</v>
      </c>
      <c r="L260" s="35" t="s">
        <v>96</v>
      </c>
      <c r="M260" s="39">
        <v>1.0</v>
      </c>
      <c r="N260" s="40">
        <v>46212.0</v>
      </c>
      <c r="O260" s="42" t="b">
        <v>1</v>
      </c>
      <c r="P260" s="44">
        <v>46216.0</v>
      </c>
      <c r="Q260" s="34"/>
      <c r="R260" s="33"/>
      <c r="S260" s="34"/>
      <c r="T260" s="34"/>
    </row>
    <row r="261" ht="15.75" customHeight="1">
      <c r="A261" s="68">
        <v>2040.0</v>
      </c>
      <c r="B261" s="33">
        <v>46212.0</v>
      </c>
      <c r="C261" s="35">
        <v>22830.0</v>
      </c>
      <c r="D261" s="35">
        <v>5.0</v>
      </c>
      <c r="E261" s="37">
        <v>20.99</v>
      </c>
      <c r="F261" s="38">
        <f t="shared" si="2"/>
        <v>104.95</v>
      </c>
      <c r="G261" s="35" t="s">
        <v>1594</v>
      </c>
      <c r="H261" s="35" t="s">
        <v>1595</v>
      </c>
      <c r="I261" s="35" t="s">
        <v>41</v>
      </c>
      <c r="J261" s="35" t="s">
        <v>34</v>
      </c>
      <c r="K261" s="35" t="s">
        <v>35</v>
      </c>
      <c r="L261" s="35" t="s">
        <v>96</v>
      </c>
      <c r="M261" s="39">
        <v>1.0</v>
      </c>
      <c r="N261" s="40">
        <v>46212.0</v>
      </c>
      <c r="O261" s="42" t="b">
        <v>1</v>
      </c>
      <c r="P261" s="44">
        <v>46217.0</v>
      </c>
      <c r="Q261" s="34"/>
      <c r="R261" s="34"/>
      <c r="S261" s="34"/>
      <c r="T261" s="34"/>
    </row>
    <row r="262" ht="15.75" customHeight="1">
      <c r="B262" s="33">
        <v>46212.0</v>
      </c>
      <c r="C262" s="35">
        <v>22830.0</v>
      </c>
      <c r="D262" s="35">
        <v>75.0</v>
      </c>
      <c r="E262" s="37">
        <v>20.99</v>
      </c>
      <c r="F262" s="38">
        <f t="shared" si="2"/>
        <v>1574.25</v>
      </c>
      <c r="G262" s="35" t="s">
        <v>1594</v>
      </c>
      <c r="H262" s="35" t="s">
        <v>1595</v>
      </c>
      <c r="I262" s="35" t="s">
        <v>41</v>
      </c>
      <c r="J262" s="35" t="s">
        <v>40</v>
      </c>
      <c r="K262" s="35" t="s">
        <v>35</v>
      </c>
      <c r="L262" s="35" t="s">
        <v>96</v>
      </c>
      <c r="M262" s="39">
        <v>1.0</v>
      </c>
      <c r="N262" s="40">
        <v>46212.0</v>
      </c>
      <c r="O262" s="42" t="b">
        <v>1</v>
      </c>
      <c r="P262" s="44">
        <v>46217.0</v>
      </c>
      <c r="Q262" s="34"/>
      <c r="R262" s="34"/>
      <c r="S262" s="34"/>
      <c r="T262" s="34"/>
    </row>
    <row r="263" ht="15.75" customHeight="1">
      <c r="B263" s="33">
        <v>46212.0</v>
      </c>
      <c r="C263" s="35">
        <v>22822.0</v>
      </c>
      <c r="D263" s="35">
        <v>100.0</v>
      </c>
      <c r="E263" s="37">
        <v>9.0</v>
      </c>
      <c r="F263" s="38">
        <f t="shared" si="2"/>
        <v>900</v>
      </c>
      <c r="G263" s="35" t="s">
        <v>1601</v>
      </c>
      <c r="H263" s="35" t="s">
        <v>1604</v>
      </c>
      <c r="I263" s="35" t="s">
        <v>240</v>
      </c>
      <c r="J263" s="35" t="s">
        <v>1036</v>
      </c>
      <c r="K263" s="35" t="s">
        <v>1037</v>
      </c>
      <c r="L263" s="35" t="s">
        <v>96</v>
      </c>
      <c r="M263" s="39">
        <v>1.0</v>
      </c>
      <c r="N263" s="40">
        <v>46212.0</v>
      </c>
      <c r="O263" s="42" t="b">
        <v>1</v>
      </c>
      <c r="P263" s="44">
        <v>46217.0</v>
      </c>
      <c r="Q263" s="34"/>
      <c r="R263" s="34"/>
      <c r="S263" s="34"/>
      <c r="T263" s="34"/>
    </row>
    <row r="264" ht="15.75" customHeight="1">
      <c r="B264" s="33">
        <v>46212.0</v>
      </c>
      <c r="C264" s="35">
        <v>22822.0</v>
      </c>
      <c r="D264" s="35">
        <v>36.0</v>
      </c>
      <c r="E264" s="37">
        <v>19.9</v>
      </c>
      <c r="F264" s="38">
        <f t="shared" si="2"/>
        <v>716.4</v>
      </c>
      <c r="G264" s="35" t="s">
        <v>1608</v>
      </c>
      <c r="H264" s="35" t="s">
        <v>1610</v>
      </c>
      <c r="I264" s="35" t="s">
        <v>240</v>
      </c>
      <c r="J264" s="35" t="s">
        <v>1036</v>
      </c>
      <c r="K264" s="35" t="s">
        <v>1037</v>
      </c>
      <c r="L264" s="35" t="s">
        <v>96</v>
      </c>
      <c r="M264" s="39">
        <v>1.0</v>
      </c>
      <c r="N264" s="40">
        <v>46212.0</v>
      </c>
      <c r="O264" s="42" t="b">
        <v>1</v>
      </c>
      <c r="P264" s="44">
        <v>46217.0</v>
      </c>
      <c r="Q264" s="34"/>
      <c r="R264" s="34"/>
      <c r="S264" s="34"/>
      <c r="T264" s="34"/>
    </row>
    <row r="265" ht="15.75" customHeight="1">
      <c r="B265" s="33">
        <v>46212.0</v>
      </c>
      <c r="C265" s="35">
        <v>22822.0</v>
      </c>
      <c r="D265" s="35">
        <v>300.0</v>
      </c>
      <c r="E265" s="37">
        <v>1.3</v>
      </c>
      <c r="F265" s="38">
        <f t="shared" si="2"/>
        <v>390</v>
      </c>
      <c r="G265" s="35" t="s">
        <v>1612</v>
      </c>
      <c r="H265" s="35" t="s">
        <v>1613</v>
      </c>
      <c r="I265" s="35" t="s">
        <v>240</v>
      </c>
      <c r="J265" s="35" t="s">
        <v>1036</v>
      </c>
      <c r="K265" s="35" t="s">
        <v>1037</v>
      </c>
      <c r="L265" s="35" t="s">
        <v>96</v>
      </c>
      <c r="M265" s="39">
        <v>1.0</v>
      </c>
      <c r="N265" s="40">
        <v>46212.0</v>
      </c>
      <c r="O265" s="42" t="b">
        <v>1</v>
      </c>
      <c r="P265" s="44">
        <v>46217.0</v>
      </c>
      <c r="Q265" s="34"/>
      <c r="R265" s="33"/>
      <c r="S265" s="34"/>
      <c r="T265" s="34"/>
    </row>
    <row r="266" ht="15.75" customHeight="1">
      <c r="B266" s="33">
        <v>46212.0</v>
      </c>
      <c r="C266" s="35">
        <v>22822.0</v>
      </c>
      <c r="D266" s="35">
        <v>300.0</v>
      </c>
      <c r="E266" s="37">
        <v>4.9</v>
      </c>
      <c r="F266" s="38">
        <f t="shared" si="2"/>
        <v>1470</v>
      </c>
      <c r="G266" s="35" t="s">
        <v>1617</v>
      </c>
      <c r="H266" s="35" t="s">
        <v>1618</v>
      </c>
      <c r="I266" s="35" t="s">
        <v>240</v>
      </c>
      <c r="J266" s="35" t="s">
        <v>1036</v>
      </c>
      <c r="K266" s="35" t="s">
        <v>1037</v>
      </c>
      <c r="L266" s="35" t="s">
        <v>96</v>
      </c>
      <c r="M266" s="39">
        <v>1.0</v>
      </c>
      <c r="N266" s="40">
        <v>46212.0</v>
      </c>
      <c r="O266" s="42" t="b">
        <v>1</v>
      </c>
      <c r="P266" s="44">
        <v>46217.0</v>
      </c>
      <c r="Q266" s="34"/>
      <c r="R266" s="34"/>
      <c r="S266" s="34"/>
      <c r="T266" s="34"/>
    </row>
    <row r="267" ht="15.75" customHeight="1">
      <c r="B267" s="33">
        <v>46212.0</v>
      </c>
      <c r="C267" s="35">
        <v>22822.0</v>
      </c>
      <c r="D267" s="35">
        <v>120.0</v>
      </c>
      <c r="E267" s="37">
        <v>7.99</v>
      </c>
      <c r="F267" s="38">
        <f t="shared" si="2"/>
        <v>958.8</v>
      </c>
      <c r="G267" s="35" t="s">
        <v>1625</v>
      </c>
      <c r="H267" s="35" t="s">
        <v>1626</v>
      </c>
      <c r="I267" s="35" t="s">
        <v>240</v>
      </c>
      <c r="J267" s="35" t="s">
        <v>1036</v>
      </c>
      <c r="K267" s="35" t="s">
        <v>1037</v>
      </c>
      <c r="L267" s="35" t="s">
        <v>96</v>
      </c>
      <c r="M267" s="39">
        <v>1.0</v>
      </c>
      <c r="N267" s="40">
        <v>46212.0</v>
      </c>
      <c r="O267" s="42" t="b">
        <v>1</v>
      </c>
      <c r="P267" s="44">
        <v>46217.0</v>
      </c>
      <c r="Q267" s="34"/>
      <c r="R267" s="34"/>
      <c r="S267" s="34"/>
      <c r="T267" s="34"/>
    </row>
    <row r="268" ht="15.75" customHeight="1">
      <c r="B268" s="33">
        <v>46212.0</v>
      </c>
      <c r="C268" s="35">
        <v>22822.0</v>
      </c>
      <c r="D268" s="35">
        <v>72.0</v>
      </c>
      <c r="E268" s="37">
        <v>6.5</v>
      </c>
      <c r="F268" s="38">
        <f t="shared" si="2"/>
        <v>468</v>
      </c>
      <c r="G268" s="35" t="s">
        <v>1628</v>
      </c>
      <c r="H268" s="35" t="s">
        <v>1630</v>
      </c>
      <c r="I268" s="35" t="s">
        <v>240</v>
      </c>
      <c r="J268" s="35" t="s">
        <v>1036</v>
      </c>
      <c r="K268" s="35" t="s">
        <v>1037</v>
      </c>
      <c r="L268" s="35" t="s">
        <v>96</v>
      </c>
      <c r="M268" s="39">
        <v>1.0</v>
      </c>
      <c r="N268" s="40">
        <v>46212.0</v>
      </c>
      <c r="O268" s="42" t="b">
        <v>1</v>
      </c>
      <c r="P268" s="44">
        <v>46217.0</v>
      </c>
      <c r="Q268" s="34"/>
      <c r="R268" s="34"/>
      <c r="S268" s="34"/>
      <c r="T268" s="34"/>
    </row>
    <row r="269" ht="15.75" customHeight="1">
      <c r="B269" s="33">
        <v>46212.0</v>
      </c>
      <c r="C269" s="35">
        <v>22822.0</v>
      </c>
      <c r="D269" s="35">
        <v>60.0</v>
      </c>
      <c r="E269" s="37">
        <v>7.99</v>
      </c>
      <c r="F269" s="38">
        <f t="shared" si="2"/>
        <v>479.4</v>
      </c>
      <c r="G269" s="35" t="s">
        <v>1632</v>
      </c>
      <c r="H269" s="35" t="s">
        <v>1633</v>
      </c>
      <c r="I269" s="35" t="s">
        <v>240</v>
      </c>
      <c r="J269" s="35" t="s">
        <v>1036</v>
      </c>
      <c r="K269" s="35" t="s">
        <v>1037</v>
      </c>
      <c r="L269" s="35" t="s">
        <v>96</v>
      </c>
      <c r="M269" s="39">
        <v>1.0</v>
      </c>
      <c r="N269" s="40">
        <v>46212.0</v>
      </c>
      <c r="O269" s="42" t="b">
        <v>1</v>
      </c>
      <c r="P269" s="44">
        <v>46217.0</v>
      </c>
      <c r="Q269" s="34"/>
      <c r="R269" s="34"/>
      <c r="S269" s="34"/>
      <c r="T269" s="34"/>
    </row>
    <row r="270" ht="15.75" customHeight="1">
      <c r="B270" s="33">
        <v>46212.0</v>
      </c>
      <c r="C270" s="35">
        <v>22822.0</v>
      </c>
      <c r="D270" s="35">
        <v>48.0</v>
      </c>
      <c r="E270" s="37">
        <v>14.9</v>
      </c>
      <c r="F270" s="38">
        <f t="shared" si="2"/>
        <v>715.2</v>
      </c>
      <c r="G270" s="35" t="s">
        <v>1637</v>
      </c>
      <c r="H270" s="35" t="s">
        <v>1638</v>
      </c>
      <c r="I270" s="35" t="s">
        <v>240</v>
      </c>
      <c r="J270" s="35" t="s">
        <v>1036</v>
      </c>
      <c r="K270" s="35" t="s">
        <v>1037</v>
      </c>
      <c r="L270" s="35" t="s">
        <v>96</v>
      </c>
      <c r="M270" s="39">
        <v>1.0</v>
      </c>
      <c r="N270" s="40">
        <v>46212.0</v>
      </c>
      <c r="O270" s="42" t="b">
        <v>1</v>
      </c>
      <c r="P270" s="44">
        <v>46217.0</v>
      </c>
      <c r="Q270" s="34"/>
      <c r="R270" s="34"/>
      <c r="S270" s="34"/>
      <c r="T270" s="34"/>
    </row>
    <row r="271" ht="15.75" customHeight="1">
      <c r="B271" s="33">
        <v>46212.0</v>
      </c>
      <c r="C271" s="35">
        <v>22822.0</v>
      </c>
      <c r="D271" s="35">
        <v>20.0</v>
      </c>
      <c r="E271" s="37">
        <v>44.99</v>
      </c>
      <c r="F271" s="38">
        <f t="shared" si="2"/>
        <v>899.8</v>
      </c>
      <c r="G271" s="35" t="s">
        <v>1646</v>
      </c>
      <c r="H271" s="35" t="s">
        <v>1648</v>
      </c>
      <c r="I271" s="35" t="s">
        <v>240</v>
      </c>
      <c r="J271" s="35" t="s">
        <v>1036</v>
      </c>
      <c r="K271" s="35" t="s">
        <v>1037</v>
      </c>
      <c r="L271" s="35" t="s">
        <v>96</v>
      </c>
      <c r="M271" s="39">
        <v>1.0</v>
      </c>
      <c r="N271" s="40">
        <v>46212.0</v>
      </c>
      <c r="O271" s="42" t="b">
        <v>1</v>
      </c>
      <c r="P271" s="44">
        <v>46217.0</v>
      </c>
      <c r="Q271" s="34"/>
      <c r="R271" s="34"/>
      <c r="S271" s="34"/>
      <c r="T271" s="34"/>
    </row>
    <row r="272" ht="15.75" customHeight="1">
      <c r="B272" s="33">
        <v>46212.0</v>
      </c>
      <c r="C272" s="35">
        <v>22827.0</v>
      </c>
      <c r="D272" s="35">
        <v>24.0</v>
      </c>
      <c r="E272" s="37">
        <v>12.9</v>
      </c>
      <c r="F272" s="38">
        <f t="shared" si="2"/>
        <v>309.6</v>
      </c>
      <c r="G272" s="35" t="s">
        <v>1652</v>
      </c>
      <c r="H272" s="35" t="s">
        <v>1653</v>
      </c>
      <c r="I272" s="35" t="s">
        <v>240</v>
      </c>
      <c r="J272" s="35" t="s">
        <v>1036</v>
      </c>
      <c r="K272" s="35" t="s">
        <v>1037</v>
      </c>
      <c r="L272" s="35" t="s">
        <v>96</v>
      </c>
      <c r="M272" s="39">
        <v>1.0</v>
      </c>
      <c r="N272" s="40">
        <v>46212.0</v>
      </c>
      <c r="O272" s="42" t="b">
        <v>1</v>
      </c>
      <c r="P272" s="44">
        <v>46217.0</v>
      </c>
      <c r="Q272" s="34"/>
      <c r="R272" s="34"/>
      <c r="S272" s="34"/>
      <c r="T272" s="34"/>
    </row>
    <row r="273" ht="15.75" customHeight="1">
      <c r="B273" s="33">
        <v>46212.0</v>
      </c>
      <c r="C273" s="35">
        <v>22827.0</v>
      </c>
      <c r="D273" s="35">
        <v>72.0</v>
      </c>
      <c r="E273" s="37">
        <v>9.59</v>
      </c>
      <c r="F273" s="38">
        <f t="shared" si="2"/>
        <v>690.48</v>
      </c>
      <c r="G273" s="35" t="s">
        <v>1655</v>
      </c>
      <c r="H273" s="35" t="s">
        <v>1656</v>
      </c>
      <c r="I273" s="35" t="s">
        <v>240</v>
      </c>
      <c r="J273" s="35" t="s">
        <v>1036</v>
      </c>
      <c r="K273" s="35" t="s">
        <v>1037</v>
      </c>
      <c r="L273" s="35" t="s">
        <v>96</v>
      </c>
      <c r="M273" s="39">
        <v>1.0</v>
      </c>
      <c r="N273" s="40">
        <v>46212.0</v>
      </c>
      <c r="O273" s="42" t="b">
        <v>1</v>
      </c>
      <c r="P273" s="44">
        <v>46217.0</v>
      </c>
      <c r="Q273" s="34"/>
      <c r="R273" s="34"/>
      <c r="S273" s="34"/>
      <c r="T273" s="34"/>
    </row>
    <row r="274" ht="15.75" customHeight="1">
      <c r="B274" s="33">
        <v>46212.0</v>
      </c>
      <c r="C274" s="35">
        <v>22827.0</v>
      </c>
      <c r="D274" s="35">
        <v>60.0</v>
      </c>
      <c r="E274" s="37">
        <v>16.9</v>
      </c>
      <c r="F274" s="38">
        <f t="shared" si="2"/>
        <v>1014</v>
      </c>
      <c r="G274" s="35" t="s">
        <v>1659</v>
      </c>
      <c r="H274" s="35" t="s">
        <v>1660</v>
      </c>
      <c r="I274" s="35" t="s">
        <v>240</v>
      </c>
      <c r="J274" s="35" t="s">
        <v>1036</v>
      </c>
      <c r="K274" s="35" t="s">
        <v>1037</v>
      </c>
      <c r="L274" s="35" t="s">
        <v>96</v>
      </c>
      <c r="M274" s="39">
        <v>1.0</v>
      </c>
      <c r="N274" s="40">
        <v>46212.0</v>
      </c>
      <c r="O274" s="42" t="b">
        <v>1</v>
      </c>
      <c r="P274" s="44">
        <v>46217.0</v>
      </c>
      <c r="Q274" s="34"/>
      <c r="R274" s="34"/>
      <c r="S274" s="34"/>
      <c r="T274" s="34"/>
    </row>
    <row r="275" ht="15.75" customHeight="1">
      <c r="B275" s="33">
        <v>46212.0</v>
      </c>
      <c r="C275" s="35">
        <v>22827.0</v>
      </c>
      <c r="D275" s="35">
        <v>20.0</v>
      </c>
      <c r="E275" s="37">
        <v>34.9</v>
      </c>
      <c r="F275" s="38">
        <f t="shared" si="2"/>
        <v>698</v>
      </c>
      <c r="G275" s="35" t="s">
        <v>1663</v>
      </c>
      <c r="H275" s="35" t="s">
        <v>855</v>
      </c>
      <c r="I275" s="35" t="s">
        <v>240</v>
      </c>
      <c r="J275" s="35" t="s">
        <v>1036</v>
      </c>
      <c r="K275" s="35" t="s">
        <v>1037</v>
      </c>
      <c r="L275" s="35" t="s">
        <v>96</v>
      </c>
      <c r="M275" s="39">
        <v>1.0</v>
      </c>
      <c r="N275" s="40">
        <v>46212.0</v>
      </c>
      <c r="O275" s="42" t="b">
        <v>1</v>
      </c>
      <c r="P275" s="44">
        <v>46217.0</v>
      </c>
      <c r="Q275" s="34"/>
      <c r="R275" s="34"/>
      <c r="S275" s="34"/>
      <c r="T275" s="34"/>
    </row>
    <row r="276" ht="15.75" customHeight="1">
      <c r="B276" s="33">
        <v>46212.0</v>
      </c>
      <c r="C276" s="35">
        <v>22827.0</v>
      </c>
      <c r="D276" s="35">
        <v>60.0</v>
      </c>
      <c r="E276" s="37">
        <v>13.9</v>
      </c>
      <c r="F276" s="38">
        <f t="shared" si="2"/>
        <v>834</v>
      </c>
      <c r="G276" s="35" t="s">
        <v>1666</v>
      </c>
      <c r="H276" s="35" t="s">
        <v>1668</v>
      </c>
      <c r="I276" s="35" t="s">
        <v>240</v>
      </c>
      <c r="J276" s="35" t="s">
        <v>1036</v>
      </c>
      <c r="K276" s="35" t="s">
        <v>1037</v>
      </c>
      <c r="L276" s="35" t="s">
        <v>96</v>
      </c>
      <c r="M276" s="39">
        <v>1.0</v>
      </c>
      <c r="N276" s="40">
        <v>46212.0</v>
      </c>
      <c r="O276" s="42" t="b">
        <v>1</v>
      </c>
      <c r="P276" s="44">
        <v>46217.0</v>
      </c>
      <c r="Q276" s="34"/>
      <c r="R276" s="34"/>
      <c r="S276" s="34"/>
      <c r="T276" s="34"/>
    </row>
    <row r="277" ht="15.75" customHeight="1">
      <c r="B277" s="33">
        <v>46212.0</v>
      </c>
      <c r="C277" s="35">
        <v>22827.0</v>
      </c>
      <c r="D277" s="35">
        <v>20.0</v>
      </c>
      <c r="E277" s="37">
        <v>16.99</v>
      </c>
      <c r="F277" s="38">
        <f t="shared" si="2"/>
        <v>339.8</v>
      </c>
      <c r="G277" s="35" t="s">
        <v>826</v>
      </c>
      <c r="H277" s="35" t="s">
        <v>828</v>
      </c>
      <c r="I277" s="35" t="s">
        <v>240</v>
      </c>
      <c r="J277" s="35" t="s">
        <v>1036</v>
      </c>
      <c r="K277" s="35" t="s">
        <v>1037</v>
      </c>
      <c r="L277" s="35" t="s">
        <v>96</v>
      </c>
      <c r="M277" s="39">
        <v>1.0</v>
      </c>
      <c r="N277" s="40">
        <v>46212.0</v>
      </c>
      <c r="O277" s="42" t="b">
        <v>1</v>
      </c>
      <c r="P277" s="44">
        <v>46217.0</v>
      </c>
      <c r="Q277" s="34"/>
      <c r="R277" s="34"/>
      <c r="S277" s="34"/>
      <c r="T277" s="34"/>
    </row>
    <row r="278" ht="15.75" customHeight="1">
      <c r="B278" s="33">
        <v>46212.0</v>
      </c>
      <c r="C278" s="35">
        <v>22827.0</v>
      </c>
      <c r="D278" s="35">
        <v>300.0</v>
      </c>
      <c r="E278" s="37">
        <v>2.2</v>
      </c>
      <c r="F278" s="38">
        <f t="shared" si="2"/>
        <v>660</v>
      </c>
      <c r="G278" s="35" t="s">
        <v>1678</v>
      </c>
      <c r="H278" s="35" t="s">
        <v>1680</v>
      </c>
      <c r="I278" s="35" t="s">
        <v>240</v>
      </c>
      <c r="J278" s="35" t="s">
        <v>1036</v>
      </c>
      <c r="K278" s="35" t="s">
        <v>1037</v>
      </c>
      <c r="L278" s="35" t="s">
        <v>96</v>
      </c>
      <c r="M278" s="39">
        <v>1.0</v>
      </c>
      <c r="N278" s="40">
        <v>46212.0</v>
      </c>
      <c r="O278" s="42" t="b">
        <v>1</v>
      </c>
      <c r="P278" s="44">
        <v>46217.0</v>
      </c>
      <c r="Q278" s="34"/>
      <c r="R278" s="34"/>
      <c r="S278" s="34"/>
      <c r="T278" s="34"/>
    </row>
    <row r="279" ht="15.75" customHeight="1">
      <c r="B279" s="33">
        <v>46212.0</v>
      </c>
      <c r="C279" s="35">
        <v>22827.0</v>
      </c>
      <c r="D279" s="35">
        <v>144.0</v>
      </c>
      <c r="E279" s="37">
        <v>2.99</v>
      </c>
      <c r="F279" s="38">
        <f t="shared" si="2"/>
        <v>430.56</v>
      </c>
      <c r="G279" s="35" t="s">
        <v>1685</v>
      </c>
      <c r="H279" s="35" t="s">
        <v>1687</v>
      </c>
      <c r="I279" s="35" t="s">
        <v>240</v>
      </c>
      <c r="J279" s="35" t="s">
        <v>1036</v>
      </c>
      <c r="K279" s="35" t="s">
        <v>1037</v>
      </c>
      <c r="L279" s="35" t="s">
        <v>96</v>
      </c>
      <c r="M279" s="39">
        <v>1.0</v>
      </c>
      <c r="N279" s="40">
        <v>46212.0</v>
      </c>
      <c r="O279" s="42" t="b">
        <v>1</v>
      </c>
      <c r="P279" s="44">
        <v>46217.0</v>
      </c>
      <c r="Q279" s="34"/>
      <c r="R279" s="34"/>
      <c r="S279" s="34"/>
      <c r="T279" s="34"/>
    </row>
    <row r="280" ht="15.75" customHeight="1">
      <c r="B280" s="33">
        <v>46212.0</v>
      </c>
      <c r="C280" s="35">
        <v>22827.0</v>
      </c>
      <c r="D280" s="35">
        <v>144.0</v>
      </c>
      <c r="E280" s="37">
        <v>2.9</v>
      </c>
      <c r="F280" s="38">
        <f t="shared" si="2"/>
        <v>417.6</v>
      </c>
      <c r="G280" s="35" t="s">
        <v>1689</v>
      </c>
      <c r="H280" s="35" t="s">
        <v>1690</v>
      </c>
      <c r="I280" s="35" t="s">
        <v>240</v>
      </c>
      <c r="J280" s="35" t="s">
        <v>1036</v>
      </c>
      <c r="K280" s="35" t="s">
        <v>1037</v>
      </c>
      <c r="L280" s="35" t="s">
        <v>96</v>
      </c>
      <c r="M280" s="39">
        <v>1.0</v>
      </c>
      <c r="N280" s="40">
        <v>46212.0</v>
      </c>
      <c r="O280" s="42" t="b">
        <v>1</v>
      </c>
      <c r="P280" s="44">
        <v>46217.0</v>
      </c>
      <c r="Q280" s="34"/>
      <c r="R280" s="34"/>
      <c r="S280" s="34"/>
      <c r="T280" s="34"/>
    </row>
    <row r="281" ht="15.75" customHeight="1">
      <c r="B281" s="33">
        <v>46212.0</v>
      </c>
      <c r="C281" s="35">
        <v>22827.0</v>
      </c>
      <c r="D281" s="35">
        <v>100.0</v>
      </c>
      <c r="E281" s="37">
        <v>10.9</v>
      </c>
      <c r="F281" s="38">
        <f t="shared" si="2"/>
        <v>1090</v>
      </c>
      <c r="G281" s="35" t="s">
        <v>1693</v>
      </c>
      <c r="H281" s="35" t="s">
        <v>1694</v>
      </c>
      <c r="I281" s="35" t="s">
        <v>240</v>
      </c>
      <c r="J281" s="35" t="s">
        <v>1036</v>
      </c>
      <c r="K281" s="35" t="s">
        <v>1037</v>
      </c>
      <c r="L281" s="35" t="s">
        <v>96</v>
      </c>
      <c r="M281" s="39">
        <v>1.0</v>
      </c>
      <c r="N281" s="40">
        <v>46212.0</v>
      </c>
      <c r="O281" s="42" t="b">
        <v>1</v>
      </c>
      <c r="P281" s="44">
        <v>46217.0</v>
      </c>
      <c r="Q281" s="34"/>
      <c r="R281" s="34"/>
      <c r="S281" s="34"/>
      <c r="T281" s="34"/>
    </row>
    <row r="282" ht="15.75" customHeight="1">
      <c r="B282" s="33">
        <v>46212.0</v>
      </c>
      <c r="C282" s="35">
        <v>22827.0</v>
      </c>
      <c r="D282" s="35">
        <v>100.0</v>
      </c>
      <c r="E282" s="37">
        <v>13.9</v>
      </c>
      <c r="F282" s="38">
        <f t="shared" si="2"/>
        <v>1390</v>
      </c>
      <c r="G282" s="35" t="s">
        <v>1698</v>
      </c>
      <c r="H282" s="35" t="s">
        <v>1700</v>
      </c>
      <c r="I282" s="35" t="s">
        <v>240</v>
      </c>
      <c r="J282" s="35" t="s">
        <v>1036</v>
      </c>
      <c r="K282" s="35" t="s">
        <v>1037</v>
      </c>
      <c r="L282" s="35" t="s">
        <v>96</v>
      </c>
      <c r="M282" s="39">
        <v>1.0</v>
      </c>
      <c r="N282" s="40">
        <v>46212.0</v>
      </c>
      <c r="O282" s="42" t="b">
        <v>1</v>
      </c>
      <c r="P282" s="44">
        <v>46217.0</v>
      </c>
      <c r="Q282" s="34"/>
      <c r="R282" s="34"/>
      <c r="S282" s="34"/>
      <c r="T282" s="34"/>
    </row>
    <row r="283" ht="15.75" customHeight="1">
      <c r="B283" s="33">
        <v>46212.0</v>
      </c>
      <c r="C283" s="35">
        <v>22827.0</v>
      </c>
      <c r="D283" s="35">
        <v>100.0</v>
      </c>
      <c r="E283" s="37">
        <v>11.9</v>
      </c>
      <c r="F283" s="38">
        <f t="shared" si="2"/>
        <v>1190</v>
      </c>
      <c r="G283" s="35" t="s">
        <v>1703</v>
      </c>
      <c r="H283" s="35" t="s">
        <v>1705</v>
      </c>
      <c r="I283" s="35" t="s">
        <v>240</v>
      </c>
      <c r="J283" s="35" t="s">
        <v>1036</v>
      </c>
      <c r="K283" s="35" t="s">
        <v>1037</v>
      </c>
      <c r="L283" s="35" t="s">
        <v>96</v>
      </c>
      <c r="M283" s="39">
        <v>1.0</v>
      </c>
      <c r="N283" s="40">
        <v>46212.0</v>
      </c>
      <c r="O283" s="42" t="b">
        <v>1</v>
      </c>
      <c r="P283" s="44">
        <v>46217.0</v>
      </c>
      <c r="Q283" s="34"/>
      <c r="R283" s="34"/>
      <c r="S283" s="34"/>
      <c r="T283" s="34"/>
    </row>
    <row r="284" ht="15.75" customHeight="1">
      <c r="B284" s="33">
        <v>46212.0</v>
      </c>
      <c r="C284" s="35">
        <v>22827.0</v>
      </c>
      <c r="D284" s="35">
        <v>100.0</v>
      </c>
      <c r="E284" s="37">
        <v>13.9</v>
      </c>
      <c r="F284" s="38">
        <f t="shared" si="2"/>
        <v>1390</v>
      </c>
      <c r="G284" s="35" t="s">
        <v>1708</v>
      </c>
      <c r="H284" s="35" t="s">
        <v>1710</v>
      </c>
      <c r="I284" s="35" t="s">
        <v>240</v>
      </c>
      <c r="J284" s="35" t="s">
        <v>1036</v>
      </c>
      <c r="K284" s="35" t="s">
        <v>1037</v>
      </c>
      <c r="L284" s="35" t="s">
        <v>96</v>
      </c>
      <c r="M284" s="39">
        <v>1.0</v>
      </c>
      <c r="N284" s="40">
        <v>46212.0</v>
      </c>
      <c r="O284" s="42" t="b">
        <v>1</v>
      </c>
      <c r="P284" s="44">
        <v>46217.0</v>
      </c>
      <c r="Q284" s="34"/>
      <c r="R284" s="34"/>
      <c r="S284" s="34"/>
      <c r="T284" s="34"/>
    </row>
    <row r="285" ht="15.75" customHeight="1">
      <c r="B285" s="33">
        <v>46212.0</v>
      </c>
      <c r="C285" s="46" t="s">
        <v>1714</v>
      </c>
      <c r="D285" s="35">
        <v>6.0</v>
      </c>
      <c r="E285" s="37">
        <v>207.0</v>
      </c>
      <c r="F285" s="38">
        <f t="shared" si="2"/>
        <v>1242</v>
      </c>
      <c r="G285" s="35" t="s">
        <v>1717</v>
      </c>
      <c r="H285" s="35" t="s">
        <v>1718</v>
      </c>
      <c r="I285" s="35" t="s">
        <v>59</v>
      </c>
      <c r="J285" s="35" t="s">
        <v>34</v>
      </c>
      <c r="K285" s="35" t="s">
        <v>35</v>
      </c>
      <c r="L285" s="35" t="s">
        <v>46</v>
      </c>
      <c r="M285" s="39">
        <v>1.0</v>
      </c>
      <c r="N285" s="40">
        <v>46215.0</v>
      </c>
      <c r="O285" s="42" t="b">
        <v>1</v>
      </c>
      <c r="P285" s="44">
        <v>46216.0</v>
      </c>
      <c r="Q285" s="34"/>
      <c r="R285" s="34"/>
      <c r="S285" s="34"/>
      <c r="T285" s="34"/>
    </row>
    <row r="286" ht="15.75" customHeight="1">
      <c r="B286" s="33">
        <v>46212.0</v>
      </c>
      <c r="C286" s="46" t="s">
        <v>1714</v>
      </c>
      <c r="D286" s="35">
        <v>6.0</v>
      </c>
      <c r="E286" s="37">
        <v>207.0</v>
      </c>
      <c r="F286" s="38">
        <f t="shared" si="2"/>
        <v>1242</v>
      </c>
      <c r="G286" s="35" t="s">
        <v>1721</v>
      </c>
      <c r="H286" s="35" t="s">
        <v>1718</v>
      </c>
      <c r="I286" s="35" t="s">
        <v>59</v>
      </c>
      <c r="J286" s="35" t="s">
        <v>34</v>
      </c>
      <c r="K286" s="35" t="s">
        <v>35</v>
      </c>
      <c r="L286" s="35" t="s">
        <v>46</v>
      </c>
      <c r="M286" s="39">
        <v>1.0</v>
      </c>
      <c r="N286" s="40">
        <v>46215.0</v>
      </c>
      <c r="O286" s="42" t="b">
        <v>1</v>
      </c>
      <c r="P286" s="44">
        <v>46216.0</v>
      </c>
      <c r="Q286" s="34"/>
      <c r="R286" s="34"/>
      <c r="S286" s="34"/>
      <c r="T286" s="34"/>
    </row>
    <row r="287" ht="15.75" customHeight="1">
      <c r="B287" s="33">
        <v>46212.0</v>
      </c>
      <c r="C287" s="46" t="s">
        <v>1714</v>
      </c>
      <c r="D287" s="35">
        <v>100.0</v>
      </c>
      <c r="E287" s="37">
        <v>19.8</v>
      </c>
      <c r="F287" s="38">
        <f t="shared" si="2"/>
        <v>1980</v>
      </c>
      <c r="G287" s="35" t="s">
        <v>1726</v>
      </c>
      <c r="H287" s="35" t="s">
        <v>1727</v>
      </c>
      <c r="I287" s="35" t="s">
        <v>59</v>
      </c>
      <c r="J287" s="35" t="s">
        <v>34</v>
      </c>
      <c r="K287" s="35" t="s">
        <v>35</v>
      </c>
      <c r="L287" s="35" t="s">
        <v>62</v>
      </c>
      <c r="M287" s="39">
        <v>1.0</v>
      </c>
      <c r="N287" s="40">
        <v>46215.0</v>
      </c>
      <c r="O287" s="42" t="b">
        <v>1</v>
      </c>
      <c r="P287" s="44">
        <v>46216.0</v>
      </c>
      <c r="Q287" s="34"/>
      <c r="R287" s="34"/>
      <c r="S287" s="34"/>
      <c r="T287" s="34"/>
    </row>
    <row r="288" ht="15.75" customHeight="1">
      <c r="B288" s="33">
        <v>46212.0</v>
      </c>
      <c r="C288" s="46" t="s">
        <v>1714</v>
      </c>
      <c r="D288" s="35">
        <v>100.0</v>
      </c>
      <c r="E288" s="37">
        <v>27.0</v>
      </c>
      <c r="F288" s="38">
        <f t="shared" si="2"/>
        <v>2700</v>
      </c>
      <c r="G288" s="35" t="s">
        <v>1726</v>
      </c>
      <c r="H288" s="35" t="s">
        <v>1731</v>
      </c>
      <c r="I288" s="35" t="s">
        <v>59</v>
      </c>
      <c r="J288" s="35" t="s">
        <v>34</v>
      </c>
      <c r="K288" s="35" t="s">
        <v>35</v>
      </c>
      <c r="L288" s="35" t="s">
        <v>62</v>
      </c>
      <c r="M288" s="39">
        <v>1.0</v>
      </c>
      <c r="N288" s="40">
        <v>46215.0</v>
      </c>
      <c r="O288" s="42" t="b">
        <v>1</v>
      </c>
      <c r="P288" s="44">
        <v>46216.0</v>
      </c>
      <c r="Q288" s="34"/>
      <c r="R288" s="34"/>
      <c r="S288" s="34"/>
      <c r="T288" s="34"/>
    </row>
    <row r="289" ht="15.75" customHeight="1">
      <c r="B289" s="33">
        <v>46212.0</v>
      </c>
      <c r="C289" s="46" t="s">
        <v>1714</v>
      </c>
      <c r="D289" s="35">
        <v>40.0</v>
      </c>
      <c r="E289" s="37">
        <v>14.4</v>
      </c>
      <c r="F289" s="38">
        <f t="shared" si="2"/>
        <v>576</v>
      </c>
      <c r="G289" s="35" t="s">
        <v>1734</v>
      </c>
      <c r="H289" s="35" t="s">
        <v>1735</v>
      </c>
      <c r="I289" s="35" t="s">
        <v>59</v>
      </c>
      <c r="J289" s="35" t="s">
        <v>34</v>
      </c>
      <c r="K289" s="35" t="s">
        <v>35</v>
      </c>
      <c r="L289" s="35" t="s">
        <v>62</v>
      </c>
      <c r="M289" s="39">
        <v>1.0</v>
      </c>
      <c r="N289" s="40">
        <v>46215.0</v>
      </c>
      <c r="O289" s="42" t="b">
        <v>1</v>
      </c>
      <c r="P289" s="44">
        <v>46216.0</v>
      </c>
      <c r="Q289" s="34"/>
      <c r="R289" s="34"/>
      <c r="S289" s="34"/>
      <c r="T289" s="34"/>
    </row>
    <row r="290" ht="15.75" customHeight="1">
      <c r="B290" s="33">
        <v>46212.0</v>
      </c>
      <c r="C290" s="46" t="s">
        <v>1714</v>
      </c>
      <c r="D290" s="35">
        <v>1000.0</v>
      </c>
      <c r="E290" s="37">
        <v>1.62</v>
      </c>
      <c r="F290" s="38">
        <f t="shared" si="2"/>
        <v>1620</v>
      </c>
      <c r="G290" s="35" t="s">
        <v>1740</v>
      </c>
      <c r="H290" s="35" t="s">
        <v>1741</v>
      </c>
      <c r="I290" s="35" t="s">
        <v>59</v>
      </c>
      <c r="J290" s="35" t="s">
        <v>34</v>
      </c>
      <c r="K290" s="35" t="s">
        <v>35</v>
      </c>
      <c r="L290" s="35" t="s">
        <v>62</v>
      </c>
      <c r="M290" s="39">
        <v>1.0</v>
      </c>
      <c r="N290" s="40">
        <v>46215.0</v>
      </c>
      <c r="O290" s="42" t="b">
        <v>1</v>
      </c>
      <c r="P290" s="44">
        <v>46216.0</v>
      </c>
      <c r="Q290" s="34"/>
      <c r="R290" s="34"/>
      <c r="S290" s="34"/>
      <c r="T290" s="34"/>
    </row>
    <row r="291" ht="15.75" customHeight="1">
      <c r="B291" s="33">
        <v>46213.0</v>
      </c>
      <c r="C291" s="35">
        <v>22878.0</v>
      </c>
      <c r="D291" s="35">
        <v>6.0</v>
      </c>
      <c r="E291" s="37">
        <v>53.9</v>
      </c>
      <c r="F291" s="38">
        <f t="shared" si="2"/>
        <v>323.4</v>
      </c>
      <c r="G291" s="35" t="s">
        <v>1743</v>
      </c>
      <c r="H291" s="35" t="s">
        <v>1673</v>
      </c>
      <c r="I291" s="35" t="s">
        <v>240</v>
      </c>
      <c r="J291" s="35" t="s">
        <v>1036</v>
      </c>
      <c r="K291" s="35" t="s">
        <v>1037</v>
      </c>
      <c r="L291" s="35" t="s">
        <v>96</v>
      </c>
      <c r="M291" s="39">
        <v>1.0</v>
      </c>
      <c r="N291" s="40">
        <v>46212.0</v>
      </c>
      <c r="O291" s="42" t="b">
        <v>1</v>
      </c>
      <c r="P291" s="44">
        <v>46217.0</v>
      </c>
      <c r="Q291" s="34"/>
      <c r="R291" s="34"/>
      <c r="S291" s="34"/>
      <c r="T291" s="34"/>
    </row>
    <row r="292" ht="15.75" customHeight="1">
      <c r="B292" s="33">
        <v>46213.0</v>
      </c>
      <c r="C292" s="35">
        <v>13228.0</v>
      </c>
      <c r="D292" s="35">
        <v>60.0</v>
      </c>
      <c r="E292" s="37">
        <v>24.18</v>
      </c>
      <c r="F292" s="38">
        <f t="shared" si="2"/>
        <v>1450.8</v>
      </c>
      <c r="G292" s="35" t="s">
        <v>1746</v>
      </c>
      <c r="H292" s="35" t="s">
        <v>1747</v>
      </c>
      <c r="I292" s="35" t="s">
        <v>240</v>
      </c>
      <c r="J292" s="35" t="s">
        <v>183</v>
      </c>
      <c r="K292" s="35" t="s">
        <v>35</v>
      </c>
      <c r="L292" s="35" t="s">
        <v>340</v>
      </c>
      <c r="M292" s="39">
        <v>1.0</v>
      </c>
      <c r="N292" s="40">
        <v>46217.0</v>
      </c>
      <c r="O292" s="42" t="b">
        <v>1</v>
      </c>
      <c r="P292" s="44">
        <v>46218.0</v>
      </c>
      <c r="Q292" s="34"/>
      <c r="R292" s="34"/>
      <c r="S292" s="34"/>
      <c r="T292" s="34"/>
    </row>
    <row r="293" ht="15.75" customHeight="1">
      <c r="B293" s="33">
        <v>46213.0</v>
      </c>
      <c r="C293" s="35">
        <v>229543.0</v>
      </c>
      <c r="D293" s="35">
        <v>1000.0</v>
      </c>
      <c r="E293" s="37">
        <v>35.26</v>
      </c>
      <c r="F293" s="38">
        <f t="shared" si="2"/>
        <v>35260</v>
      </c>
      <c r="G293" s="35" t="s">
        <v>1749</v>
      </c>
      <c r="H293" s="35" t="s">
        <v>1750</v>
      </c>
      <c r="I293" s="35" t="s">
        <v>41</v>
      </c>
      <c r="J293" s="35" t="s">
        <v>40</v>
      </c>
      <c r="K293" s="35" t="s">
        <v>345</v>
      </c>
      <c r="L293" s="35" t="s">
        <v>193</v>
      </c>
      <c r="M293" s="39">
        <v>1.0</v>
      </c>
      <c r="N293" s="40">
        <v>46223.0</v>
      </c>
      <c r="O293" s="42" t="b">
        <v>1</v>
      </c>
      <c r="P293" s="44">
        <v>46225.0</v>
      </c>
      <c r="Q293" s="34"/>
      <c r="R293" s="34"/>
      <c r="S293" s="34"/>
      <c r="T293" s="34"/>
    </row>
    <row r="294" ht="15.75" customHeight="1">
      <c r="B294" s="33">
        <v>46213.0</v>
      </c>
      <c r="C294" s="35">
        <v>229543.0</v>
      </c>
      <c r="D294" s="35">
        <v>4000.0</v>
      </c>
      <c r="E294" s="37">
        <v>78.0</v>
      </c>
      <c r="F294" s="38">
        <f t="shared" si="2"/>
        <v>312000</v>
      </c>
      <c r="G294" s="35" t="s">
        <v>1752</v>
      </c>
      <c r="H294" s="35" t="s">
        <v>123</v>
      </c>
      <c r="I294" s="35" t="s">
        <v>41</v>
      </c>
      <c r="J294" s="35" t="s">
        <v>40</v>
      </c>
      <c r="K294" s="35" t="s">
        <v>345</v>
      </c>
      <c r="L294" s="35" t="s">
        <v>193</v>
      </c>
      <c r="M294" s="39">
        <v>1.0</v>
      </c>
      <c r="N294" s="40">
        <v>46223.0</v>
      </c>
      <c r="O294" s="42" t="b">
        <v>1</v>
      </c>
      <c r="P294" s="44">
        <v>46225.0</v>
      </c>
      <c r="Q294" s="34"/>
      <c r="R294" s="34"/>
      <c r="S294" s="34"/>
      <c r="T294" s="34"/>
    </row>
    <row r="295" ht="15.75" customHeight="1">
      <c r="B295" s="33">
        <v>46213.0</v>
      </c>
      <c r="C295" s="35" t="s">
        <v>35</v>
      </c>
      <c r="D295" s="35">
        <v>1.0</v>
      </c>
      <c r="E295" s="37">
        <v>760.0</v>
      </c>
      <c r="F295" s="38">
        <f t="shared" si="2"/>
        <v>760</v>
      </c>
      <c r="G295" s="35" t="s">
        <v>1755</v>
      </c>
      <c r="H295" s="35" t="s">
        <v>35</v>
      </c>
      <c r="I295" s="35" t="s">
        <v>240</v>
      </c>
      <c r="J295" s="35" t="s">
        <v>34</v>
      </c>
      <c r="K295" s="35" t="s">
        <v>35</v>
      </c>
      <c r="L295" s="35" t="s">
        <v>868</v>
      </c>
      <c r="M295" s="39">
        <v>31.0</v>
      </c>
      <c r="N295" s="40">
        <v>46213.0</v>
      </c>
      <c r="O295" s="42" t="b">
        <v>1</v>
      </c>
      <c r="P295" s="44">
        <v>46218.0</v>
      </c>
      <c r="Q295" s="34"/>
      <c r="R295" s="34"/>
      <c r="S295" s="34"/>
      <c r="T295" s="34"/>
    </row>
    <row r="296" ht="15.75" customHeight="1">
      <c r="B296" s="33">
        <v>46213.0</v>
      </c>
      <c r="C296" s="35">
        <v>239.0</v>
      </c>
      <c r="D296" s="35">
        <v>1100.0</v>
      </c>
      <c r="E296" s="37">
        <v>31.0</v>
      </c>
      <c r="F296" s="38">
        <f t="shared" si="2"/>
        <v>34100</v>
      </c>
      <c r="G296" s="35" t="s">
        <v>1759</v>
      </c>
      <c r="H296" s="35" t="s">
        <v>35</v>
      </c>
      <c r="I296" s="35" t="s">
        <v>32</v>
      </c>
      <c r="J296" s="35" t="s">
        <v>34</v>
      </c>
      <c r="K296" s="35" t="s">
        <v>35</v>
      </c>
      <c r="L296" s="35" t="s">
        <v>1760</v>
      </c>
      <c r="M296" s="39">
        <v>1.0</v>
      </c>
      <c r="N296" s="40">
        <v>46217.0</v>
      </c>
      <c r="O296" s="42" t="b">
        <v>1</v>
      </c>
      <c r="P296" s="44">
        <v>46218.0</v>
      </c>
      <c r="Q296" s="34"/>
      <c r="R296" s="34"/>
      <c r="S296" s="34"/>
      <c r="T296" s="34"/>
    </row>
    <row r="297" ht="15.75" customHeight="1">
      <c r="B297" s="33">
        <v>46213.0</v>
      </c>
      <c r="C297" s="35">
        <v>240.0</v>
      </c>
      <c r="D297" s="35">
        <v>500.0</v>
      </c>
      <c r="E297" s="37">
        <v>25.0</v>
      </c>
      <c r="F297" s="38">
        <f t="shared" si="2"/>
        <v>12500</v>
      </c>
      <c r="G297" s="35" t="s">
        <v>1763</v>
      </c>
      <c r="H297" s="35" t="s">
        <v>35</v>
      </c>
      <c r="I297" s="35" t="s">
        <v>32</v>
      </c>
      <c r="J297" s="35" t="s">
        <v>34</v>
      </c>
      <c r="K297" s="35" t="s">
        <v>35</v>
      </c>
      <c r="L297" s="35" t="s">
        <v>1760</v>
      </c>
      <c r="M297" s="39">
        <v>1.0</v>
      </c>
      <c r="N297" s="40">
        <v>46217.0</v>
      </c>
      <c r="O297" s="42" t="b">
        <v>1</v>
      </c>
      <c r="P297" s="44">
        <v>46218.0</v>
      </c>
      <c r="Q297" s="34"/>
      <c r="R297" s="34"/>
      <c r="S297" s="34"/>
      <c r="T297" s="34"/>
    </row>
    <row r="298" ht="15.75" customHeight="1">
      <c r="B298" s="33">
        <v>46213.0</v>
      </c>
      <c r="C298" s="35">
        <v>1041.0</v>
      </c>
      <c r="D298" s="35">
        <v>200.0</v>
      </c>
      <c r="E298" s="37">
        <v>152.0</v>
      </c>
      <c r="F298" s="38">
        <f t="shared" si="2"/>
        <v>30400</v>
      </c>
      <c r="G298" s="35" t="s">
        <v>659</v>
      </c>
      <c r="H298" s="35" t="s">
        <v>660</v>
      </c>
      <c r="I298" s="35" t="s">
        <v>41</v>
      </c>
      <c r="J298" s="35" t="s">
        <v>34</v>
      </c>
      <c r="K298" s="35" t="s">
        <v>35</v>
      </c>
      <c r="L298" s="35" t="s">
        <v>132</v>
      </c>
      <c r="M298" s="39">
        <v>31.0</v>
      </c>
      <c r="N298" s="40">
        <v>46213.0</v>
      </c>
      <c r="O298" s="42" t="b">
        <v>0</v>
      </c>
      <c r="P298" s="44"/>
      <c r="Q298" s="34"/>
      <c r="R298" s="34"/>
      <c r="S298" s="34"/>
      <c r="T298" s="34"/>
    </row>
    <row r="299" ht="15.75" customHeight="1">
      <c r="B299" s="33">
        <v>46213.0</v>
      </c>
      <c r="C299" s="35">
        <v>1041.0</v>
      </c>
      <c r="D299" s="35">
        <v>78.0</v>
      </c>
      <c r="E299" s="37">
        <v>180.0</v>
      </c>
      <c r="F299" s="38">
        <f t="shared" si="2"/>
        <v>14040</v>
      </c>
      <c r="G299" s="35" t="s">
        <v>665</v>
      </c>
      <c r="H299" s="35" t="s">
        <v>666</v>
      </c>
      <c r="I299" s="35" t="s">
        <v>41</v>
      </c>
      <c r="J299" s="35" t="s">
        <v>34</v>
      </c>
      <c r="K299" s="35" t="s">
        <v>35</v>
      </c>
      <c r="L299" s="35" t="s">
        <v>132</v>
      </c>
      <c r="M299" s="39">
        <v>31.0</v>
      </c>
      <c r="N299" s="40">
        <v>46213.0</v>
      </c>
      <c r="O299" s="42" t="b">
        <v>0</v>
      </c>
      <c r="P299" s="44"/>
      <c r="Q299" s="34"/>
      <c r="R299" s="34"/>
      <c r="S299" s="34"/>
      <c r="T299" s="34"/>
    </row>
    <row r="300" ht="15.75" customHeight="1">
      <c r="B300" s="33">
        <v>46213.0</v>
      </c>
      <c r="C300" s="35">
        <v>1041.0</v>
      </c>
      <c r="D300" s="35">
        <v>1.0</v>
      </c>
      <c r="E300" s="37">
        <v>1450.0</v>
      </c>
      <c r="F300" s="38">
        <f t="shared" si="2"/>
        <v>1450</v>
      </c>
      <c r="G300" s="35" t="s">
        <v>1774</v>
      </c>
      <c r="H300" s="35" t="s">
        <v>1775</v>
      </c>
      <c r="I300" s="35" t="s">
        <v>240</v>
      </c>
      <c r="J300" s="35" t="s">
        <v>34</v>
      </c>
      <c r="K300" s="35" t="s">
        <v>35</v>
      </c>
      <c r="L300" s="35" t="s">
        <v>132</v>
      </c>
      <c r="M300" s="39">
        <v>31.0</v>
      </c>
      <c r="N300" s="40">
        <v>46213.0</v>
      </c>
      <c r="O300" s="42" t="b">
        <v>1</v>
      </c>
      <c r="P300" s="44">
        <v>46216.0</v>
      </c>
      <c r="Q300" s="34"/>
      <c r="R300" s="34"/>
      <c r="S300" s="34"/>
      <c r="T300" s="34"/>
    </row>
    <row r="301" ht="15.75" customHeight="1">
      <c r="B301" s="33">
        <v>46213.0</v>
      </c>
      <c r="C301" s="46" t="s">
        <v>1777</v>
      </c>
      <c r="D301" s="35">
        <v>6.0</v>
      </c>
      <c r="E301" s="37">
        <v>145.0</v>
      </c>
      <c r="F301" s="38">
        <f t="shared" si="2"/>
        <v>870</v>
      </c>
      <c r="G301" s="35" t="s">
        <v>1780</v>
      </c>
      <c r="H301" s="35" t="s">
        <v>1781</v>
      </c>
      <c r="I301" s="35" t="s">
        <v>59</v>
      </c>
      <c r="J301" s="35" t="s">
        <v>34</v>
      </c>
      <c r="K301" s="35" t="s">
        <v>35</v>
      </c>
      <c r="L301" s="35" t="s">
        <v>151</v>
      </c>
      <c r="M301" s="39">
        <v>31.0</v>
      </c>
      <c r="N301" s="40">
        <v>46215.0</v>
      </c>
      <c r="O301" s="42" t="b">
        <v>1</v>
      </c>
      <c r="P301" s="44">
        <v>46216.0</v>
      </c>
      <c r="Q301" s="34"/>
      <c r="R301" s="34"/>
      <c r="S301" s="34"/>
      <c r="T301" s="34"/>
    </row>
    <row r="302" ht="15.75" customHeight="1">
      <c r="B302" s="33">
        <v>46213.0</v>
      </c>
      <c r="C302" s="35" t="s">
        <v>35</v>
      </c>
      <c r="D302" s="35">
        <v>50.0</v>
      </c>
      <c r="E302" s="37">
        <v>250.0</v>
      </c>
      <c r="F302" s="38">
        <f t="shared" si="2"/>
        <v>12500</v>
      </c>
      <c r="G302" s="35" t="s">
        <v>1786</v>
      </c>
      <c r="H302" s="35" t="s">
        <v>35</v>
      </c>
      <c r="I302" s="35" t="s">
        <v>32</v>
      </c>
      <c r="J302" s="35" t="s">
        <v>34</v>
      </c>
      <c r="K302" s="35" t="s">
        <v>35</v>
      </c>
      <c r="L302" s="35" t="s">
        <v>314</v>
      </c>
      <c r="M302" s="39">
        <v>31.0</v>
      </c>
      <c r="N302" s="40">
        <v>46217.0</v>
      </c>
      <c r="O302" s="42" t="b">
        <v>1</v>
      </c>
      <c r="P302" s="44">
        <v>46219.0</v>
      </c>
      <c r="Q302" s="34"/>
      <c r="R302" s="34"/>
      <c r="S302" s="34"/>
      <c r="T302" s="34"/>
    </row>
    <row r="303" ht="15.75" customHeight="1">
      <c r="B303" s="33">
        <v>46213.0</v>
      </c>
      <c r="C303" s="35" t="s">
        <v>35</v>
      </c>
      <c r="D303" s="35">
        <v>50.0</v>
      </c>
      <c r="E303" s="37">
        <v>450.0</v>
      </c>
      <c r="F303" s="38">
        <f t="shared" si="2"/>
        <v>22500</v>
      </c>
      <c r="G303" s="35" t="s">
        <v>1791</v>
      </c>
      <c r="H303" s="35" t="s">
        <v>35</v>
      </c>
      <c r="I303" s="35" t="s">
        <v>32</v>
      </c>
      <c r="J303" s="35" t="s">
        <v>34</v>
      </c>
      <c r="K303" s="35" t="s">
        <v>35</v>
      </c>
      <c r="L303" s="35" t="s">
        <v>314</v>
      </c>
      <c r="M303" s="39">
        <v>31.0</v>
      </c>
      <c r="N303" s="40">
        <v>46217.0</v>
      </c>
      <c r="O303" s="42" t="b">
        <v>1</v>
      </c>
      <c r="P303" s="44">
        <v>46219.0</v>
      </c>
      <c r="Q303" s="34"/>
      <c r="R303" s="33"/>
      <c r="S303" s="34"/>
      <c r="T303" s="34"/>
    </row>
    <row r="304" ht="15.75" customHeight="1">
      <c r="B304" s="33">
        <v>46214.0</v>
      </c>
      <c r="C304" s="35">
        <v>711301.0</v>
      </c>
      <c r="D304" s="35">
        <v>100.0</v>
      </c>
      <c r="E304" s="37">
        <v>36.8</v>
      </c>
      <c r="F304" s="38">
        <f t="shared" si="2"/>
        <v>3680</v>
      </c>
      <c r="G304" s="35" t="s">
        <v>1794</v>
      </c>
      <c r="H304" s="35" t="s">
        <v>1795</v>
      </c>
      <c r="I304" s="35" t="s">
        <v>41</v>
      </c>
      <c r="J304" s="35" t="s">
        <v>34</v>
      </c>
      <c r="K304" s="35" t="s">
        <v>35</v>
      </c>
      <c r="L304" s="35" t="s">
        <v>160</v>
      </c>
      <c r="M304" s="39">
        <v>1.0</v>
      </c>
      <c r="N304" s="40">
        <v>46218.0</v>
      </c>
      <c r="O304" s="42" t="b">
        <v>1</v>
      </c>
      <c r="P304" s="44">
        <v>46220.0</v>
      </c>
      <c r="Q304" s="34"/>
      <c r="R304" s="34"/>
      <c r="S304" s="34"/>
      <c r="T304" s="34"/>
    </row>
    <row r="305" ht="15.75" customHeight="1">
      <c r="B305" s="33">
        <v>46214.0</v>
      </c>
      <c r="C305" s="35">
        <v>711301.0</v>
      </c>
      <c r="D305" s="35">
        <v>100.0</v>
      </c>
      <c r="E305" s="37">
        <v>28.0</v>
      </c>
      <c r="F305" s="38">
        <f t="shared" si="2"/>
        <v>2800</v>
      </c>
      <c r="G305" s="35" t="s">
        <v>1798</v>
      </c>
      <c r="H305" s="35" t="s">
        <v>1799</v>
      </c>
      <c r="I305" s="35" t="s">
        <v>41</v>
      </c>
      <c r="J305" s="35" t="s">
        <v>34</v>
      </c>
      <c r="K305" s="35" t="s">
        <v>35</v>
      </c>
      <c r="L305" s="35" t="s">
        <v>160</v>
      </c>
      <c r="M305" s="39">
        <v>1.0</v>
      </c>
      <c r="N305" s="40">
        <v>46218.0</v>
      </c>
      <c r="O305" s="42" t="b">
        <v>1</v>
      </c>
      <c r="P305" s="44">
        <v>46220.0</v>
      </c>
      <c r="Q305" s="34"/>
      <c r="R305" s="34"/>
      <c r="S305" s="34"/>
      <c r="T305" s="34"/>
    </row>
    <row r="306" ht="15.75" customHeight="1">
      <c r="B306" s="33">
        <v>46216.0</v>
      </c>
      <c r="C306" s="35">
        <v>13911.0</v>
      </c>
      <c r="D306" s="35">
        <v>20.0</v>
      </c>
      <c r="E306" s="37">
        <v>61.2</v>
      </c>
      <c r="F306" s="38">
        <f t="shared" si="2"/>
        <v>1224</v>
      </c>
      <c r="G306" s="35" t="s">
        <v>1805</v>
      </c>
      <c r="H306" s="35" t="s">
        <v>1806</v>
      </c>
      <c r="I306" s="35" t="s">
        <v>59</v>
      </c>
      <c r="J306" s="35" t="s">
        <v>34</v>
      </c>
      <c r="K306" s="35" t="s">
        <v>35</v>
      </c>
      <c r="L306" s="35" t="s">
        <v>87</v>
      </c>
      <c r="M306" s="39">
        <v>31.0</v>
      </c>
      <c r="N306" s="40">
        <v>46216.0</v>
      </c>
      <c r="O306" s="42" t="b">
        <v>1</v>
      </c>
      <c r="P306" s="44">
        <v>46216.0</v>
      </c>
      <c r="Q306" s="34"/>
      <c r="R306" s="34"/>
      <c r="S306" s="34"/>
      <c r="T306" s="34"/>
    </row>
    <row r="307" ht="15.75" customHeight="1">
      <c r="B307" s="33">
        <v>46216.0</v>
      </c>
      <c r="C307" s="35">
        <v>13911.0</v>
      </c>
      <c r="D307" s="35">
        <v>50.0</v>
      </c>
      <c r="E307" s="37">
        <v>40.5</v>
      </c>
      <c r="F307" s="38">
        <f t="shared" si="2"/>
        <v>2025</v>
      </c>
      <c r="G307" s="35" t="s">
        <v>1811</v>
      </c>
      <c r="H307" s="35" t="s">
        <v>1812</v>
      </c>
      <c r="I307" s="35" t="s">
        <v>59</v>
      </c>
      <c r="J307" s="35" t="s">
        <v>34</v>
      </c>
      <c r="K307" s="35" t="s">
        <v>35</v>
      </c>
      <c r="L307" s="35" t="s">
        <v>87</v>
      </c>
      <c r="M307" s="39">
        <v>31.0</v>
      </c>
      <c r="N307" s="40">
        <v>46216.0</v>
      </c>
      <c r="O307" s="42" t="b">
        <v>1</v>
      </c>
      <c r="P307" s="44">
        <v>46216.0</v>
      </c>
      <c r="Q307" s="34"/>
      <c r="R307" s="34"/>
      <c r="S307" s="34"/>
      <c r="T307" s="34"/>
    </row>
    <row r="308" ht="15.75" customHeight="1">
      <c r="B308" s="33">
        <v>46216.0</v>
      </c>
      <c r="C308" s="35">
        <v>13910.0</v>
      </c>
      <c r="D308" s="35">
        <v>100.0</v>
      </c>
      <c r="E308" s="37">
        <v>42.3</v>
      </c>
      <c r="F308" s="38">
        <f t="shared" si="2"/>
        <v>4230</v>
      </c>
      <c r="G308" s="35" t="s">
        <v>1817</v>
      </c>
      <c r="H308" s="35" t="s">
        <v>1818</v>
      </c>
      <c r="I308" s="35" t="s">
        <v>59</v>
      </c>
      <c r="J308" s="35" t="s">
        <v>34</v>
      </c>
      <c r="K308" s="35" t="s">
        <v>35</v>
      </c>
      <c r="L308" s="35" t="s">
        <v>87</v>
      </c>
      <c r="M308" s="39">
        <v>31.0</v>
      </c>
      <c r="N308" s="40">
        <v>46216.0</v>
      </c>
      <c r="O308" s="42" t="b">
        <v>1</v>
      </c>
      <c r="P308" s="44">
        <v>46216.0</v>
      </c>
      <c r="Q308" s="34"/>
      <c r="R308" s="34"/>
      <c r="S308" s="34"/>
      <c r="T308" s="34"/>
    </row>
    <row r="309" ht="15.75" customHeight="1">
      <c r="B309" s="33">
        <v>46216.0</v>
      </c>
      <c r="C309" s="35">
        <v>13913.0</v>
      </c>
      <c r="D309" s="35">
        <v>40.0</v>
      </c>
      <c r="E309" s="37">
        <v>330.0</v>
      </c>
      <c r="F309" s="38">
        <f t="shared" si="2"/>
        <v>13200</v>
      </c>
      <c r="G309" s="35" t="s">
        <v>1822</v>
      </c>
      <c r="H309" s="35" t="s">
        <v>506</v>
      </c>
      <c r="I309" s="35" t="s">
        <v>237</v>
      </c>
      <c r="J309" s="35" t="s">
        <v>175</v>
      </c>
      <c r="K309" s="35" t="s">
        <v>35</v>
      </c>
      <c r="L309" s="35" t="s">
        <v>87</v>
      </c>
      <c r="M309" s="39">
        <v>31.0</v>
      </c>
      <c r="N309" s="40">
        <v>46217.0</v>
      </c>
      <c r="O309" s="42" t="b">
        <v>1</v>
      </c>
      <c r="P309" s="44">
        <v>46218.0</v>
      </c>
      <c r="Q309" s="34"/>
      <c r="R309" s="34"/>
      <c r="S309" s="34"/>
      <c r="T309" s="34"/>
    </row>
    <row r="310" ht="15.75" customHeight="1">
      <c r="B310" s="33">
        <v>46216.0</v>
      </c>
      <c r="C310" s="35" t="s">
        <v>35</v>
      </c>
      <c r="D310" s="35">
        <v>300.0</v>
      </c>
      <c r="E310" s="37">
        <v>330.0</v>
      </c>
      <c r="F310" s="38">
        <f t="shared" si="2"/>
        <v>99000</v>
      </c>
      <c r="G310" s="35" t="s">
        <v>895</v>
      </c>
      <c r="H310" s="35" t="s">
        <v>35</v>
      </c>
      <c r="I310" s="35" t="s">
        <v>174</v>
      </c>
      <c r="J310" s="35" t="s">
        <v>175</v>
      </c>
      <c r="K310" s="35" t="s">
        <v>35</v>
      </c>
      <c r="L310" s="35" t="s">
        <v>585</v>
      </c>
      <c r="M310" s="39">
        <v>31.0</v>
      </c>
      <c r="N310" s="40">
        <v>46222.0</v>
      </c>
      <c r="O310" s="42" t="b">
        <v>1</v>
      </c>
      <c r="P310" s="44">
        <v>46223.0</v>
      </c>
      <c r="Q310" s="34"/>
      <c r="R310" s="34"/>
      <c r="S310" s="34"/>
      <c r="T310" s="34"/>
    </row>
    <row r="311" ht="15.75" customHeight="1">
      <c r="B311" s="33">
        <v>46216.0</v>
      </c>
      <c r="C311" s="46" t="s">
        <v>1827</v>
      </c>
      <c r="D311" s="35">
        <v>2.0</v>
      </c>
      <c r="E311" s="37">
        <v>1170.0</v>
      </c>
      <c r="F311" s="38">
        <f t="shared" si="2"/>
        <v>2340</v>
      </c>
      <c r="G311" s="35" t="s">
        <v>1830</v>
      </c>
      <c r="H311" s="35" t="s">
        <v>557</v>
      </c>
      <c r="I311" s="35" t="s">
        <v>59</v>
      </c>
      <c r="J311" s="35" t="s">
        <v>34</v>
      </c>
      <c r="K311" s="35" t="s">
        <v>35</v>
      </c>
      <c r="L311" s="35" t="s">
        <v>46</v>
      </c>
      <c r="M311" s="39">
        <v>1.0</v>
      </c>
      <c r="N311" s="40">
        <v>46217.0</v>
      </c>
      <c r="O311" s="42" t="b">
        <v>0</v>
      </c>
      <c r="P311" s="44">
        <v>46217.0</v>
      </c>
      <c r="Q311" s="34"/>
      <c r="R311" s="33"/>
      <c r="S311" s="34"/>
      <c r="T311" s="34"/>
    </row>
    <row r="312" ht="15.75" customHeight="1">
      <c r="B312" s="33">
        <v>46216.0</v>
      </c>
      <c r="C312" s="35">
        <v>14034.0</v>
      </c>
      <c r="D312" s="35">
        <v>1500.0</v>
      </c>
      <c r="E312" s="37">
        <v>2.16</v>
      </c>
      <c r="F312" s="38">
        <f t="shared" si="2"/>
        <v>3240</v>
      </c>
      <c r="G312" s="35" t="s">
        <v>1831</v>
      </c>
      <c r="H312" s="35" t="s">
        <v>1833</v>
      </c>
      <c r="I312" s="35" t="s">
        <v>59</v>
      </c>
      <c r="J312" s="35" t="s">
        <v>34</v>
      </c>
      <c r="K312" s="35" t="s">
        <v>35</v>
      </c>
      <c r="L312" s="35" t="s">
        <v>87</v>
      </c>
      <c r="M312" s="39">
        <v>31.0</v>
      </c>
      <c r="N312" s="40">
        <v>46217.0</v>
      </c>
      <c r="O312" s="42" t="b">
        <v>1</v>
      </c>
      <c r="P312" s="44">
        <v>46217.0</v>
      </c>
      <c r="Q312" s="34"/>
      <c r="R312" s="33"/>
      <c r="S312" s="34"/>
      <c r="T312" s="34"/>
    </row>
    <row r="313" ht="15.75" customHeight="1">
      <c r="B313" s="33">
        <v>46216.0</v>
      </c>
      <c r="C313" s="35">
        <v>14034.0</v>
      </c>
      <c r="D313" s="35">
        <v>1500.0</v>
      </c>
      <c r="E313" s="37">
        <v>1.8</v>
      </c>
      <c r="F313" s="38">
        <f t="shared" si="2"/>
        <v>2700</v>
      </c>
      <c r="G313" s="35" t="s">
        <v>1834</v>
      </c>
      <c r="H313" s="35" t="s">
        <v>1835</v>
      </c>
      <c r="I313" s="35" t="s">
        <v>59</v>
      </c>
      <c r="J313" s="35" t="s">
        <v>34</v>
      </c>
      <c r="K313" s="35" t="s">
        <v>35</v>
      </c>
      <c r="L313" s="35" t="s">
        <v>87</v>
      </c>
      <c r="M313" s="39">
        <v>31.0</v>
      </c>
      <c r="N313" s="40">
        <v>46217.0</v>
      </c>
      <c r="O313" s="42" t="b">
        <v>1</v>
      </c>
      <c r="P313" s="44">
        <v>46217.0</v>
      </c>
      <c r="Q313" s="34"/>
      <c r="R313" s="33"/>
      <c r="S313" s="34"/>
      <c r="T313" s="34"/>
    </row>
    <row r="314" ht="15.75" customHeight="1">
      <c r="B314" s="33">
        <v>46216.0</v>
      </c>
      <c r="C314" s="35" t="s">
        <v>35</v>
      </c>
      <c r="D314" s="35">
        <v>105.0</v>
      </c>
      <c r="E314" s="37">
        <v>123.0</v>
      </c>
      <c r="F314" s="38">
        <f t="shared" si="2"/>
        <v>12915</v>
      </c>
      <c r="G314" s="35" t="s">
        <v>1837</v>
      </c>
      <c r="H314" s="35" t="s">
        <v>299</v>
      </c>
      <c r="I314" s="35" t="s">
        <v>59</v>
      </c>
      <c r="J314" s="35" t="s">
        <v>40</v>
      </c>
      <c r="K314" s="35" t="s">
        <v>35</v>
      </c>
      <c r="L314" s="35" t="s">
        <v>67</v>
      </c>
      <c r="M314" s="39">
        <v>31.0</v>
      </c>
      <c r="N314" s="40">
        <v>46216.0</v>
      </c>
      <c r="O314" s="42" t="b">
        <v>1</v>
      </c>
      <c r="P314" s="44">
        <v>46217.0</v>
      </c>
      <c r="Q314" s="34"/>
      <c r="R314" s="34"/>
      <c r="S314" s="34"/>
      <c r="T314" s="34"/>
    </row>
    <row r="315" ht="15.75" customHeight="1">
      <c r="B315" s="33">
        <v>46216.0</v>
      </c>
      <c r="C315" s="35" t="s">
        <v>35</v>
      </c>
      <c r="D315" s="35">
        <v>20.0</v>
      </c>
      <c r="E315" s="37">
        <v>212.78</v>
      </c>
      <c r="F315" s="38">
        <f t="shared" si="2"/>
        <v>4255.6</v>
      </c>
      <c r="G315" s="35" t="s">
        <v>503</v>
      </c>
      <c r="H315" s="35" t="s">
        <v>35</v>
      </c>
      <c r="I315" s="35" t="s">
        <v>59</v>
      </c>
      <c r="J315" s="35" t="s">
        <v>34</v>
      </c>
      <c r="K315" s="35" t="s">
        <v>345</v>
      </c>
      <c r="L315" s="35" t="s">
        <v>365</v>
      </c>
      <c r="M315" s="39">
        <v>1.0</v>
      </c>
      <c r="N315" s="40">
        <v>46223.0</v>
      </c>
      <c r="O315" s="42" t="b">
        <v>1</v>
      </c>
      <c r="P315" s="44">
        <v>46224.0</v>
      </c>
      <c r="Q315" s="34"/>
      <c r="R315" s="34"/>
      <c r="S315" s="34"/>
      <c r="T315" s="34"/>
    </row>
    <row r="316" ht="15.75" customHeight="1">
      <c r="B316" s="33">
        <v>46216.0</v>
      </c>
      <c r="C316" s="35">
        <v>963.0</v>
      </c>
      <c r="D316" s="35">
        <v>300.0</v>
      </c>
      <c r="E316" s="37">
        <v>235.0</v>
      </c>
      <c r="F316" s="38">
        <f t="shared" si="2"/>
        <v>70500</v>
      </c>
      <c r="G316" s="35" t="s">
        <v>1841</v>
      </c>
      <c r="H316" s="35" t="s">
        <v>35</v>
      </c>
      <c r="I316" s="35" t="s">
        <v>174</v>
      </c>
      <c r="J316" s="35" t="s">
        <v>175</v>
      </c>
      <c r="K316" s="35" t="s">
        <v>35</v>
      </c>
      <c r="L316" s="35" t="s">
        <v>140</v>
      </c>
      <c r="M316" s="39">
        <v>31.0</v>
      </c>
      <c r="N316" s="40">
        <v>46219.0</v>
      </c>
      <c r="O316" s="42" t="b">
        <v>1</v>
      </c>
      <c r="P316" s="44">
        <v>46223.0</v>
      </c>
      <c r="Q316" s="34"/>
      <c r="R316" s="34"/>
      <c r="S316" s="34"/>
      <c r="T316" s="34"/>
    </row>
    <row r="317" ht="15.75" customHeight="1">
      <c r="B317" s="33">
        <v>46216.0</v>
      </c>
      <c r="C317" s="46" t="s">
        <v>1843</v>
      </c>
      <c r="D317" s="35">
        <v>204.0</v>
      </c>
      <c r="E317" s="37">
        <v>62.13539272</v>
      </c>
      <c r="F317" s="38">
        <f t="shared" si="2"/>
        <v>12675.62011</v>
      </c>
      <c r="G317" s="35" t="s">
        <v>1847</v>
      </c>
      <c r="H317" s="35" t="s">
        <v>35</v>
      </c>
      <c r="I317" s="35" t="s">
        <v>32</v>
      </c>
      <c r="J317" s="35" t="s">
        <v>40</v>
      </c>
      <c r="K317" s="35" t="s">
        <v>35</v>
      </c>
      <c r="L317" s="35" t="s">
        <v>1849</v>
      </c>
      <c r="M317" s="39">
        <v>5.0</v>
      </c>
      <c r="N317" s="40">
        <v>46223.0</v>
      </c>
      <c r="O317" s="42" t="b">
        <v>1</v>
      </c>
      <c r="P317" s="44">
        <v>46224.0</v>
      </c>
      <c r="Q317" s="34"/>
      <c r="R317" s="34"/>
      <c r="S317" s="34"/>
      <c r="T317" s="34"/>
    </row>
    <row r="318" ht="15.75" customHeight="1">
      <c r="B318" s="33">
        <v>46216.0</v>
      </c>
      <c r="C318" s="46" t="s">
        <v>1843</v>
      </c>
      <c r="D318" s="35">
        <v>100.0</v>
      </c>
      <c r="E318" s="37">
        <v>73.49357661</v>
      </c>
      <c r="F318" s="38">
        <f t="shared" si="2"/>
        <v>7349.357661</v>
      </c>
      <c r="G318" s="35" t="s">
        <v>1853</v>
      </c>
      <c r="H318" s="35" t="s">
        <v>35</v>
      </c>
      <c r="I318" s="35" t="s">
        <v>32</v>
      </c>
      <c r="J318" s="35" t="s">
        <v>40</v>
      </c>
      <c r="K318" s="35" t="s">
        <v>35</v>
      </c>
      <c r="L318" s="35" t="s">
        <v>1849</v>
      </c>
      <c r="M318" s="39">
        <v>5.0</v>
      </c>
      <c r="N318" s="40">
        <v>46223.0</v>
      </c>
      <c r="O318" s="42" t="b">
        <v>1</v>
      </c>
      <c r="P318" s="44">
        <v>46224.0</v>
      </c>
      <c r="Q318" s="34"/>
      <c r="R318" s="34"/>
      <c r="S318" s="34"/>
      <c r="T318" s="34"/>
    </row>
    <row r="319" ht="15.75" customHeight="1">
      <c r="B319" s="33">
        <v>46216.0</v>
      </c>
      <c r="C319" s="46" t="s">
        <v>1843</v>
      </c>
      <c r="D319" s="35">
        <v>100.0</v>
      </c>
      <c r="E319" s="37">
        <v>85.2099439</v>
      </c>
      <c r="F319" s="38">
        <f t="shared" si="2"/>
        <v>8520.99439</v>
      </c>
      <c r="G319" s="35" t="s">
        <v>1857</v>
      </c>
      <c r="H319" s="35" t="s">
        <v>35</v>
      </c>
      <c r="I319" s="35" t="s">
        <v>32</v>
      </c>
      <c r="J319" s="35" t="s">
        <v>40</v>
      </c>
      <c r="K319" s="35" t="s">
        <v>35</v>
      </c>
      <c r="L319" s="35" t="s">
        <v>1849</v>
      </c>
      <c r="M319" s="39">
        <v>5.0</v>
      </c>
      <c r="N319" s="40">
        <v>46223.0</v>
      </c>
      <c r="O319" s="42" t="b">
        <v>1</v>
      </c>
      <c r="P319" s="44">
        <v>46224.0</v>
      </c>
      <c r="Q319" s="34"/>
      <c r="R319" s="34"/>
      <c r="S319" s="34"/>
      <c r="T319" s="34"/>
    </row>
    <row r="320" ht="15.75" customHeight="1">
      <c r="B320" s="33">
        <v>46216.0</v>
      </c>
      <c r="C320" s="46" t="s">
        <v>1843</v>
      </c>
      <c r="D320" s="35">
        <v>152.0</v>
      </c>
      <c r="E320" s="37">
        <v>93.9948629</v>
      </c>
      <c r="F320" s="38">
        <f t="shared" si="2"/>
        <v>14287.21916</v>
      </c>
      <c r="G320" s="35" t="s">
        <v>1859</v>
      </c>
      <c r="H320" s="35" t="s">
        <v>35</v>
      </c>
      <c r="I320" s="35" t="s">
        <v>32</v>
      </c>
      <c r="J320" s="35" t="s">
        <v>40</v>
      </c>
      <c r="K320" s="35" t="s">
        <v>35</v>
      </c>
      <c r="L320" s="35" t="s">
        <v>1849</v>
      </c>
      <c r="M320" s="39">
        <v>5.0</v>
      </c>
      <c r="N320" s="40">
        <v>46223.0</v>
      </c>
      <c r="O320" s="42" t="b">
        <v>1</v>
      </c>
      <c r="P320" s="44">
        <v>46224.0</v>
      </c>
      <c r="Q320" s="34"/>
      <c r="R320" s="34"/>
      <c r="S320" s="34"/>
      <c r="T320" s="34"/>
    </row>
    <row r="321" ht="15.75" customHeight="1">
      <c r="B321" s="33">
        <v>46216.0</v>
      </c>
      <c r="C321" s="46" t="s">
        <v>1843</v>
      </c>
      <c r="D321" s="35">
        <v>20.0</v>
      </c>
      <c r="E321" s="37">
        <v>135.2802118</v>
      </c>
      <c r="F321" s="38">
        <f t="shared" si="2"/>
        <v>2705.604236</v>
      </c>
      <c r="G321" s="35" t="s">
        <v>1862</v>
      </c>
      <c r="H321" s="35" t="s">
        <v>35</v>
      </c>
      <c r="I321" s="35" t="s">
        <v>32</v>
      </c>
      <c r="J321" s="35" t="s">
        <v>40</v>
      </c>
      <c r="K321" s="35" t="s">
        <v>35</v>
      </c>
      <c r="L321" s="35" t="s">
        <v>1849</v>
      </c>
      <c r="M321" s="39">
        <v>5.0</v>
      </c>
      <c r="N321" s="40">
        <v>46223.0</v>
      </c>
      <c r="O321" s="42" t="b">
        <v>1</v>
      </c>
      <c r="P321" s="44">
        <v>46224.0</v>
      </c>
      <c r="Q321" s="34"/>
      <c r="R321" s="34"/>
      <c r="S321" s="34"/>
      <c r="T321" s="34"/>
    </row>
    <row r="322" ht="15.75" customHeight="1">
      <c r="B322" s="33">
        <v>46216.0</v>
      </c>
      <c r="C322" s="46" t="s">
        <v>1843</v>
      </c>
      <c r="D322" s="35">
        <v>20.0</v>
      </c>
      <c r="E322" s="37">
        <v>331.6872473</v>
      </c>
      <c r="F322" s="38">
        <f t="shared" si="2"/>
        <v>6633.744946</v>
      </c>
      <c r="G322" s="35" t="s">
        <v>1866</v>
      </c>
      <c r="H322" s="35" t="s">
        <v>35</v>
      </c>
      <c r="I322" s="35" t="s">
        <v>32</v>
      </c>
      <c r="J322" s="35" t="s">
        <v>40</v>
      </c>
      <c r="K322" s="35" t="s">
        <v>35</v>
      </c>
      <c r="L322" s="35" t="s">
        <v>1849</v>
      </c>
      <c r="M322" s="39">
        <v>5.0</v>
      </c>
      <c r="N322" s="40">
        <v>46223.0</v>
      </c>
      <c r="O322" s="42" t="b">
        <v>1</v>
      </c>
      <c r="P322" s="44">
        <v>46224.0</v>
      </c>
      <c r="Q322" s="34"/>
      <c r="R322" s="34"/>
      <c r="S322" s="34"/>
      <c r="T322" s="34"/>
    </row>
    <row r="323" ht="15.75" customHeight="1">
      <c r="B323" s="33">
        <v>46216.0</v>
      </c>
      <c r="C323" s="46" t="s">
        <v>1843</v>
      </c>
      <c r="D323" s="35">
        <v>20.0</v>
      </c>
      <c r="E323" s="37">
        <v>359.1259804</v>
      </c>
      <c r="F323" s="38">
        <f t="shared" si="2"/>
        <v>7182.519608</v>
      </c>
      <c r="G323" s="35" t="s">
        <v>1869</v>
      </c>
      <c r="H323" s="35" t="s">
        <v>35</v>
      </c>
      <c r="I323" s="35" t="s">
        <v>32</v>
      </c>
      <c r="J323" s="35" t="s">
        <v>40</v>
      </c>
      <c r="K323" s="35" t="s">
        <v>35</v>
      </c>
      <c r="L323" s="35" t="s">
        <v>1849</v>
      </c>
      <c r="M323" s="39">
        <v>5.0</v>
      </c>
      <c r="N323" s="40">
        <v>46223.0</v>
      </c>
      <c r="O323" s="42" t="b">
        <v>1</v>
      </c>
      <c r="P323" s="44">
        <v>46224.0</v>
      </c>
      <c r="Q323" s="34"/>
      <c r="R323" s="34"/>
      <c r="S323" s="34"/>
      <c r="T323" s="34"/>
    </row>
    <row r="324" ht="15.75" customHeight="1">
      <c r="B324" s="33">
        <v>46216.0</v>
      </c>
      <c r="C324" s="46" t="s">
        <v>1843</v>
      </c>
      <c r="D324" s="35">
        <v>20.0</v>
      </c>
      <c r="E324" s="37">
        <v>227.1825296</v>
      </c>
      <c r="F324" s="38">
        <f t="shared" si="2"/>
        <v>4543.650592</v>
      </c>
      <c r="G324" s="35" t="s">
        <v>1871</v>
      </c>
      <c r="H324" s="35" t="s">
        <v>35</v>
      </c>
      <c r="I324" s="35" t="s">
        <v>32</v>
      </c>
      <c r="J324" s="35" t="s">
        <v>40</v>
      </c>
      <c r="K324" s="35" t="s">
        <v>35</v>
      </c>
      <c r="L324" s="35" t="s">
        <v>1849</v>
      </c>
      <c r="M324" s="39">
        <v>5.0</v>
      </c>
      <c r="N324" s="40">
        <v>46223.0</v>
      </c>
      <c r="O324" s="42" t="b">
        <v>1</v>
      </c>
      <c r="P324" s="44">
        <v>46224.0</v>
      </c>
      <c r="Q324" s="34"/>
      <c r="R324" s="34"/>
      <c r="S324" s="34"/>
      <c r="T324" s="34"/>
    </row>
    <row r="325" ht="15.75" customHeight="1">
      <c r="B325" s="33">
        <v>46216.0</v>
      </c>
      <c r="C325" s="46" t="s">
        <v>1843</v>
      </c>
      <c r="D325" s="35">
        <v>20.0</v>
      </c>
      <c r="E325" s="37">
        <v>51.03170755</v>
      </c>
      <c r="F325" s="38">
        <f t="shared" si="2"/>
        <v>1020.634151</v>
      </c>
      <c r="G325" s="35" t="s">
        <v>1875</v>
      </c>
      <c r="H325" s="35" t="s">
        <v>35</v>
      </c>
      <c r="I325" s="35" t="s">
        <v>32</v>
      </c>
      <c r="J325" s="35" t="s">
        <v>40</v>
      </c>
      <c r="K325" s="35" t="s">
        <v>35</v>
      </c>
      <c r="L325" s="35" t="s">
        <v>1849</v>
      </c>
      <c r="M325" s="39">
        <v>5.0</v>
      </c>
      <c r="N325" s="40">
        <v>46223.0</v>
      </c>
      <c r="O325" s="42" t="b">
        <v>1</v>
      </c>
      <c r="P325" s="44">
        <v>46224.0</v>
      </c>
      <c r="Q325" s="34"/>
      <c r="R325" s="34"/>
      <c r="S325" s="34"/>
      <c r="T325" s="34"/>
    </row>
    <row r="326" ht="15.75" customHeight="1">
      <c r="B326" s="33">
        <v>46216.0</v>
      </c>
      <c r="C326" s="46" t="s">
        <v>1843</v>
      </c>
      <c r="D326" s="35">
        <v>20.0</v>
      </c>
      <c r="E326" s="37">
        <v>110.0188568</v>
      </c>
      <c r="F326" s="38">
        <f t="shared" si="2"/>
        <v>2200.377136</v>
      </c>
      <c r="G326" s="35" t="s">
        <v>1879</v>
      </c>
      <c r="H326" s="35" t="s">
        <v>35</v>
      </c>
      <c r="I326" s="35" t="s">
        <v>32</v>
      </c>
      <c r="J326" s="35" t="s">
        <v>40</v>
      </c>
      <c r="K326" s="35" t="s">
        <v>35</v>
      </c>
      <c r="L326" s="35" t="s">
        <v>1849</v>
      </c>
      <c r="M326" s="39">
        <v>5.0</v>
      </c>
      <c r="N326" s="40">
        <v>46223.0</v>
      </c>
      <c r="O326" s="42" t="b">
        <v>1</v>
      </c>
      <c r="P326" s="44">
        <v>46224.0</v>
      </c>
      <c r="Q326" s="34"/>
      <c r="R326" s="34"/>
      <c r="S326" s="34"/>
      <c r="T326" s="35"/>
    </row>
    <row r="327" ht="15.75" customHeight="1">
      <c r="B327" s="33">
        <v>46216.0</v>
      </c>
      <c r="C327" s="46" t="s">
        <v>1843</v>
      </c>
      <c r="D327" s="35">
        <v>20.0</v>
      </c>
      <c r="E327" s="37">
        <v>116.8808965</v>
      </c>
      <c r="F327" s="38">
        <f t="shared" si="2"/>
        <v>2337.61793</v>
      </c>
      <c r="G327" s="35" t="s">
        <v>1882</v>
      </c>
      <c r="H327" s="35" t="s">
        <v>35</v>
      </c>
      <c r="I327" s="35" t="s">
        <v>32</v>
      </c>
      <c r="J327" s="35" t="s">
        <v>40</v>
      </c>
      <c r="K327" s="35" t="s">
        <v>35</v>
      </c>
      <c r="L327" s="35" t="s">
        <v>1849</v>
      </c>
      <c r="M327" s="39">
        <v>5.0</v>
      </c>
      <c r="N327" s="40">
        <v>46223.0</v>
      </c>
      <c r="O327" s="42" t="b">
        <v>1</v>
      </c>
      <c r="P327" s="44">
        <v>46224.0</v>
      </c>
      <c r="Q327" s="34"/>
      <c r="R327" s="34"/>
      <c r="S327" s="34"/>
      <c r="T327" s="34"/>
    </row>
    <row r="328" ht="15.75" customHeight="1">
      <c r="B328" s="33">
        <v>46216.0</v>
      </c>
      <c r="C328" s="46" t="s">
        <v>1843</v>
      </c>
      <c r="D328" s="35">
        <v>400.0</v>
      </c>
      <c r="E328" s="37">
        <v>204.6186</v>
      </c>
      <c r="F328" s="38">
        <f t="shared" si="2"/>
        <v>81847.44</v>
      </c>
      <c r="G328" s="35" t="s">
        <v>1885</v>
      </c>
      <c r="H328" s="35" t="s">
        <v>35</v>
      </c>
      <c r="I328" s="35" t="s">
        <v>32</v>
      </c>
      <c r="J328" s="35" t="s">
        <v>40</v>
      </c>
      <c r="K328" s="35" t="s">
        <v>35</v>
      </c>
      <c r="L328" s="35" t="s">
        <v>1849</v>
      </c>
      <c r="M328" s="39">
        <v>5.0</v>
      </c>
      <c r="N328" s="40">
        <v>46223.0</v>
      </c>
      <c r="O328" s="42" t="b">
        <v>1</v>
      </c>
      <c r="P328" s="44">
        <v>46224.0</v>
      </c>
      <c r="Q328" s="34"/>
      <c r="R328" s="34"/>
      <c r="S328" s="34"/>
      <c r="T328" s="34"/>
    </row>
    <row r="329" ht="15.75" customHeight="1">
      <c r="B329" s="33">
        <v>46216.0</v>
      </c>
      <c r="C329" s="46" t="s">
        <v>1843</v>
      </c>
      <c r="D329" s="35">
        <v>200.0</v>
      </c>
      <c r="E329" s="37">
        <v>254.8663355</v>
      </c>
      <c r="F329" s="38">
        <f t="shared" si="2"/>
        <v>50973.2671</v>
      </c>
      <c r="G329" s="35" t="s">
        <v>1888</v>
      </c>
      <c r="H329" s="35" t="s">
        <v>35</v>
      </c>
      <c r="I329" s="35" t="s">
        <v>32</v>
      </c>
      <c r="J329" s="35" t="s">
        <v>40</v>
      </c>
      <c r="K329" s="35" t="s">
        <v>35</v>
      </c>
      <c r="L329" s="35" t="s">
        <v>1849</v>
      </c>
      <c r="M329" s="39">
        <v>5.0</v>
      </c>
      <c r="N329" s="40">
        <v>46223.0</v>
      </c>
      <c r="O329" s="42" t="b">
        <v>1</v>
      </c>
      <c r="P329" s="44">
        <v>46224.0</v>
      </c>
      <c r="Q329" s="34"/>
      <c r="R329" s="34"/>
      <c r="S329" s="34"/>
      <c r="T329" s="34"/>
    </row>
    <row r="330" ht="15.75" customHeight="1">
      <c r="B330" s="33">
        <v>46216.0</v>
      </c>
      <c r="C330" s="46" t="s">
        <v>1843</v>
      </c>
      <c r="D330" s="35">
        <v>40.0</v>
      </c>
      <c r="E330" s="37">
        <v>390.7309518</v>
      </c>
      <c r="F330" s="38">
        <f t="shared" si="2"/>
        <v>15629.23807</v>
      </c>
      <c r="G330" s="35" t="s">
        <v>1893</v>
      </c>
      <c r="H330" s="35" t="s">
        <v>35</v>
      </c>
      <c r="I330" s="35" t="s">
        <v>32</v>
      </c>
      <c r="J330" s="35" t="s">
        <v>40</v>
      </c>
      <c r="K330" s="35" t="s">
        <v>35</v>
      </c>
      <c r="L330" s="35" t="s">
        <v>1849</v>
      </c>
      <c r="M330" s="39">
        <v>5.0</v>
      </c>
      <c r="N330" s="40">
        <v>46223.0</v>
      </c>
      <c r="O330" s="42" t="b">
        <v>1</v>
      </c>
      <c r="P330" s="44">
        <v>46224.0</v>
      </c>
      <c r="Q330" s="34"/>
      <c r="R330" s="34"/>
      <c r="S330" s="34"/>
      <c r="T330" s="34"/>
    </row>
    <row r="331" ht="15.75" customHeight="1">
      <c r="B331" s="33">
        <v>46216.0</v>
      </c>
      <c r="C331" s="46" t="s">
        <v>1843</v>
      </c>
      <c r="D331" s="35">
        <v>10.0</v>
      </c>
      <c r="E331" s="37">
        <v>403.4558881</v>
      </c>
      <c r="F331" s="38">
        <f t="shared" si="2"/>
        <v>4034.558881</v>
      </c>
      <c r="G331" s="35" t="s">
        <v>1895</v>
      </c>
      <c r="H331" s="35" t="s">
        <v>35</v>
      </c>
      <c r="I331" s="35" t="s">
        <v>32</v>
      </c>
      <c r="J331" s="35" t="s">
        <v>40</v>
      </c>
      <c r="K331" s="35" t="s">
        <v>35</v>
      </c>
      <c r="L331" s="35" t="s">
        <v>1849</v>
      </c>
      <c r="M331" s="39">
        <v>5.0</v>
      </c>
      <c r="N331" s="40">
        <v>46223.0</v>
      </c>
      <c r="O331" s="42" t="b">
        <v>1</v>
      </c>
      <c r="P331" s="44">
        <v>46224.0</v>
      </c>
      <c r="Q331" s="34"/>
      <c r="R331" s="34"/>
      <c r="S331" s="34"/>
      <c r="T331" s="34"/>
    </row>
    <row r="332" ht="15.75" customHeight="1">
      <c r="B332" s="33">
        <v>46216.0</v>
      </c>
      <c r="C332" s="46" t="s">
        <v>1843</v>
      </c>
      <c r="D332" s="35">
        <v>100.0</v>
      </c>
      <c r="E332" s="37">
        <v>440.5184434</v>
      </c>
      <c r="F332" s="38">
        <f t="shared" si="2"/>
        <v>44051.84434</v>
      </c>
      <c r="G332" s="35" t="s">
        <v>1899</v>
      </c>
      <c r="H332" s="35" t="s">
        <v>35</v>
      </c>
      <c r="I332" s="35" t="s">
        <v>32</v>
      </c>
      <c r="J332" s="35" t="s">
        <v>40</v>
      </c>
      <c r="K332" s="35" t="s">
        <v>35</v>
      </c>
      <c r="L332" s="35" t="s">
        <v>1849</v>
      </c>
      <c r="M332" s="39">
        <v>5.0</v>
      </c>
      <c r="N332" s="40">
        <v>46223.0</v>
      </c>
      <c r="O332" s="42" t="b">
        <v>1</v>
      </c>
      <c r="P332" s="44">
        <v>46224.0</v>
      </c>
      <c r="Q332" s="34"/>
      <c r="R332" s="34"/>
      <c r="S332" s="34"/>
      <c r="T332" s="34"/>
    </row>
    <row r="333" ht="15.75" customHeight="1">
      <c r="B333" s="33">
        <v>46216.0</v>
      </c>
      <c r="C333" s="46" t="s">
        <v>1843</v>
      </c>
      <c r="D333" s="35">
        <v>100.0</v>
      </c>
      <c r="E333" s="37">
        <v>474.4798845</v>
      </c>
      <c r="F333" s="38">
        <f t="shared" si="2"/>
        <v>47447.98845</v>
      </c>
      <c r="G333" s="35" t="s">
        <v>1903</v>
      </c>
      <c r="H333" s="35" t="s">
        <v>35</v>
      </c>
      <c r="I333" s="35" t="s">
        <v>32</v>
      </c>
      <c r="J333" s="35" t="s">
        <v>40</v>
      </c>
      <c r="K333" s="35" t="s">
        <v>35</v>
      </c>
      <c r="L333" s="35" t="s">
        <v>1849</v>
      </c>
      <c r="M333" s="39">
        <v>5.0</v>
      </c>
      <c r="N333" s="40">
        <v>46223.0</v>
      </c>
      <c r="O333" s="42" t="b">
        <v>1</v>
      </c>
      <c r="P333" s="44">
        <v>46224.0</v>
      </c>
      <c r="Q333" s="34"/>
      <c r="R333" s="34"/>
      <c r="S333" s="34"/>
      <c r="T333" s="35"/>
    </row>
    <row r="334" ht="15.75" customHeight="1">
      <c r="B334" s="33">
        <v>46216.0</v>
      </c>
      <c r="C334" s="46" t="s">
        <v>1843</v>
      </c>
      <c r="D334" s="35">
        <v>20.0</v>
      </c>
      <c r="E334" s="37">
        <v>824.0008944</v>
      </c>
      <c r="F334" s="38">
        <f t="shared" si="2"/>
        <v>16480.01789</v>
      </c>
      <c r="G334" s="35" t="s">
        <v>1908</v>
      </c>
      <c r="H334" s="35" t="s">
        <v>35</v>
      </c>
      <c r="I334" s="35" t="s">
        <v>32</v>
      </c>
      <c r="J334" s="35" t="s">
        <v>40</v>
      </c>
      <c r="K334" s="35" t="s">
        <v>35</v>
      </c>
      <c r="L334" s="35" t="s">
        <v>1849</v>
      </c>
      <c r="M334" s="39">
        <v>5.0</v>
      </c>
      <c r="N334" s="40">
        <v>46223.0</v>
      </c>
      <c r="O334" s="42" t="b">
        <v>1</v>
      </c>
      <c r="P334" s="44">
        <v>46224.0</v>
      </c>
      <c r="Q334" s="34"/>
      <c r="R334" s="34"/>
      <c r="S334" s="34"/>
      <c r="T334" s="34"/>
    </row>
    <row r="335" ht="15.75" customHeight="1">
      <c r="B335" s="33">
        <v>46216.0</v>
      </c>
      <c r="C335" s="46" t="s">
        <v>1843</v>
      </c>
      <c r="D335" s="35">
        <v>28.0</v>
      </c>
      <c r="E335" s="37">
        <v>954.5116116</v>
      </c>
      <c r="F335" s="38">
        <f t="shared" si="2"/>
        <v>26726.32512</v>
      </c>
      <c r="G335" s="35" t="s">
        <v>1912</v>
      </c>
      <c r="H335" s="35" t="s">
        <v>35</v>
      </c>
      <c r="I335" s="35" t="s">
        <v>32</v>
      </c>
      <c r="J335" s="35" t="s">
        <v>40</v>
      </c>
      <c r="K335" s="35" t="s">
        <v>35</v>
      </c>
      <c r="L335" s="35" t="s">
        <v>1849</v>
      </c>
      <c r="M335" s="39">
        <v>5.0</v>
      </c>
      <c r="N335" s="40">
        <v>46223.0</v>
      </c>
      <c r="O335" s="42" t="b">
        <v>1</v>
      </c>
      <c r="P335" s="44">
        <v>46224.0</v>
      </c>
      <c r="Q335" s="34"/>
      <c r="R335" s="34"/>
      <c r="S335" s="34"/>
      <c r="T335" s="34"/>
    </row>
    <row r="336" ht="15.75" customHeight="1">
      <c r="B336" s="33">
        <v>46216.0</v>
      </c>
      <c r="C336" s="46" t="s">
        <v>1843</v>
      </c>
      <c r="D336" s="35">
        <v>10.0</v>
      </c>
      <c r="E336" s="37">
        <v>589.805511</v>
      </c>
      <c r="F336" s="38">
        <f t="shared" si="2"/>
        <v>5898.05511</v>
      </c>
      <c r="G336" s="35" t="s">
        <v>1916</v>
      </c>
      <c r="H336" s="35" t="s">
        <v>35</v>
      </c>
      <c r="I336" s="35" t="s">
        <v>32</v>
      </c>
      <c r="J336" s="35" t="s">
        <v>40</v>
      </c>
      <c r="K336" s="35" t="s">
        <v>35</v>
      </c>
      <c r="L336" s="35" t="s">
        <v>1849</v>
      </c>
      <c r="M336" s="39">
        <v>5.0</v>
      </c>
      <c r="N336" s="40">
        <v>46223.0</v>
      </c>
      <c r="O336" s="42" t="b">
        <v>1</v>
      </c>
      <c r="P336" s="44">
        <v>46224.0</v>
      </c>
      <c r="Q336" s="34"/>
      <c r="R336" s="34"/>
      <c r="S336" s="34"/>
      <c r="T336" s="34"/>
    </row>
    <row r="337" ht="15.75" customHeight="1">
      <c r="B337" s="33">
        <v>46216.0</v>
      </c>
      <c r="C337" s="46" t="s">
        <v>1843</v>
      </c>
      <c r="D337" s="35">
        <v>10.0</v>
      </c>
      <c r="E337" s="37">
        <v>951.9477726</v>
      </c>
      <c r="F337" s="38">
        <f t="shared" si="2"/>
        <v>9519.477726</v>
      </c>
      <c r="G337" s="35" t="s">
        <v>1919</v>
      </c>
      <c r="H337" s="35" t="s">
        <v>35</v>
      </c>
      <c r="I337" s="35" t="s">
        <v>32</v>
      </c>
      <c r="J337" s="35" t="s">
        <v>40</v>
      </c>
      <c r="K337" s="35" t="s">
        <v>35</v>
      </c>
      <c r="L337" s="35" t="s">
        <v>1849</v>
      </c>
      <c r="M337" s="39">
        <v>5.0</v>
      </c>
      <c r="N337" s="40">
        <v>46223.0</v>
      </c>
      <c r="O337" s="42" t="b">
        <v>1</v>
      </c>
      <c r="P337" s="44">
        <v>46224.0</v>
      </c>
      <c r="Q337" s="34"/>
      <c r="R337" s="34"/>
      <c r="S337" s="34"/>
      <c r="T337" s="34"/>
    </row>
    <row r="338" ht="15.75" customHeight="1">
      <c r="B338" s="33">
        <v>46216.0</v>
      </c>
      <c r="C338" s="46" t="s">
        <v>1843</v>
      </c>
      <c r="D338" s="35">
        <v>10.0</v>
      </c>
      <c r="E338" s="37">
        <v>1014.497904</v>
      </c>
      <c r="F338" s="38">
        <f t="shared" si="2"/>
        <v>10144.97904</v>
      </c>
      <c r="G338" s="35" t="s">
        <v>1921</v>
      </c>
      <c r="H338" s="35" t="s">
        <v>35</v>
      </c>
      <c r="I338" s="35" t="s">
        <v>32</v>
      </c>
      <c r="J338" s="35" t="s">
        <v>40</v>
      </c>
      <c r="K338" s="35" t="s">
        <v>35</v>
      </c>
      <c r="L338" s="35" t="s">
        <v>1849</v>
      </c>
      <c r="M338" s="39">
        <v>5.0</v>
      </c>
      <c r="N338" s="40">
        <v>46223.0</v>
      </c>
      <c r="O338" s="42" t="b">
        <v>1</v>
      </c>
      <c r="P338" s="44">
        <v>46224.0</v>
      </c>
      <c r="Q338" s="34"/>
      <c r="R338" s="33"/>
      <c r="S338" s="34"/>
      <c r="T338" s="34"/>
    </row>
    <row r="339" ht="15.75" customHeight="1">
      <c r="B339" s="33">
        <v>46216.0</v>
      </c>
      <c r="C339" s="46" t="s">
        <v>1843</v>
      </c>
      <c r="D339" s="35">
        <v>20.0</v>
      </c>
      <c r="E339" s="37">
        <v>1497.366821</v>
      </c>
      <c r="F339" s="38">
        <f t="shared" si="2"/>
        <v>29947.33642</v>
      </c>
      <c r="G339" s="35" t="s">
        <v>1923</v>
      </c>
      <c r="H339" s="35" t="s">
        <v>35</v>
      </c>
      <c r="I339" s="35" t="s">
        <v>32</v>
      </c>
      <c r="J339" s="35" t="s">
        <v>40</v>
      </c>
      <c r="K339" s="35" t="s">
        <v>35</v>
      </c>
      <c r="L339" s="35" t="s">
        <v>1849</v>
      </c>
      <c r="M339" s="39">
        <v>5.0</v>
      </c>
      <c r="N339" s="40">
        <v>46223.0</v>
      </c>
      <c r="O339" s="42" t="b">
        <v>1</v>
      </c>
      <c r="P339" s="44">
        <v>46224.0</v>
      </c>
      <c r="Q339" s="34"/>
      <c r="R339" s="34"/>
      <c r="S339" s="34"/>
      <c r="T339" s="34"/>
    </row>
    <row r="340" ht="15.75" customHeight="1">
      <c r="B340" s="33">
        <v>46216.0</v>
      </c>
      <c r="C340" s="46" t="s">
        <v>1843</v>
      </c>
      <c r="D340" s="35">
        <v>26.0</v>
      </c>
      <c r="E340" s="37">
        <v>2335.270886</v>
      </c>
      <c r="F340" s="38">
        <f t="shared" si="2"/>
        <v>60717.04304</v>
      </c>
      <c r="G340" s="35" t="s">
        <v>1927</v>
      </c>
      <c r="H340" s="35" t="s">
        <v>35</v>
      </c>
      <c r="I340" s="35" t="s">
        <v>32</v>
      </c>
      <c r="J340" s="35" t="s">
        <v>40</v>
      </c>
      <c r="K340" s="35" t="s">
        <v>35</v>
      </c>
      <c r="L340" s="35" t="s">
        <v>1849</v>
      </c>
      <c r="M340" s="39">
        <v>5.0</v>
      </c>
      <c r="N340" s="40">
        <v>46223.0</v>
      </c>
      <c r="O340" s="42" t="b">
        <v>1</v>
      </c>
      <c r="P340" s="44">
        <v>46224.0</v>
      </c>
      <c r="Q340" s="34"/>
      <c r="R340" s="34"/>
      <c r="S340" s="34"/>
      <c r="T340" s="34"/>
    </row>
    <row r="341" ht="15.75" customHeight="1">
      <c r="B341" s="33">
        <v>46216.0</v>
      </c>
      <c r="C341" s="35">
        <v>23306.0</v>
      </c>
      <c r="D341" s="35">
        <v>5.0</v>
      </c>
      <c r="E341" s="37">
        <v>179.9</v>
      </c>
      <c r="F341" s="38">
        <f t="shared" si="2"/>
        <v>899.5</v>
      </c>
      <c r="G341" s="35" t="s">
        <v>1458</v>
      </c>
      <c r="H341" s="35" t="s">
        <v>1459</v>
      </c>
      <c r="I341" s="35" t="s">
        <v>32</v>
      </c>
      <c r="J341" s="35" t="s">
        <v>34</v>
      </c>
      <c r="K341" s="35" t="s">
        <v>35</v>
      </c>
      <c r="L341" s="35" t="s">
        <v>96</v>
      </c>
      <c r="M341" s="39">
        <v>31.0</v>
      </c>
      <c r="N341" s="40">
        <v>46218.0</v>
      </c>
      <c r="O341" s="42" t="b">
        <v>1</v>
      </c>
      <c r="P341" s="44">
        <v>46219.0</v>
      </c>
      <c r="Q341" s="34"/>
      <c r="R341" s="34"/>
      <c r="S341" s="34"/>
      <c r="T341" s="34"/>
    </row>
    <row r="342" ht="15.75" customHeight="1">
      <c r="B342" s="33">
        <v>46216.0</v>
      </c>
      <c r="C342" s="35">
        <v>23306.0</v>
      </c>
      <c r="D342" s="35">
        <v>8.0</v>
      </c>
      <c r="E342" s="37">
        <v>109.9</v>
      </c>
      <c r="F342" s="38">
        <f t="shared" si="2"/>
        <v>879.2</v>
      </c>
      <c r="G342" s="35" t="s">
        <v>1935</v>
      </c>
      <c r="H342" s="35" t="s">
        <v>211</v>
      </c>
      <c r="I342" s="35" t="s">
        <v>32</v>
      </c>
      <c r="J342" s="35" t="s">
        <v>34</v>
      </c>
      <c r="K342" s="35" t="s">
        <v>35</v>
      </c>
      <c r="L342" s="35" t="s">
        <v>96</v>
      </c>
      <c r="M342" s="39">
        <v>31.0</v>
      </c>
      <c r="N342" s="40">
        <v>46218.0</v>
      </c>
      <c r="O342" s="42" t="b">
        <v>1</v>
      </c>
      <c r="P342" s="44">
        <v>46219.0</v>
      </c>
      <c r="Q342" s="34"/>
      <c r="R342" s="34"/>
      <c r="S342" s="34"/>
      <c r="T342" s="34"/>
    </row>
    <row r="343" ht="15.75" customHeight="1">
      <c r="B343" s="33">
        <v>46216.0</v>
      </c>
      <c r="C343" s="35">
        <v>23306.0</v>
      </c>
      <c r="D343" s="35">
        <v>6.0</v>
      </c>
      <c r="E343" s="37">
        <v>229.9</v>
      </c>
      <c r="F343" s="38">
        <f t="shared" si="2"/>
        <v>1379.4</v>
      </c>
      <c r="G343" s="35" t="s">
        <v>187</v>
      </c>
      <c r="H343" s="35" t="s">
        <v>188</v>
      </c>
      <c r="I343" s="35" t="s">
        <v>32</v>
      </c>
      <c r="J343" s="35" t="s">
        <v>34</v>
      </c>
      <c r="K343" s="35" t="s">
        <v>35</v>
      </c>
      <c r="L343" s="35" t="s">
        <v>96</v>
      </c>
      <c r="M343" s="39">
        <v>31.0</v>
      </c>
      <c r="N343" s="40">
        <v>46218.0</v>
      </c>
      <c r="O343" s="42" t="b">
        <v>1</v>
      </c>
      <c r="P343" s="44">
        <v>46219.0</v>
      </c>
      <c r="Q343" s="34"/>
      <c r="R343" s="34"/>
      <c r="S343" s="34"/>
      <c r="T343" s="34"/>
    </row>
    <row r="344" ht="15.75" customHeight="1">
      <c r="B344" s="33">
        <v>46216.0</v>
      </c>
      <c r="C344" s="35">
        <v>23306.0</v>
      </c>
      <c r="D344" s="35">
        <v>5.0</v>
      </c>
      <c r="E344" s="37">
        <v>149.99</v>
      </c>
      <c r="F344" s="38">
        <f t="shared" si="2"/>
        <v>749.95</v>
      </c>
      <c r="G344" s="35" t="s">
        <v>1940</v>
      </c>
      <c r="H344" s="35" t="s">
        <v>1942</v>
      </c>
      <c r="I344" s="35" t="s">
        <v>32</v>
      </c>
      <c r="J344" s="35" t="s">
        <v>34</v>
      </c>
      <c r="K344" s="35" t="s">
        <v>35</v>
      </c>
      <c r="L344" s="35" t="s">
        <v>96</v>
      </c>
      <c r="M344" s="39">
        <v>31.0</v>
      </c>
      <c r="N344" s="40">
        <v>46218.0</v>
      </c>
      <c r="O344" s="42" t="b">
        <v>1</v>
      </c>
      <c r="P344" s="44">
        <v>46219.0</v>
      </c>
      <c r="Q344" s="34"/>
      <c r="R344" s="34"/>
      <c r="S344" s="34"/>
      <c r="T344" s="34"/>
    </row>
    <row r="345" ht="15.75" customHeight="1">
      <c r="B345" s="33">
        <v>46216.0</v>
      </c>
      <c r="C345" s="35">
        <v>23306.0</v>
      </c>
      <c r="D345" s="35">
        <v>100.0</v>
      </c>
      <c r="E345" s="37">
        <v>10.8</v>
      </c>
      <c r="F345" s="38">
        <f t="shared" si="2"/>
        <v>1080</v>
      </c>
      <c r="G345" s="35" t="s">
        <v>1947</v>
      </c>
      <c r="H345" s="35" t="s">
        <v>1948</v>
      </c>
      <c r="I345" s="35" t="s">
        <v>32</v>
      </c>
      <c r="J345" s="35" t="s">
        <v>34</v>
      </c>
      <c r="K345" s="35" t="s">
        <v>35</v>
      </c>
      <c r="L345" s="35" t="s">
        <v>96</v>
      </c>
      <c r="M345" s="39">
        <v>31.0</v>
      </c>
      <c r="N345" s="40">
        <v>46218.0</v>
      </c>
      <c r="O345" s="42" t="b">
        <v>1</v>
      </c>
      <c r="P345" s="44">
        <v>46219.0</v>
      </c>
      <c r="Q345" s="34"/>
      <c r="R345" s="34"/>
      <c r="S345" s="34"/>
      <c r="T345" s="34"/>
    </row>
    <row r="346" ht="15.75" customHeight="1">
      <c r="B346" s="33">
        <v>46216.0</v>
      </c>
      <c r="C346" s="35">
        <v>23306.0</v>
      </c>
      <c r="D346" s="35">
        <v>10.0</v>
      </c>
      <c r="E346" s="37">
        <v>649.9</v>
      </c>
      <c r="F346" s="38">
        <f t="shared" si="2"/>
        <v>6499</v>
      </c>
      <c r="G346" s="35" t="s">
        <v>1953</v>
      </c>
      <c r="H346" s="35" t="s">
        <v>1954</v>
      </c>
      <c r="I346" s="35" t="s">
        <v>32</v>
      </c>
      <c r="J346" s="35" t="s">
        <v>34</v>
      </c>
      <c r="K346" s="35" t="s">
        <v>35</v>
      </c>
      <c r="L346" s="35" t="s">
        <v>96</v>
      </c>
      <c r="M346" s="39">
        <v>31.0</v>
      </c>
      <c r="N346" s="40">
        <v>46218.0</v>
      </c>
      <c r="O346" s="42" t="b">
        <v>1</v>
      </c>
      <c r="P346" s="44">
        <v>46219.0</v>
      </c>
      <c r="Q346" s="34"/>
      <c r="R346" s="34"/>
      <c r="S346" s="34"/>
      <c r="T346" s="34"/>
    </row>
    <row r="347" ht="15.75" customHeight="1">
      <c r="B347" s="33">
        <v>46216.0</v>
      </c>
      <c r="C347" s="35">
        <v>23306.0</v>
      </c>
      <c r="D347" s="35">
        <v>3.0</v>
      </c>
      <c r="E347" s="37">
        <v>859.9</v>
      </c>
      <c r="F347" s="38">
        <f t="shared" si="2"/>
        <v>2579.7</v>
      </c>
      <c r="G347" s="35" t="s">
        <v>1959</v>
      </c>
      <c r="H347" s="35" t="s">
        <v>1960</v>
      </c>
      <c r="I347" s="35" t="s">
        <v>32</v>
      </c>
      <c r="J347" s="35" t="s">
        <v>34</v>
      </c>
      <c r="K347" s="35" t="s">
        <v>35</v>
      </c>
      <c r="L347" s="35" t="s">
        <v>96</v>
      </c>
      <c r="M347" s="39">
        <v>31.0</v>
      </c>
      <c r="N347" s="40">
        <v>46218.0</v>
      </c>
      <c r="O347" s="42" t="b">
        <v>1</v>
      </c>
      <c r="P347" s="44">
        <v>46219.0</v>
      </c>
      <c r="Q347" s="34"/>
      <c r="R347" s="34"/>
      <c r="S347" s="34"/>
      <c r="T347" s="34"/>
    </row>
    <row r="348" ht="15.75" customHeight="1">
      <c r="B348" s="33">
        <v>46216.0</v>
      </c>
      <c r="C348" s="35">
        <v>23306.0</v>
      </c>
      <c r="D348" s="35">
        <v>5.0</v>
      </c>
      <c r="E348" s="37">
        <v>839.9</v>
      </c>
      <c r="F348" s="38">
        <f t="shared" si="2"/>
        <v>4199.5</v>
      </c>
      <c r="G348" s="35" t="s">
        <v>1966</v>
      </c>
      <c r="H348" s="35" t="s">
        <v>1967</v>
      </c>
      <c r="I348" s="35" t="s">
        <v>32</v>
      </c>
      <c r="J348" s="35" t="s">
        <v>34</v>
      </c>
      <c r="K348" s="35" t="s">
        <v>35</v>
      </c>
      <c r="L348" s="35" t="s">
        <v>96</v>
      </c>
      <c r="M348" s="39">
        <v>31.0</v>
      </c>
      <c r="N348" s="40">
        <v>46218.0</v>
      </c>
      <c r="O348" s="42" t="b">
        <v>1</v>
      </c>
      <c r="P348" s="44">
        <v>46219.0</v>
      </c>
      <c r="Q348" s="34"/>
      <c r="R348" s="34"/>
      <c r="S348" s="34"/>
      <c r="T348" s="34"/>
    </row>
    <row r="349" ht="15.75" customHeight="1">
      <c r="B349" s="33">
        <v>46216.0</v>
      </c>
      <c r="C349" s="35">
        <v>23306.0</v>
      </c>
      <c r="D349" s="35">
        <v>4.0</v>
      </c>
      <c r="E349" s="37">
        <v>899.9</v>
      </c>
      <c r="F349" s="38">
        <f t="shared" si="2"/>
        <v>3599.6</v>
      </c>
      <c r="G349" s="35" t="s">
        <v>1971</v>
      </c>
      <c r="H349" s="35" t="s">
        <v>1972</v>
      </c>
      <c r="I349" s="35" t="s">
        <v>32</v>
      </c>
      <c r="J349" s="35" t="s">
        <v>34</v>
      </c>
      <c r="K349" s="35" t="s">
        <v>35</v>
      </c>
      <c r="L349" s="35" t="s">
        <v>96</v>
      </c>
      <c r="M349" s="39">
        <v>31.0</v>
      </c>
      <c r="N349" s="40">
        <v>46218.0</v>
      </c>
      <c r="O349" s="42" t="b">
        <v>1</v>
      </c>
      <c r="P349" s="44">
        <v>46219.0</v>
      </c>
      <c r="Q349" s="34"/>
      <c r="R349" s="34"/>
      <c r="S349" s="34"/>
      <c r="T349" s="34"/>
    </row>
    <row r="350" ht="15.75" customHeight="1">
      <c r="B350" s="33">
        <v>46217.0</v>
      </c>
      <c r="C350" s="35">
        <v>1042.0</v>
      </c>
      <c r="D350" s="35">
        <v>100.0</v>
      </c>
      <c r="E350" s="37">
        <v>152.0</v>
      </c>
      <c r="F350" s="38">
        <f t="shared" si="2"/>
        <v>15200</v>
      </c>
      <c r="G350" s="35" t="s">
        <v>659</v>
      </c>
      <c r="H350" s="35" t="s">
        <v>660</v>
      </c>
      <c r="I350" s="35" t="s">
        <v>59</v>
      </c>
      <c r="J350" s="35" t="s">
        <v>34</v>
      </c>
      <c r="K350" s="35" t="s">
        <v>35</v>
      </c>
      <c r="L350" s="35" t="s">
        <v>132</v>
      </c>
      <c r="M350" s="39">
        <v>31.0</v>
      </c>
      <c r="N350" s="40">
        <v>46217.0</v>
      </c>
      <c r="O350" s="42" t="b">
        <v>0</v>
      </c>
      <c r="P350" s="44"/>
      <c r="Q350" s="34"/>
      <c r="R350" s="34"/>
      <c r="S350" s="34"/>
      <c r="T350" s="34"/>
    </row>
    <row r="351" ht="15.75" customHeight="1">
      <c r="B351" s="33">
        <v>46217.0</v>
      </c>
      <c r="C351" s="35">
        <v>1042.0</v>
      </c>
      <c r="D351" s="35">
        <v>50.0</v>
      </c>
      <c r="E351" s="37">
        <v>152.0</v>
      </c>
      <c r="F351" s="38">
        <f t="shared" si="2"/>
        <v>7600</v>
      </c>
      <c r="G351" s="35" t="s">
        <v>659</v>
      </c>
      <c r="H351" s="35" t="s">
        <v>660</v>
      </c>
      <c r="I351" s="35" t="s">
        <v>41</v>
      </c>
      <c r="J351" s="35" t="s">
        <v>34</v>
      </c>
      <c r="K351" s="35" t="s">
        <v>35</v>
      </c>
      <c r="L351" s="35" t="s">
        <v>132</v>
      </c>
      <c r="M351" s="39">
        <v>31.0</v>
      </c>
      <c r="N351" s="40">
        <v>46217.0</v>
      </c>
      <c r="O351" s="42" t="b">
        <v>0</v>
      </c>
      <c r="P351" s="44"/>
      <c r="Q351" s="34"/>
      <c r="R351" s="34"/>
      <c r="S351" s="34"/>
      <c r="T351" s="34"/>
    </row>
    <row r="352" ht="15.75" customHeight="1">
      <c r="B352" s="33">
        <v>46217.0</v>
      </c>
      <c r="C352" s="35">
        <v>1042.0</v>
      </c>
      <c r="D352" s="35">
        <v>42.0</v>
      </c>
      <c r="E352" s="37">
        <v>180.0</v>
      </c>
      <c r="F352" s="38">
        <f t="shared" si="2"/>
        <v>7560</v>
      </c>
      <c r="G352" s="35" t="s">
        <v>665</v>
      </c>
      <c r="H352" s="35" t="s">
        <v>666</v>
      </c>
      <c r="I352" s="35" t="s">
        <v>41</v>
      </c>
      <c r="J352" s="35" t="s">
        <v>40</v>
      </c>
      <c r="K352" s="35" t="s">
        <v>35</v>
      </c>
      <c r="L352" s="35" t="s">
        <v>132</v>
      </c>
      <c r="M352" s="39">
        <v>31.0</v>
      </c>
      <c r="N352" s="40">
        <v>46217.0</v>
      </c>
      <c r="O352" s="42" t="b">
        <v>0</v>
      </c>
      <c r="P352" s="44"/>
      <c r="Q352" s="34"/>
      <c r="R352" s="34"/>
      <c r="S352" s="34"/>
      <c r="T352" s="34"/>
    </row>
    <row r="353" ht="15.75" customHeight="1">
      <c r="B353" s="33">
        <v>46217.0</v>
      </c>
      <c r="C353" s="35">
        <v>1042.0</v>
      </c>
      <c r="D353" s="35">
        <v>80.0</v>
      </c>
      <c r="E353" s="37">
        <v>180.0</v>
      </c>
      <c r="F353" s="38">
        <f t="shared" si="2"/>
        <v>14400</v>
      </c>
      <c r="G353" s="35" t="s">
        <v>665</v>
      </c>
      <c r="H353" s="35" t="s">
        <v>666</v>
      </c>
      <c r="I353" s="35" t="s">
        <v>41</v>
      </c>
      <c r="J353" s="35" t="s">
        <v>34</v>
      </c>
      <c r="K353" s="35" t="s">
        <v>35</v>
      </c>
      <c r="L353" s="35" t="s">
        <v>132</v>
      </c>
      <c r="M353" s="39">
        <v>31.0</v>
      </c>
      <c r="N353" s="40">
        <v>46217.0</v>
      </c>
      <c r="O353" s="42" t="b">
        <v>0</v>
      </c>
      <c r="P353" s="44"/>
      <c r="Q353" s="34"/>
      <c r="R353" s="34"/>
      <c r="S353" s="34"/>
      <c r="T353" s="34"/>
    </row>
    <row r="354" ht="15.75" customHeight="1">
      <c r="B354" s="33">
        <v>46217.0</v>
      </c>
      <c r="C354" s="35">
        <v>1042.0</v>
      </c>
      <c r="D354" s="35">
        <v>50.0</v>
      </c>
      <c r="E354" s="37">
        <v>180.0</v>
      </c>
      <c r="F354" s="38">
        <f t="shared" si="2"/>
        <v>9000</v>
      </c>
      <c r="G354" s="35" t="s">
        <v>665</v>
      </c>
      <c r="H354" s="35" t="s">
        <v>666</v>
      </c>
      <c r="I354" s="35" t="s">
        <v>41</v>
      </c>
      <c r="J354" s="35" t="s">
        <v>34</v>
      </c>
      <c r="K354" s="35" t="s">
        <v>35</v>
      </c>
      <c r="L354" s="35" t="s">
        <v>132</v>
      </c>
      <c r="M354" s="39">
        <v>31.0</v>
      </c>
      <c r="N354" s="40">
        <v>46217.0</v>
      </c>
      <c r="O354" s="42" t="b">
        <v>0</v>
      </c>
      <c r="P354" s="44"/>
      <c r="Q354" s="34"/>
      <c r="R354" s="34"/>
      <c r="S354" s="34"/>
      <c r="T354" s="34"/>
    </row>
    <row r="355" ht="15.75" customHeight="1">
      <c r="B355" s="33">
        <v>46217.0</v>
      </c>
      <c r="C355" s="35">
        <v>1042.0</v>
      </c>
      <c r="D355" s="35">
        <v>150.0</v>
      </c>
      <c r="E355" s="37">
        <v>180.0</v>
      </c>
      <c r="F355" s="38">
        <f t="shared" si="2"/>
        <v>27000</v>
      </c>
      <c r="G355" s="35" t="s">
        <v>665</v>
      </c>
      <c r="H355" s="35" t="s">
        <v>666</v>
      </c>
      <c r="I355" s="35" t="s">
        <v>77</v>
      </c>
      <c r="J355" s="35" t="s">
        <v>79</v>
      </c>
      <c r="K355" s="35" t="s">
        <v>35</v>
      </c>
      <c r="L355" s="35" t="s">
        <v>132</v>
      </c>
      <c r="M355" s="39">
        <v>31.0</v>
      </c>
      <c r="N355" s="40">
        <v>46217.0</v>
      </c>
      <c r="O355" s="42" t="b">
        <v>1</v>
      </c>
      <c r="P355" s="35" t="s">
        <v>84</v>
      </c>
      <c r="Q355" s="34"/>
      <c r="R355" s="34"/>
      <c r="S355" s="34"/>
      <c r="T355" s="34"/>
    </row>
    <row r="356" ht="15.75" customHeight="1">
      <c r="B356" s="33">
        <v>46217.0</v>
      </c>
      <c r="C356" s="35">
        <v>1042.0</v>
      </c>
      <c r="D356" s="35">
        <v>1.0</v>
      </c>
      <c r="E356" s="37">
        <v>1270.0</v>
      </c>
      <c r="F356" s="38">
        <f t="shared" si="2"/>
        <v>1270</v>
      </c>
      <c r="G356" s="35" t="s">
        <v>1992</v>
      </c>
      <c r="H356" s="35" t="s">
        <v>1993</v>
      </c>
      <c r="I356" s="35" t="s">
        <v>221</v>
      </c>
      <c r="J356" s="35" t="s">
        <v>183</v>
      </c>
      <c r="K356" s="35" t="s">
        <v>35</v>
      </c>
      <c r="L356" s="35" t="s">
        <v>132</v>
      </c>
      <c r="M356" s="39">
        <v>31.0</v>
      </c>
      <c r="N356" s="40">
        <v>46217.0</v>
      </c>
      <c r="O356" s="42" t="b">
        <v>1</v>
      </c>
      <c r="P356" s="44">
        <v>46220.0</v>
      </c>
      <c r="Q356" s="34"/>
      <c r="R356" s="34"/>
      <c r="S356" s="34"/>
      <c r="T356" s="34"/>
    </row>
    <row r="357" ht="15.75" customHeight="1">
      <c r="B357" s="33">
        <v>46217.0</v>
      </c>
      <c r="C357" s="35">
        <v>1042.0</v>
      </c>
      <c r="D357" s="35">
        <v>1.0</v>
      </c>
      <c r="E357" s="37">
        <v>1270.0</v>
      </c>
      <c r="F357" s="38">
        <f t="shared" si="2"/>
        <v>1270</v>
      </c>
      <c r="G357" s="35" t="s">
        <v>1992</v>
      </c>
      <c r="H357" s="35" t="s">
        <v>1993</v>
      </c>
      <c r="I357" s="35" t="s">
        <v>221</v>
      </c>
      <c r="J357" s="35" t="s">
        <v>34</v>
      </c>
      <c r="K357" s="35" t="s">
        <v>35</v>
      </c>
      <c r="L357" s="35" t="s">
        <v>132</v>
      </c>
      <c r="M357" s="39">
        <v>31.0</v>
      </c>
      <c r="N357" s="40">
        <v>46217.0</v>
      </c>
      <c r="O357" s="42" t="b">
        <v>1</v>
      </c>
      <c r="P357" s="44">
        <v>46220.0</v>
      </c>
      <c r="Q357" s="34"/>
      <c r="R357" s="34"/>
      <c r="S357" s="34"/>
      <c r="T357" s="34"/>
    </row>
    <row r="358" ht="15.75" customHeight="1">
      <c r="B358" s="33">
        <v>46217.0</v>
      </c>
      <c r="C358" s="35">
        <v>1042.0</v>
      </c>
      <c r="D358" s="35">
        <v>8.0</v>
      </c>
      <c r="E358" s="37">
        <v>1450.0</v>
      </c>
      <c r="F358" s="38">
        <f t="shared" si="2"/>
        <v>11600</v>
      </c>
      <c r="G358" s="35" t="s">
        <v>1774</v>
      </c>
      <c r="H358" s="35" t="s">
        <v>1775</v>
      </c>
      <c r="I358" s="35" t="s">
        <v>240</v>
      </c>
      <c r="J358" s="35" t="s">
        <v>34</v>
      </c>
      <c r="K358" s="35" t="s">
        <v>35</v>
      </c>
      <c r="L358" s="35" t="s">
        <v>132</v>
      </c>
      <c r="M358" s="39">
        <v>31.0</v>
      </c>
      <c r="N358" s="40">
        <v>46217.0</v>
      </c>
      <c r="O358" s="42" t="b">
        <v>1</v>
      </c>
      <c r="P358" s="44">
        <v>46220.0</v>
      </c>
      <c r="Q358" s="34"/>
      <c r="R358" s="34"/>
      <c r="S358" s="34"/>
      <c r="T358" s="34"/>
    </row>
    <row r="359" ht="15.75" customHeight="1">
      <c r="B359" s="33">
        <v>46217.0</v>
      </c>
      <c r="C359" s="35" t="s">
        <v>35</v>
      </c>
      <c r="D359" s="35">
        <v>60.0</v>
      </c>
      <c r="E359" s="37">
        <v>70.0</v>
      </c>
      <c r="F359" s="38">
        <f t="shared" si="2"/>
        <v>4200</v>
      </c>
      <c r="G359" s="35" t="s">
        <v>2000</v>
      </c>
      <c r="H359" s="35" t="s">
        <v>139</v>
      </c>
      <c r="I359" s="35" t="s">
        <v>59</v>
      </c>
      <c r="J359" s="35" t="s">
        <v>34</v>
      </c>
      <c r="K359" s="35" t="s">
        <v>35</v>
      </c>
      <c r="L359" s="35" t="s">
        <v>314</v>
      </c>
      <c r="M359" s="39">
        <v>31.0</v>
      </c>
      <c r="N359" s="40">
        <v>46217.0</v>
      </c>
      <c r="O359" s="42" t="b">
        <v>1</v>
      </c>
      <c r="P359" s="44">
        <v>46217.0</v>
      </c>
      <c r="Q359" s="34"/>
      <c r="R359" s="33">
        <v>46218.0</v>
      </c>
      <c r="S359" s="34"/>
      <c r="T359" s="34"/>
    </row>
    <row r="360" ht="15.75" customHeight="1">
      <c r="B360" s="33">
        <v>46217.0</v>
      </c>
      <c r="C360" s="35">
        <v>1043.0</v>
      </c>
      <c r="D360" s="35">
        <v>13.0</v>
      </c>
      <c r="E360" s="37">
        <v>152.0</v>
      </c>
      <c r="F360" s="38">
        <f t="shared" si="2"/>
        <v>1976</v>
      </c>
      <c r="G360" s="35" t="s">
        <v>659</v>
      </c>
      <c r="H360" s="35" t="s">
        <v>660</v>
      </c>
      <c r="I360" s="35" t="s">
        <v>77</v>
      </c>
      <c r="J360" s="35" t="s">
        <v>79</v>
      </c>
      <c r="K360" s="35" t="s">
        <v>35</v>
      </c>
      <c r="L360" s="35" t="s">
        <v>132</v>
      </c>
      <c r="M360" s="39">
        <v>31.0</v>
      </c>
      <c r="N360" s="40">
        <v>46217.0</v>
      </c>
      <c r="O360" s="42" t="b">
        <v>1</v>
      </c>
      <c r="P360" s="44">
        <v>46218.0</v>
      </c>
      <c r="Q360" s="34"/>
      <c r="R360" s="34"/>
      <c r="S360" s="34"/>
      <c r="T360" s="34"/>
    </row>
    <row r="361" ht="15.75" customHeight="1">
      <c r="B361" s="33">
        <v>46217.0</v>
      </c>
      <c r="C361" s="35">
        <v>17106.0</v>
      </c>
      <c r="D361" s="35">
        <v>2000.0</v>
      </c>
      <c r="E361" s="37">
        <v>159.0</v>
      </c>
      <c r="F361" s="38">
        <f t="shared" si="2"/>
        <v>318000</v>
      </c>
      <c r="G361" s="35" t="s">
        <v>883</v>
      </c>
      <c r="H361" s="35" t="s">
        <v>35</v>
      </c>
      <c r="I361" s="35" t="s">
        <v>41</v>
      </c>
      <c r="J361" s="35" t="s">
        <v>40</v>
      </c>
      <c r="K361" s="35" t="s">
        <v>35</v>
      </c>
      <c r="L361" s="35" t="s">
        <v>877</v>
      </c>
      <c r="M361" s="39">
        <v>1.0</v>
      </c>
      <c r="N361" s="40">
        <v>46222.0</v>
      </c>
      <c r="O361" s="42" t="b">
        <v>1</v>
      </c>
      <c r="P361" s="44">
        <v>46223.0</v>
      </c>
      <c r="Q361" s="34"/>
      <c r="R361" s="34"/>
      <c r="S361" s="34"/>
      <c r="T361" s="34"/>
    </row>
    <row r="362" ht="15.0" customHeight="1">
      <c r="B362" s="33">
        <v>46217.0</v>
      </c>
      <c r="C362" s="35">
        <v>925520.0</v>
      </c>
      <c r="D362" s="35">
        <v>500.0</v>
      </c>
      <c r="E362" s="37">
        <v>135.0</v>
      </c>
      <c r="F362" s="38">
        <f t="shared" si="2"/>
        <v>67500</v>
      </c>
      <c r="G362" s="35" t="s">
        <v>2008</v>
      </c>
      <c r="H362" s="35">
        <v>61869.0</v>
      </c>
      <c r="I362" s="35" t="s">
        <v>41</v>
      </c>
      <c r="J362" s="35" t="s">
        <v>40</v>
      </c>
      <c r="K362" s="35" t="s">
        <v>35</v>
      </c>
      <c r="L362" s="35" t="s">
        <v>43</v>
      </c>
      <c r="M362" s="39">
        <v>1.0</v>
      </c>
      <c r="N362" s="40">
        <v>46222.0</v>
      </c>
      <c r="O362" s="42" t="b">
        <v>1</v>
      </c>
      <c r="P362" s="44">
        <v>46223.0</v>
      </c>
      <c r="Q362" s="34"/>
      <c r="R362" s="34"/>
      <c r="S362" s="34"/>
      <c r="T362" s="34"/>
    </row>
    <row r="363" ht="15.75" customHeight="1">
      <c r="B363" s="33">
        <v>46217.0</v>
      </c>
      <c r="C363" s="35">
        <v>925520.0</v>
      </c>
      <c r="D363" s="35">
        <v>500.0</v>
      </c>
      <c r="E363" s="37">
        <v>135.0</v>
      </c>
      <c r="F363" s="38">
        <f t="shared" si="2"/>
        <v>67500</v>
      </c>
      <c r="G363" s="35" t="s">
        <v>2010</v>
      </c>
      <c r="H363" s="35">
        <v>57966.0</v>
      </c>
      <c r="I363" s="35" t="s">
        <v>41</v>
      </c>
      <c r="J363" s="35" t="s">
        <v>40</v>
      </c>
      <c r="K363" s="35" t="s">
        <v>35</v>
      </c>
      <c r="L363" s="35" t="s">
        <v>43</v>
      </c>
      <c r="M363" s="39">
        <v>1.0</v>
      </c>
      <c r="N363" s="40">
        <v>46223.0</v>
      </c>
      <c r="O363" s="42" t="b">
        <v>0</v>
      </c>
      <c r="P363" s="44">
        <v>46225.0</v>
      </c>
      <c r="Q363" s="34"/>
      <c r="R363" s="34"/>
      <c r="S363" s="34"/>
      <c r="T363" s="34"/>
    </row>
    <row r="364" ht="15.75" customHeight="1">
      <c r="B364" s="33">
        <v>46217.0</v>
      </c>
      <c r="C364" s="46" t="s">
        <v>2014</v>
      </c>
      <c r="D364" s="35">
        <v>1.0</v>
      </c>
      <c r="E364" s="37">
        <v>121.5</v>
      </c>
      <c r="F364" s="38">
        <f t="shared" si="2"/>
        <v>121.5</v>
      </c>
      <c r="G364" s="35" t="s">
        <v>2015</v>
      </c>
      <c r="H364" s="35" t="s">
        <v>2016</v>
      </c>
      <c r="I364" s="35" t="s">
        <v>221</v>
      </c>
      <c r="J364" s="35" t="s">
        <v>34</v>
      </c>
      <c r="K364" s="35" t="s">
        <v>35</v>
      </c>
      <c r="L364" s="35" t="s">
        <v>2017</v>
      </c>
      <c r="M364" s="39">
        <v>1.0</v>
      </c>
      <c r="N364" s="40">
        <v>46219.0</v>
      </c>
      <c r="O364" s="42" t="b">
        <v>1</v>
      </c>
      <c r="P364" s="44">
        <v>46223.0</v>
      </c>
      <c r="Q364" s="34"/>
      <c r="R364" s="34"/>
      <c r="S364" s="34"/>
      <c r="T364" s="34"/>
    </row>
    <row r="365" ht="15.75" customHeight="1">
      <c r="B365" s="33">
        <v>46217.0</v>
      </c>
      <c r="C365" s="46" t="s">
        <v>2014</v>
      </c>
      <c r="D365" s="35">
        <v>4.0</v>
      </c>
      <c r="E365" s="37">
        <v>121.5</v>
      </c>
      <c r="F365" s="38">
        <f t="shared" si="2"/>
        <v>486</v>
      </c>
      <c r="G365" s="35" t="s">
        <v>2015</v>
      </c>
      <c r="H365" s="35" t="s">
        <v>2016</v>
      </c>
      <c r="I365" s="35" t="s">
        <v>77</v>
      </c>
      <c r="J365" s="35" t="s">
        <v>79</v>
      </c>
      <c r="K365" s="35" t="s">
        <v>35</v>
      </c>
      <c r="L365" s="35" t="s">
        <v>2017</v>
      </c>
      <c r="M365" s="39">
        <v>1.0</v>
      </c>
      <c r="N365" s="40">
        <v>46219.0</v>
      </c>
      <c r="O365" s="42" t="b">
        <v>1</v>
      </c>
      <c r="P365" s="44">
        <v>46223.0</v>
      </c>
      <c r="Q365" s="34"/>
      <c r="R365" s="34"/>
      <c r="S365" s="34"/>
      <c r="T365" s="34"/>
    </row>
    <row r="366" ht="15.75" customHeight="1">
      <c r="B366" s="33">
        <v>46217.0</v>
      </c>
      <c r="C366" s="46" t="s">
        <v>2024</v>
      </c>
      <c r="D366" s="35">
        <v>12.0</v>
      </c>
      <c r="E366" s="37">
        <v>38.7</v>
      </c>
      <c r="F366" s="38">
        <f t="shared" si="2"/>
        <v>464.4</v>
      </c>
      <c r="G366" s="35" t="s">
        <v>2027</v>
      </c>
      <c r="H366" s="35" t="s">
        <v>2028</v>
      </c>
      <c r="I366" s="35" t="s">
        <v>32</v>
      </c>
      <c r="J366" s="35" t="s">
        <v>34</v>
      </c>
      <c r="K366" s="35" t="s">
        <v>35</v>
      </c>
      <c r="L366" s="35" t="s">
        <v>241</v>
      </c>
      <c r="M366" s="39">
        <v>31.0</v>
      </c>
      <c r="N366" s="40">
        <v>46219.0</v>
      </c>
      <c r="O366" s="42" t="b">
        <v>1</v>
      </c>
      <c r="P366" s="44">
        <v>46220.0</v>
      </c>
      <c r="Q366" s="34"/>
      <c r="R366" s="34"/>
      <c r="S366" s="34"/>
      <c r="T366" s="34"/>
    </row>
    <row r="367" ht="15.75" customHeight="1">
      <c r="B367" s="33">
        <v>46217.0</v>
      </c>
      <c r="C367" s="35">
        <v>23393.0</v>
      </c>
      <c r="D367" s="35">
        <v>2000.0</v>
      </c>
      <c r="E367" s="37">
        <v>12.99</v>
      </c>
      <c r="F367" s="38">
        <f t="shared" si="2"/>
        <v>25980</v>
      </c>
      <c r="G367" s="35" t="s">
        <v>262</v>
      </c>
      <c r="H367" s="35" t="s">
        <v>1552</v>
      </c>
      <c r="I367" s="35" t="s">
        <v>77</v>
      </c>
      <c r="J367" s="35" t="s">
        <v>79</v>
      </c>
      <c r="K367" s="35" t="s">
        <v>35</v>
      </c>
      <c r="L367" s="35" t="s">
        <v>96</v>
      </c>
      <c r="M367" s="39">
        <v>1.0</v>
      </c>
      <c r="N367" s="40">
        <v>46217.0</v>
      </c>
      <c r="O367" s="42" t="b">
        <v>1</v>
      </c>
      <c r="P367" s="44">
        <v>46218.0</v>
      </c>
      <c r="Q367" s="34"/>
      <c r="R367" s="34"/>
      <c r="S367" s="34"/>
      <c r="T367" s="34"/>
    </row>
    <row r="368" ht="15.75" customHeight="1">
      <c r="B368" s="33">
        <v>46217.0</v>
      </c>
      <c r="C368" s="35">
        <v>14120.0</v>
      </c>
      <c r="D368" s="35">
        <v>150.0</v>
      </c>
      <c r="E368" s="37">
        <v>59.4</v>
      </c>
      <c r="F368" s="38">
        <f t="shared" si="2"/>
        <v>8910</v>
      </c>
      <c r="G368" s="35" t="s">
        <v>2035</v>
      </c>
      <c r="H368" s="35" t="s">
        <v>2036</v>
      </c>
      <c r="I368" s="35" t="s">
        <v>32</v>
      </c>
      <c r="J368" s="35" t="s">
        <v>40</v>
      </c>
      <c r="K368" s="35" t="s">
        <v>35</v>
      </c>
      <c r="L368" s="35" t="s">
        <v>87</v>
      </c>
      <c r="M368" s="39">
        <v>1.0</v>
      </c>
      <c r="N368" s="40">
        <v>46218.0</v>
      </c>
      <c r="O368" s="42" t="b">
        <v>1</v>
      </c>
      <c r="P368" s="44">
        <v>46223.0</v>
      </c>
      <c r="Q368" s="34"/>
      <c r="R368" s="34"/>
      <c r="S368" s="34"/>
      <c r="T368" s="34"/>
    </row>
    <row r="369" ht="15.75" customHeight="1">
      <c r="B369" s="33">
        <v>46217.0</v>
      </c>
      <c r="C369" s="35">
        <v>14121.0</v>
      </c>
      <c r="D369" s="35">
        <v>60.0</v>
      </c>
      <c r="E369" s="37">
        <v>162.0</v>
      </c>
      <c r="F369" s="38">
        <f t="shared" si="2"/>
        <v>9720</v>
      </c>
      <c r="G369" s="35" t="s">
        <v>2039</v>
      </c>
      <c r="H369" s="35" t="s">
        <v>2041</v>
      </c>
      <c r="I369" s="35" t="s">
        <v>32</v>
      </c>
      <c r="J369" s="35" t="s">
        <v>40</v>
      </c>
      <c r="K369" s="35" t="s">
        <v>35</v>
      </c>
      <c r="L369" s="35" t="s">
        <v>87</v>
      </c>
      <c r="M369" s="39">
        <v>1.0</v>
      </c>
      <c r="N369" s="40">
        <v>46218.0</v>
      </c>
      <c r="O369" s="42" t="b">
        <v>1</v>
      </c>
      <c r="P369" s="44">
        <v>46223.0</v>
      </c>
      <c r="Q369" s="34"/>
      <c r="R369" s="34"/>
      <c r="S369" s="34"/>
      <c r="T369" s="34"/>
    </row>
    <row r="370" ht="15.75" customHeight="1">
      <c r="B370" s="33">
        <v>46217.0</v>
      </c>
      <c r="C370" s="35">
        <v>14121.0</v>
      </c>
      <c r="D370" s="35">
        <v>90.0</v>
      </c>
      <c r="E370" s="37">
        <v>90.0</v>
      </c>
      <c r="F370" s="38">
        <f t="shared" si="2"/>
        <v>8100</v>
      </c>
      <c r="G370" s="35" t="s">
        <v>2043</v>
      </c>
      <c r="H370" s="35" t="s">
        <v>2044</v>
      </c>
      <c r="I370" s="35" t="s">
        <v>32</v>
      </c>
      <c r="J370" s="35" t="s">
        <v>40</v>
      </c>
      <c r="K370" s="35" t="s">
        <v>35</v>
      </c>
      <c r="L370" s="35" t="s">
        <v>87</v>
      </c>
      <c r="M370" s="39">
        <v>1.0</v>
      </c>
      <c r="N370" s="40">
        <v>46218.0</v>
      </c>
      <c r="O370" s="42" t="b">
        <v>1</v>
      </c>
      <c r="P370" s="44">
        <v>46223.0</v>
      </c>
      <c r="Q370" s="34"/>
      <c r="R370" s="34"/>
      <c r="S370" s="34"/>
      <c r="T370" s="34"/>
    </row>
    <row r="371" ht="15.75" customHeight="1">
      <c r="B371" s="33">
        <v>46217.0</v>
      </c>
      <c r="C371" s="35">
        <v>23351.0</v>
      </c>
      <c r="D371" s="35">
        <v>2.0</v>
      </c>
      <c r="E371" s="37">
        <v>339.9</v>
      </c>
      <c r="F371" s="38">
        <f t="shared" si="2"/>
        <v>679.8</v>
      </c>
      <c r="G371" s="35" t="s">
        <v>2048</v>
      </c>
      <c r="H371" s="35" t="s">
        <v>2049</v>
      </c>
      <c r="I371" s="35" t="s">
        <v>32</v>
      </c>
      <c r="J371" s="35" t="s">
        <v>34</v>
      </c>
      <c r="K371" s="35" t="s">
        <v>35</v>
      </c>
      <c r="L371" s="35" t="s">
        <v>96</v>
      </c>
      <c r="M371" s="39">
        <v>1.0</v>
      </c>
      <c r="N371" s="40">
        <v>46217.0</v>
      </c>
      <c r="O371" s="42" t="b">
        <v>1</v>
      </c>
      <c r="P371" s="44">
        <v>46218.0</v>
      </c>
      <c r="Q371" s="34"/>
      <c r="R371" s="34"/>
      <c r="S371" s="34"/>
      <c r="T371" s="34"/>
    </row>
    <row r="372" ht="15.75" customHeight="1">
      <c r="B372" s="33">
        <v>46217.0</v>
      </c>
      <c r="C372" s="35">
        <v>23351.0</v>
      </c>
      <c r="D372" s="35">
        <v>3.0</v>
      </c>
      <c r="E372" s="37">
        <v>269.9</v>
      </c>
      <c r="F372" s="38">
        <f t="shared" si="2"/>
        <v>809.7</v>
      </c>
      <c r="G372" s="35" t="s">
        <v>1234</v>
      </c>
      <c r="H372" s="35" t="s">
        <v>200</v>
      </c>
      <c r="I372" s="35" t="s">
        <v>32</v>
      </c>
      <c r="J372" s="35" t="s">
        <v>34</v>
      </c>
      <c r="K372" s="35" t="s">
        <v>35</v>
      </c>
      <c r="L372" s="35" t="s">
        <v>96</v>
      </c>
      <c r="M372" s="39">
        <v>1.0</v>
      </c>
      <c r="N372" s="40">
        <v>46217.0</v>
      </c>
      <c r="O372" s="42" t="b">
        <v>1</v>
      </c>
      <c r="P372" s="44">
        <v>46218.0</v>
      </c>
      <c r="Q372" s="34"/>
      <c r="R372" s="34"/>
      <c r="S372" s="34"/>
      <c r="T372" s="34"/>
    </row>
    <row r="373" ht="15.75" customHeight="1">
      <c r="B373" s="33">
        <v>46217.0</v>
      </c>
      <c r="C373" s="46" t="s">
        <v>2055</v>
      </c>
      <c r="D373" s="35">
        <v>10.0</v>
      </c>
      <c r="E373" s="37">
        <v>46.8</v>
      </c>
      <c r="F373" s="38">
        <f t="shared" si="2"/>
        <v>468</v>
      </c>
      <c r="G373" s="35" t="s">
        <v>2056</v>
      </c>
      <c r="H373" s="35" t="s">
        <v>2057</v>
      </c>
      <c r="I373" s="35" t="s">
        <v>32</v>
      </c>
      <c r="J373" s="35" t="s">
        <v>34</v>
      </c>
      <c r="K373" s="35" t="s">
        <v>35</v>
      </c>
      <c r="L373" s="35" t="s">
        <v>241</v>
      </c>
      <c r="M373" s="39">
        <v>31.0</v>
      </c>
      <c r="N373" s="40">
        <v>46218.0</v>
      </c>
      <c r="O373" s="42" t="b">
        <v>1</v>
      </c>
      <c r="P373" s="44">
        <v>46219.0</v>
      </c>
      <c r="Q373" s="34"/>
      <c r="R373" s="34"/>
      <c r="S373" s="34"/>
      <c r="T373" s="34"/>
    </row>
    <row r="374" ht="15.75" customHeight="1">
      <c r="B374" s="33">
        <v>46217.0</v>
      </c>
      <c r="C374" s="46" t="s">
        <v>2055</v>
      </c>
      <c r="D374" s="35">
        <v>8.0</v>
      </c>
      <c r="E374" s="37">
        <v>64.8</v>
      </c>
      <c r="F374" s="38">
        <f t="shared" si="2"/>
        <v>518.4</v>
      </c>
      <c r="G374" s="35" t="s">
        <v>2056</v>
      </c>
      <c r="H374" s="35" t="s">
        <v>2061</v>
      </c>
      <c r="I374" s="35" t="s">
        <v>32</v>
      </c>
      <c r="J374" s="35" t="s">
        <v>34</v>
      </c>
      <c r="K374" s="35" t="s">
        <v>35</v>
      </c>
      <c r="L374" s="35" t="s">
        <v>241</v>
      </c>
      <c r="M374" s="39">
        <v>31.0</v>
      </c>
      <c r="N374" s="40">
        <v>46218.0</v>
      </c>
      <c r="O374" s="42" t="b">
        <v>1</v>
      </c>
      <c r="P374" s="44">
        <v>46219.0</v>
      </c>
      <c r="Q374" s="34"/>
      <c r="R374" s="34"/>
      <c r="S374" s="34"/>
      <c r="T374" s="34"/>
    </row>
    <row r="375" ht="15.75" customHeight="1">
      <c r="B375" s="33">
        <v>46217.0</v>
      </c>
      <c r="C375" s="35">
        <v>725089.0</v>
      </c>
      <c r="D375" s="35">
        <v>100.0</v>
      </c>
      <c r="E375" s="37">
        <v>30.4</v>
      </c>
      <c r="F375" s="38">
        <f t="shared" si="2"/>
        <v>3040</v>
      </c>
      <c r="G375" s="35" t="s">
        <v>2067</v>
      </c>
      <c r="H375" s="35" t="s">
        <v>2068</v>
      </c>
      <c r="I375" s="35" t="s">
        <v>32</v>
      </c>
      <c r="J375" s="35" t="s">
        <v>34</v>
      </c>
      <c r="K375" s="35" t="s">
        <v>35</v>
      </c>
      <c r="L375" s="35" t="s">
        <v>160</v>
      </c>
      <c r="M375" s="39">
        <v>31.0</v>
      </c>
      <c r="N375" s="40">
        <v>46218.0</v>
      </c>
      <c r="O375" s="42" t="b">
        <v>1</v>
      </c>
      <c r="P375" s="44">
        <v>46220.0</v>
      </c>
      <c r="Q375" s="34"/>
      <c r="R375" s="34"/>
      <c r="S375" s="34"/>
      <c r="T375" s="34"/>
    </row>
    <row r="376" ht="15.75" customHeight="1">
      <c r="B376" s="33">
        <v>46217.0</v>
      </c>
      <c r="C376" s="35">
        <v>725089.0</v>
      </c>
      <c r="D376" s="35">
        <v>500.0</v>
      </c>
      <c r="E376" s="37">
        <v>5.44</v>
      </c>
      <c r="F376" s="38">
        <f t="shared" si="2"/>
        <v>2720</v>
      </c>
      <c r="G376" s="35" t="s">
        <v>2070</v>
      </c>
      <c r="H376" s="35" t="s">
        <v>765</v>
      </c>
      <c r="I376" s="35" t="s">
        <v>32</v>
      </c>
      <c r="J376" s="35" t="s">
        <v>34</v>
      </c>
      <c r="K376" s="35" t="s">
        <v>35</v>
      </c>
      <c r="L376" s="35" t="s">
        <v>160</v>
      </c>
      <c r="M376" s="39">
        <v>31.0</v>
      </c>
      <c r="N376" s="40">
        <v>46218.0</v>
      </c>
      <c r="O376" s="42" t="b">
        <v>1</v>
      </c>
      <c r="P376" s="44">
        <v>46220.0</v>
      </c>
      <c r="Q376" s="34"/>
      <c r="R376" s="34"/>
      <c r="S376" s="34"/>
      <c r="T376" s="34"/>
    </row>
    <row r="377" ht="15.75" customHeight="1">
      <c r="B377" s="33">
        <v>46217.0</v>
      </c>
      <c r="C377" s="35" t="s">
        <v>35</v>
      </c>
      <c r="D377" s="35">
        <v>2.0</v>
      </c>
      <c r="E377" s="37">
        <v>2629.0</v>
      </c>
      <c r="F377" s="38">
        <f t="shared" si="2"/>
        <v>5258</v>
      </c>
      <c r="G377" s="35" t="s">
        <v>2073</v>
      </c>
      <c r="H377" s="35" t="s">
        <v>35</v>
      </c>
      <c r="I377" s="35" t="s">
        <v>174</v>
      </c>
      <c r="J377" s="35" t="s">
        <v>175</v>
      </c>
      <c r="K377" s="35" t="s">
        <v>35</v>
      </c>
      <c r="L377" s="35" t="s">
        <v>1265</v>
      </c>
      <c r="M377" s="39">
        <v>1.0</v>
      </c>
      <c r="N377" s="40">
        <v>46220.0</v>
      </c>
      <c r="O377" s="42" t="b">
        <v>1</v>
      </c>
      <c r="P377" s="44">
        <v>46220.0</v>
      </c>
      <c r="Q377" s="34"/>
      <c r="R377" s="34"/>
      <c r="S377" s="34"/>
      <c r="T377" s="34"/>
    </row>
    <row r="378" ht="15.75" customHeight="1">
      <c r="B378" s="33">
        <v>46217.0</v>
      </c>
      <c r="C378" s="35">
        <v>8976.0</v>
      </c>
      <c r="D378" s="35">
        <v>30.0</v>
      </c>
      <c r="E378" s="37">
        <v>255.0</v>
      </c>
      <c r="F378" s="38">
        <f t="shared" si="2"/>
        <v>7650</v>
      </c>
      <c r="G378" s="35" t="s">
        <v>2075</v>
      </c>
      <c r="H378" s="35" t="s">
        <v>2076</v>
      </c>
      <c r="I378" s="35" t="s">
        <v>32</v>
      </c>
      <c r="J378" s="35" t="s">
        <v>34</v>
      </c>
      <c r="K378" s="35" t="s">
        <v>35</v>
      </c>
      <c r="L378" s="35" t="s">
        <v>81</v>
      </c>
      <c r="M378" s="39">
        <v>31.0</v>
      </c>
      <c r="N378" s="40">
        <v>46219.0</v>
      </c>
      <c r="O378" s="42" t="b">
        <v>0</v>
      </c>
      <c r="P378" s="44">
        <v>46220.0</v>
      </c>
      <c r="Q378" s="34"/>
      <c r="R378" s="33">
        <v>46218.0</v>
      </c>
      <c r="S378" s="34"/>
      <c r="T378" s="34"/>
    </row>
    <row r="379" ht="15.75" customHeight="1">
      <c r="B379" s="33">
        <v>46217.0</v>
      </c>
      <c r="C379" s="35">
        <v>17593.0</v>
      </c>
      <c r="D379" s="35">
        <v>40.0</v>
      </c>
      <c r="E379" s="37">
        <v>11.25</v>
      </c>
      <c r="F379" s="38">
        <f t="shared" si="2"/>
        <v>450</v>
      </c>
      <c r="G379" s="35" t="s">
        <v>2078</v>
      </c>
      <c r="H379" s="35" t="s">
        <v>2079</v>
      </c>
      <c r="I379" s="35" t="s">
        <v>32</v>
      </c>
      <c r="J379" s="35" t="s">
        <v>34</v>
      </c>
      <c r="K379" s="35" t="s">
        <v>35</v>
      </c>
      <c r="L379" s="35" t="s">
        <v>279</v>
      </c>
      <c r="M379" s="39">
        <v>31.0</v>
      </c>
      <c r="N379" s="40">
        <v>46218.0</v>
      </c>
      <c r="O379" s="42" t="b">
        <v>1</v>
      </c>
      <c r="P379" s="44">
        <v>46219.0</v>
      </c>
      <c r="Q379" s="34"/>
      <c r="R379" s="34"/>
      <c r="S379" s="34"/>
      <c r="T379" s="34"/>
    </row>
    <row r="380" ht="15.75" customHeight="1">
      <c r="B380" s="33">
        <v>46217.0</v>
      </c>
      <c r="C380" s="35">
        <v>17593.0</v>
      </c>
      <c r="D380" s="35">
        <v>10.0</v>
      </c>
      <c r="E380" s="37">
        <v>56.7</v>
      </c>
      <c r="F380" s="38">
        <f t="shared" si="2"/>
        <v>567</v>
      </c>
      <c r="G380" s="35" t="s">
        <v>2082</v>
      </c>
      <c r="H380" s="35" t="s">
        <v>2083</v>
      </c>
      <c r="I380" s="35" t="s">
        <v>32</v>
      </c>
      <c r="J380" s="35" t="s">
        <v>34</v>
      </c>
      <c r="K380" s="35" t="s">
        <v>35</v>
      </c>
      <c r="L380" s="35" t="s">
        <v>279</v>
      </c>
      <c r="M380" s="39">
        <v>31.0</v>
      </c>
      <c r="N380" s="40">
        <v>46218.0</v>
      </c>
      <c r="O380" s="42" t="b">
        <v>1</v>
      </c>
      <c r="P380" s="44">
        <v>46219.0</v>
      </c>
      <c r="Q380" s="34"/>
      <c r="R380" s="34"/>
      <c r="S380" s="34"/>
      <c r="T380" s="34"/>
    </row>
    <row r="381" ht="15.75" customHeight="1">
      <c r="B381" s="33">
        <v>46217.0</v>
      </c>
      <c r="C381" s="35">
        <v>17593.0</v>
      </c>
      <c r="D381" s="35">
        <v>30.0</v>
      </c>
      <c r="E381" s="37">
        <v>38.7</v>
      </c>
      <c r="F381" s="38">
        <f t="shared" si="2"/>
        <v>1161</v>
      </c>
      <c r="G381" s="35" t="s">
        <v>2087</v>
      </c>
      <c r="H381" s="35" t="s">
        <v>2088</v>
      </c>
      <c r="I381" s="35" t="s">
        <v>32</v>
      </c>
      <c r="J381" s="35" t="s">
        <v>34</v>
      </c>
      <c r="K381" s="35" t="s">
        <v>35</v>
      </c>
      <c r="L381" s="35" t="s">
        <v>279</v>
      </c>
      <c r="M381" s="39">
        <v>31.0</v>
      </c>
      <c r="N381" s="40">
        <v>46218.0</v>
      </c>
      <c r="O381" s="42" t="b">
        <v>1</v>
      </c>
      <c r="P381" s="44">
        <v>46219.0</v>
      </c>
      <c r="Q381" s="34"/>
      <c r="R381" s="34"/>
      <c r="S381" s="34"/>
      <c r="T381" s="34"/>
    </row>
    <row r="382" ht="15.75" customHeight="1">
      <c r="B382" s="33">
        <v>46217.0</v>
      </c>
      <c r="C382" s="35">
        <v>17593.0</v>
      </c>
      <c r="D382" s="35">
        <v>20.0</v>
      </c>
      <c r="E382" s="37">
        <v>32.4</v>
      </c>
      <c r="F382" s="38">
        <f t="shared" si="2"/>
        <v>648</v>
      </c>
      <c r="G382" s="35" t="s">
        <v>2091</v>
      </c>
      <c r="H382" s="35" t="s">
        <v>1421</v>
      </c>
      <c r="I382" s="35" t="s">
        <v>32</v>
      </c>
      <c r="J382" s="35" t="s">
        <v>34</v>
      </c>
      <c r="K382" s="35" t="s">
        <v>35</v>
      </c>
      <c r="L382" s="35" t="s">
        <v>2094</v>
      </c>
      <c r="M382" s="39">
        <v>31.0</v>
      </c>
      <c r="N382" s="40">
        <v>46218.0</v>
      </c>
      <c r="O382" s="42" t="b">
        <v>1</v>
      </c>
      <c r="P382" s="44">
        <v>46219.0</v>
      </c>
      <c r="Q382" s="34"/>
      <c r="R382" s="34"/>
      <c r="S382" s="34"/>
      <c r="T382" s="35"/>
    </row>
    <row r="383" ht="15.75" customHeight="1">
      <c r="B383" s="33">
        <v>46217.0</v>
      </c>
      <c r="C383" s="35">
        <v>18126.0</v>
      </c>
      <c r="D383" s="35">
        <v>20.0</v>
      </c>
      <c r="E383" s="37">
        <v>61.2</v>
      </c>
      <c r="F383" s="38">
        <f t="shared" si="2"/>
        <v>1224</v>
      </c>
      <c r="G383" s="35" t="s">
        <v>2099</v>
      </c>
      <c r="H383" s="35" t="s">
        <v>2101</v>
      </c>
      <c r="I383" s="35" t="s">
        <v>32</v>
      </c>
      <c r="J383" s="35" t="s">
        <v>34</v>
      </c>
      <c r="K383" s="35" t="s">
        <v>35</v>
      </c>
      <c r="L383" s="35" t="s">
        <v>1491</v>
      </c>
      <c r="M383" s="39">
        <v>31.0</v>
      </c>
      <c r="N383" s="40">
        <v>46218.0</v>
      </c>
      <c r="O383" s="42" t="b">
        <v>1</v>
      </c>
      <c r="P383" s="44">
        <v>46219.0</v>
      </c>
      <c r="Q383" s="34"/>
      <c r="R383" s="34"/>
      <c r="S383" s="34"/>
      <c r="T383" s="35" t="s">
        <v>2104</v>
      </c>
    </row>
    <row r="384" ht="15.75" customHeight="1">
      <c r="B384" s="33">
        <v>46217.0</v>
      </c>
      <c r="C384" s="35">
        <v>3580150.0</v>
      </c>
      <c r="D384" s="35">
        <v>100.0</v>
      </c>
      <c r="E384" s="37">
        <v>128.46</v>
      </c>
      <c r="F384" s="38">
        <f t="shared" si="2"/>
        <v>12846</v>
      </c>
      <c r="G384" s="35" t="s">
        <v>343</v>
      </c>
      <c r="H384" s="35" t="s">
        <v>2107</v>
      </c>
      <c r="I384" s="35" t="s">
        <v>59</v>
      </c>
      <c r="J384" s="35" t="s">
        <v>34</v>
      </c>
      <c r="K384" s="35" t="s">
        <v>345</v>
      </c>
      <c r="L384" s="35" t="s">
        <v>346</v>
      </c>
      <c r="M384" s="39">
        <v>1.0</v>
      </c>
      <c r="N384" s="40">
        <v>46227.0</v>
      </c>
      <c r="O384" s="42" t="b">
        <v>0</v>
      </c>
      <c r="P384" s="44">
        <v>46223.0</v>
      </c>
      <c r="Q384" s="34"/>
      <c r="R384" s="35"/>
      <c r="S384" s="34"/>
      <c r="T384" s="34"/>
    </row>
    <row r="385" ht="15.75" customHeight="1">
      <c r="B385" s="33">
        <v>46217.0</v>
      </c>
      <c r="C385" s="35">
        <v>23346.0</v>
      </c>
      <c r="D385" s="35">
        <v>4.0</v>
      </c>
      <c r="E385" s="37">
        <v>269.9</v>
      </c>
      <c r="F385" s="38">
        <f t="shared" si="2"/>
        <v>1079.6</v>
      </c>
      <c r="G385" s="35" t="s">
        <v>2112</v>
      </c>
      <c r="H385" s="35" t="s">
        <v>2114</v>
      </c>
      <c r="I385" s="35" t="s">
        <v>41</v>
      </c>
      <c r="J385" s="35" t="s">
        <v>34</v>
      </c>
      <c r="K385" s="35" t="s">
        <v>35</v>
      </c>
      <c r="L385" s="35" t="s">
        <v>96</v>
      </c>
      <c r="M385" s="39">
        <v>31.0</v>
      </c>
      <c r="N385" s="40">
        <v>46219.0</v>
      </c>
      <c r="O385" s="42" t="b">
        <v>0</v>
      </c>
      <c r="P385" s="44"/>
      <c r="Q385" s="34"/>
      <c r="R385" s="34"/>
      <c r="S385" s="34"/>
      <c r="T385" s="34"/>
    </row>
    <row r="386" ht="15.75" customHeight="1">
      <c r="B386" s="33">
        <v>46217.0</v>
      </c>
      <c r="C386" s="35">
        <v>23346.0</v>
      </c>
      <c r="D386" s="35">
        <v>4.0</v>
      </c>
      <c r="E386" s="37">
        <v>289.9</v>
      </c>
      <c r="F386" s="38">
        <f t="shared" si="2"/>
        <v>1159.6</v>
      </c>
      <c r="G386" s="35" t="s">
        <v>2116</v>
      </c>
      <c r="H386" s="35" t="s">
        <v>408</v>
      </c>
      <c r="I386" s="35" t="s">
        <v>41</v>
      </c>
      <c r="J386" s="35" t="s">
        <v>34</v>
      </c>
      <c r="K386" s="35" t="s">
        <v>35</v>
      </c>
      <c r="L386" s="35" t="s">
        <v>96</v>
      </c>
      <c r="M386" s="39">
        <v>31.0</v>
      </c>
      <c r="N386" s="40">
        <v>46219.0</v>
      </c>
      <c r="O386" s="42" t="b">
        <v>0</v>
      </c>
      <c r="P386" s="44"/>
      <c r="Q386" s="34"/>
      <c r="R386" s="34"/>
      <c r="S386" s="34"/>
      <c r="T386" s="34"/>
    </row>
    <row r="387" ht="15.75" customHeight="1">
      <c r="B387" s="33">
        <v>46217.0</v>
      </c>
      <c r="C387" s="35">
        <v>23346.0</v>
      </c>
      <c r="D387" s="35">
        <v>6.0</v>
      </c>
      <c r="E387" s="37">
        <v>199.9</v>
      </c>
      <c r="F387" s="38">
        <f t="shared" si="2"/>
        <v>1199.4</v>
      </c>
      <c r="G387" s="35" t="s">
        <v>2122</v>
      </c>
      <c r="H387" s="35" t="s">
        <v>2123</v>
      </c>
      <c r="I387" s="35" t="s">
        <v>41</v>
      </c>
      <c r="J387" s="35" t="s">
        <v>34</v>
      </c>
      <c r="K387" s="35" t="s">
        <v>35</v>
      </c>
      <c r="L387" s="35" t="s">
        <v>96</v>
      </c>
      <c r="M387" s="39">
        <v>31.0</v>
      </c>
      <c r="N387" s="40">
        <v>46219.0</v>
      </c>
      <c r="O387" s="42" t="b">
        <v>0</v>
      </c>
      <c r="P387" s="44"/>
      <c r="Q387" s="34"/>
      <c r="R387" s="34"/>
      <c r="S387" s="34"/>
      <c r="T387" s="35"/>
    </row>
    <row r="388" ht="15.75" customHeight="1">
      <c r="B388" s="33">
        <v>46217.0</v>
      </c>
      <c r="C388" s="35">
        <v>23346.0</v>
      </c>
      <c r="D388" s="35">
        <v>60.0</v>
      </c>
      <c r="E388" s="37">
        <v>14.9</v>
      </c>
      <c r="F388" s="38">
        <f t="shared" si="2"/>
        <v>894</v>
      </c>
      <c r="G388" s="35" t="s">
        <v>1553</v>
      </c>
      <c r="H388" s="35" t="s">
        <v>1556</v>
      </c>
      <c r="I388" s="35" t="s">
        <v>41</v>
      </c>
      <c r="J388" s="35" t="s">
        <v>34</v>
      </c>
      <c r="K388" s="35" t="s">
        <v>35</v>
      </c>
      <c r="L388" s="35" t="s">
        <v>96</v>
      </c>
      <c r="M388" s="39">
        <v>31.0</v>
      </c>
      <c r="N388" s="40">
        <v>46219.0</v>
      </c>
      <c r="O388" s="42" t="b">
        <v>0</v>
      </c>
      <c r="P388" s="44"/>
      <c r="Q388" s="34"/>
      <c r="R388" s="34"/>
      <c r="S388" s="34"/>
      <c r="T388" s="34"/>
    </row>
    <row r="389" ht="15.75" customHeight="1">
      <c r="B389" s="33">
        <v>46217.0</v>
      </c>
      <c r="C389" s="35">
        <v>23346.0</v>
      </c>
      <c r="D389" s="35">
        <v>24.0</v>
      </c>
      <c r="E389" s="37">
        <v>22.9</v>
      </c>
      <c r="F389" s="38">
        <f t="shared" si="2"/>
        <v>549.6</v>
      </c>
      <c r="G389" s="35" t="s">
        <v>2130</v>
      </c>
      <c r="H389" s="35" t="s">
        <v>2131</v>
      </c>
      <c r="I389" s="35" t="s">
        <v>41</v>
      </c>
      <c r="J389" s="35" t="s">
        <v>34</v>
      </c>
      <c r="K389" s="35" t="s">
        <v>35</v>
      </c>
      <c r="L389" s="35" t="s">
        <v>96</v>
      </c>
      <c r="M389" s="39">
        <v>31.0</v>
      </c>
      <c r="N389" s="40">
        <v>46219.0</v>
      </c>
      <c r="O389" s="42" t="b">
        <v>0</v>
      </c>
      <c r="P389" s="44"/>
      <c r="Q389" s="34"/>
      <c r="R389" s="34"/>
      <c r="S389" s="34"/>
      <c r="T389" s="34"/>
    </row>
    <row r="390" ht="15.75" customHeight="1">
      <c r="B390" s="33">
        <v>46217.0</v>
      </c>
      <c r="C390" s="35">
        <v>23346.0</v>
      </c>
      <c r="D390" s="35">
        <v>3.0</v>
      </c>
      <c r="E390" s="37">
        <v>139.9</v>
      </c>
      <c r="F390" s="38">
        <f t="shared" si="2"/>
        <v>419.7</v>
      </c>
      <c r="G390" s="35" t="s">
        <v>1361</v>
      </c>
      <c r="H390" s="35" t="s">
        <v>1363</v>
      </c>
      <c r="I390" s="35" t="s">
        <v>41</v>
      </c>
      <c r="J390" s="35" t="s">
        <v>34</v>
      </c>
      <c r="K390" s="35" t="s">
        <v>35</v>
      </c>
      <c r="L390" s="35" t="s">
        <v>96</v>
      </c>
      <c r="M390" s="39">
        <v>31.0</v>
      </c>
      <c r="N390" s="40">
        <v>46219.0</v>
      </c>
      <c r="O390" s="42" t="b">
        <v>0</v>
      </c>
      <c r="P390" s="36"/>
      <c r="Q390" s="34"/>
      <c r="R390" s="34"/>
      <c r="S390" s="34"/>
      <c r="T390" s="34"/>
    </row>
    <row r="391" ht="15.75" customHeight="1">
      <c r="B391" s="33">
        <v>46217.0</v>
      </c>
      <c r="C391" s="35">
        <v>23346.0</v>
      </c>
      <c r="D391" s="35">
        <v>50.0</v>
      </c>
      <c r="E391" s="37">
        <v>19.99</v>
      </c>
      <c r="F391" s="38">
        <f t="shared" si="2"/>
        <v>999.5</v>
      </c>
      <c r="G391" s="35" t="s">
        <v>649</v>
      </c>
      <c r="H391" s="35" t="s">
        <v>650</v>
      </c>
      <c r="I391" s="35" t="s">
        <v>41</v>
      </c>
      <c r="J391" s="35" t="s">
        <v>34</v>
      </c>
      <c r="K391" s="35" t="s">
        <v>35</v>
      </c>
      <c r="L391" s="35" t="s">
        <v>96</v>
      </c>
      <c r="M391" s="39">
        <v>31.0</v>
      </c>
      <c r="N391" s="40">
        <v>46219.0</v>
      </c>
      <c r="O391" s="42" t="b">
        <v>0</v>
      </c>
      <c r="P391" s="44"/>
      <c r="Q391" s="34"/>
      <c r="R391" s="34"/>
      <c r="S391" s="34"/>
      <c r="T391" s="34"/>
    </row>
    <row r="392" ht="15.75" customHeight="1">
      <c r="B392" s="33">
        <v>46217.0</v>
      </c>
      <c r="C392" s="35">
        <v>23346.0</v>
      </c>
      <c r="D392" s="35">
        <v>50.0</v>
      </c>
      <c r="E392" s="37">
        <v>17.9</v>
      </c>
      <c r="F392" s="38">
        <f t="shared" si="2"/>
        <v>895</v>
      </c>
      <c r="G392" s="35" t="s">
        <v>2136</v>
      </c>
      <c r="H392" s="35" t="s">
        <v>2137</v>
      </c>
      <c r="I392" s="35" t="s">
        <v>41</v>
      </c>
      <c r="J392" s="35" t="s">
        <v>34</v>
      </c>
      <c r="K392" s="35" t="s">
        <v>35</v>
      </c>
      <c r="L392" s="35" t="s">
        <v>96</v>
      </c>
      <c r="M392" s="39">
        <v>31.0</v>
      </c>
      <c r="N392" s="40">
        <v>46219.0</v>
      </c>
      <c r="O392" s="42" t="b">
        <v>0</v>
      </c>
      <c r="P392" s="44"/>
      <c r="Q392" s="34"/>
      <c r="R392" s="34"/>
      <c r="S392" s="34"/>
      <c r="T392" s="34"/>
    </row>
    <row r="393" ht="15.75" customHeight="1">
      <c r="B393" s="33">
        <v>46217.0</v>
      </c>
      <c r="C393" s="35">
        <v>23346.0</v>
      </c>
      <c r="D393" s="35">
        <v>100.0</v>
      </c>
      <c r="E393" s="37">
        <v>7.99</v>
      </c>
      <c r="F393" s="38">
        <f t="shared" si="2"/>
        <v>799</v>
      </c>
      <c r="G393" s="35" t="s">
        <v>2139</v>
      </c>
      <c r="H393" s="35" t="s">
        <v>1103</v>
      </c>
      <c r="I393" s="35" t="s">
        <v>41</v>
      </c>
      <c r="J393" s="35" t="s">
        <v>34</v>
      </c>
      <c r="K393" s="35" t="s">
        <v>35</v>
      </c>
      <c r="L393" s="35" t="s">
        <v>96</v>
      </c>
      <c r="M393" s="39">
        <v>31.0</v>
      </c>
      <c r="N393" s="40">
        <v>46219.0</v>
      </c>
      <c r="O393" s="42" t="b">
        <v>0</v>
      </c>
      <c r="P393" s="44"/>
      <c r="Q393" s="34"/>
      <c r="R393" s="34"/>
      <c r="S393" s="34"/>
      <c r="T393" s="34"/>
    </row>
    <row r="394" ht="15.75" customHeight="1">
      <c r="B394" s="33">
        <v>46217.0</v>
      </c>
      <c r="C394" s="35">
        <v>23346.0</v>
      </c>
      <c r="D394" s="35">
        <v>6.0</v>
      </c>
      <c r="E394" s="37">
        <v>269.9</v>
      </c>
      <c r="F394" s="38">
        <f t="shared" si="2"/>
        <v>1619.4</v>
      </c>
      <c r="G394" s="35" t="s">
        <v>833</v>
      </c>
      <c r="H394" s="35" t="s">
        <v>200</v>
      </c>
      <c r="I394" s="35" t="s">
        <v>41</v>
      </c>
      <c r="J394" s="35" t="s">
        <v>34</v>
      </c>
      <c r="K394" s="35" t="s">
        <v>35</v>
      </c>
      <c r="L394" s="35" t="s">
        <v>96</v>
      </c>
      <c r="M394" s="39">
        <v>31.0</v>
      </c>
      <c r="N394" s="40">
        <v>46219.0</v>
      </c>
      <c r="O394" s="42" t="b">
        <v>0</v>
      </c>
      <c r="P394" s="44"/>
      <c r="Q394" s="34"/>
      <c r="R394" s="34"/>
      <c r="S394" s="34"/>
      <c r="T394" s="34"/>
    </row>
    <row r="395" ht="15.75" customHeight="1">
      <c r="B395" s="33">
        <v>46217.0</v>
      </c>
      <c r="C395" s="35">
        <v>23346.0</v>
      </c>
      <c r="D395" s="35">
        <v>100.0</v>
      </c>
      <c r="E395" s="37">
        <v>8.99</v>
      </c>
      <c r="F395" s="38">
        <f t="shared" si="2"/>
        <v>899</v>
      </c>
      <c r="G395" s="35" t="s">
        <v>2143</v>
      </c>
      <c r="H395" s="35" t="s">
        <v>2144</v>
      </c>
      <c r="I395" s="35" t="s">
        <v>41</v>
      </c>
      <c r="J395" s="35" t="s">
        <v>34</v>
      </c>
      <c r="K395" s="35" t="s">
        <v>35</v>
      </c>
      <c r="L395" s="35" t="s">
        <v>96</v>
      </c>
      <c r="M395" s="39">
        <v>31.0</v>
      </c>
      <c r="N395" s="40">
        <v>46219.0</v>
      </c>
      <c r="O395" s="42" t="b">
        <v>0</v>
      </c>
      <c r="P395" s="45"/>
      <c r="Q395" s="34"/>
      <c r="R395" s="34"/>
      <c r="S395" s="34"/>
      <c r="T395" s="34"/>
    </row>
    <row r="396" ht="15.75" customHeight="1">
      <c r="B396" s="33">
        <v>46217.0</v>
      </c>
      <c r="C396" s="35">
        <v>23346.0</v>
      </c>
      <c r="D396" s="35">
        <v>24.0</v>
      </c>
      <c r="E396" s="37">
        <v>26.9</v>
      </c>
      <c r="F396" s="38">
        <f t="shared" si="2"/>
        <v>645.6</v>
      </c>
      <c r="G396" s="35" t="s">
        <v>2148</v>
      </c>
      <c r="H396" s="35" t="s">
        <v>2149</v>
      </c>
      <c r="I396" s="35" t="s">
        <v>41</v>
      </c>
      <c r="J396" s="35" t="s">
        <v>34</v>
      </c>
      <c r="K396" s="35" t="s">
        <v>35</v>
      </c>
      <c r="L396" s="35" t="s">
        <v>96</v>
      </c>
      <c r="M396" s="39">
        <v>31.0</v>
      </c>
      <c r="N396" s="40">
        <v>46219.0</v>
      </c>
      <c r="O396" s="42" t="b">
        <v>0</v>
      </c>
      <c r="P396" s="45"/>
      <c r="Q396" s="34"/>
      <c r="R396" s="34"/>
      <c r="S396" s="34"/>
      <c r="T396" s="34"/>
    </row>
    <row r="397" ht="15.75" customHeight="1">
      <c r="B397" s="33">
        <v>46217.0</v>
      </c>
      <c r="C397" s="35">
        <v>23346.0</v>
      </c>
      <c r="D397" s="35">
        <v>72.0</v>
      </c>
      <c r="E397" s="37">
        <v>6.99</v>
      </c>
      <c r="F397" s="38">
        <f t="shared" si="2"/>
        <v>503.28</v>
      </c>
      <c r="G397" s="35" t="s">
        <v>2150</v>
      </c>
      <c r="H397" s="35" t="s">
        <v>2151</v>
      </c>
      <c r="I397" s="35" t="s">
        <v>41</v>
      </c>
      <c r="J397" s="35" t="s">
        <v>34</v>
      </c>
      <c r="K397" s="35" t="s">
        <v>35</v>
      </c>
      <c r="L397" s="35" t="s">
        <v>96</v>
      </c>
      <c r="M397" s="39">
        <v>31.0</v>
      </c>
      <c r="N397" s="40">
        <v>46219.0</v>
      </c>
      <c r="O397" s="42" t="b">
        <v>0</v>
      </c>
      <c r="P397" s="44"/>
      <c r="Q397" s="34"/>
      <c r="R397" s="34"/>
      <c r="S397" s="34"/>
      <c r="T397" s="34"/>
    </row>
    <row r="398" ht="15.75" customHeight="1">
      <c r="B398" s="33">
        <v>46217.0</v>
      </c>
      <c r="C398" s="35">
        <v>23346.0</v>
      </c>
      <c r="D398" s="35">
        <v>2.0</v>
      </c>
      <c r="E398" s="37">
        <v>299.9</v>
      </c>
      <c r="F398" s="38">
        <f t="shared" si="2"/>
        <v>599.8</v>
      </c>
      <c r="G398" s="35" t="s">
        <v>2152</v>
      </c>
      <c r="H398" s="35" t="s">
        <v>2153</v>
      </c>
      <c r="I398" s="35" t="s">
        <v>41</v>
      </c>
      <c r="J398" s="35" t="s">
        <v>34</v>
      </c>
      <c r="K398" s="35" t="s">
        <v>35</v>
      </c>
      <c r="L398" s="35" t="s">
        <v>96</v>
      </c>
      <c r="M398" s="39">
        <v>31.0</v>
      </c>
      <c r="N398" s="40">
        <v>46219.0</v>
      </c>
      <c r="O398" s="42" t="b">
        <v>0</v>
      </c>
      <c r="P398" s="44"/>
      <c r="Q398" s="34"/>
      <c r="R398" s="33"/>
      <c r="S398" s="34"/>
      <c r="T398" s="34"/>
    </row>
    <row r="399" ht="15.75" customHeight="1">
      <c r="B399" s="33">
        <v>46217.0</v>
      </c>
      <c r="C399" s="35">
        <v>23347.0</v>
      </c>
      <c r="D399" s="35">
        <v>50.0</v>
      </c>
      <c r="E399" s="37">
        <v>79.9</v>
      </c>
      <c r="F399" s="38">
        <f t="shared" si="2"/>
        <v>3995</v>
      </c>
      <c r="G399" s="35" t="s">
        <v>902</v>
      </c>
      <c r="H399" s="35" t="s">
        <v>732</v>
      </c>
      <c r="I399" s="35" t="s">
        <v>41</v>
      </c>
      <c r="J399" s="35" t="s">
        <v>34</v>
      </c>
      <c r="K399" s="35" t="s">
        <v>35</v>
      </c>
      <c r="L399" s="35" t="s">
        <v>96</v>
      </c>
      <c r="M399" s="39">
        <v>31.0</v>
      </c>
      <c r="N399" s="40">
        <v>46218.0</v>
      </c>
      <c r="O399" s="42" t="b">
        <v>0</v>
      </c>
      <c r="P399" s="44"/>
      <c r="Q399" s="34"/>
      <c r="R399" s="34"/>
      <c r="S399" s="34"/>
      <c r="T399" s="34"/>
    </row>
    <row r="400" ht="15.75" customHeight="1">
      <c r="B400" s="33">
        <v>46217.0</v>
      </c>
      <c r="C400" s="35">
        <v>23347.0</v>
      </c>
      <c r="D400" s="35">
        <v>4.0</v>
      </c>
      <c r="E400" s="37">
        <v>499.9</v>
      </c>
      <c r="F400" s="38">
        <f t="shared" si="2"/>
        <v>1999.6</v>
      </c>
      <c r="G400" s="35" t="s">
        <v>736</v>
      </c>
      <c r="H400" s="35" t="s">
        <v>737</v>
      </c>
      <c r="I400" s="35" t="s">
        <v>41</v>
      </c>
      <c r="J400" s="35" t="s">
        <v>34</v>
      </c>
      <c r="K400" s="35" t="s">
        <v>35</v>
      </c>
      <c r="L400" s="35" t="s">
        <v>96</v>
      </c>
      <c r="M400" s="39">
        <v>31.0</v>
      </c>
      <c r="N400" s="40">
        <v>46218.0</v>
      </c>
      <c r="O400" s="42" t="b">
        <v>0</v>
      </c>
      <c r="P400" s="44"/>
      <c r="Q400" s="34"/>
      <c r="R400" s="34"/>
      <c r="S400" s="34"/>
      <c r="T400" s="34"/>
    </row>
    <row r="401" ht="15.75" customHeight="1">
      <c r="B401" s="33">
        <v>46217.0</v>
      </c>
      <c r="C401" s="35">
        <v>23347.0</v>
      </c>
      <c r="D401" s="35">
        <v>30.0</v>
      </c>
      <c r="E401" s="37">
        <v>21.9</v>
      </c>
      <c r="F401" s="38">
        <f t="shared" si="2"/>
        <v>657</v>
      </c>
      <c r="G401" s="35" t="s">
        <v>2158</v>
      </c>
      <c r="H401" s="35" t="s">
        <v>2159</v>
      </c>
      <c r="I401" s="35" t="s">
        <v>41</v>
      </c>
      <c r="J401" s="35" t="s">
        <v>34</v>
      </c>
      <c r="K401" s="35" t="s">
        <v>35</v>
      </c>
      <c r="L401" s="35" t="s">
        <v>96</v>
      </c>
      <c r="M401" s="39">
        <v>31.0</v>
      </c>
      <c r="N401" s="40">
        <v>46218.0</v>
      </c>
      <c r="O401" s="42" t="b">
        <v>0</v>
      </c>
      <c r="P401" s="44"/>
      <c r="Q401" s="34"/>
      <c r="R401" s="34"/>
      <c r="S401" s="34"/>
      <c r="T401" s="34"/>
    </row>
    <row r="402" ht="15.75" customHeight="1">
      <c r="B402" s="33">
        <v>46217.0</v>
      </c>
      <c r="C402" s="35">
        <v>23347.0</v>
      </c>
      <c r="D402" s="35">
        <v>20.0</v>
      </c>
      <c r="E402" s="37">
        <v>79.9</v>
      </c>
      <c r="F402" s="38">
        <f t="shared" si="2"/>
        <v>1598</v>
      </c>
      <c r="G402" s="35" t="s">
        <v>1366</v>
      </c>
      <c r="H402" s="35" t="s">
        <v>1368</v>
      </c>
      <c r="I402" s="35" t="s">
        <v>41</v>
      </c>
      <c r="J402" s="35" t="s">
        <v>34</v>
      </c>
      <c r="K402" s="35" t="s">
        <v>35</v>
      </c>
      <c r="L402" s="35" t="s">
        <v>96</v>
      </c>
      <c r="M402" s="39">
        <v>31.0</v>
      </c>
      <c r="N402" s="40">
        <v>46218.0</v>
      </c>
      <c r="O402" s="42" t="b">
        <v>0</v>
      </c>
      <c r="P402" s="44"/>
      <c r="Q402" s="34"/>
      <c r="R402" s="34"/>
      <c r="S402" s="34"/>
      <c r="T402" s="34"/>
    </row>
    <row r="403" ht="15.75" customHeight="1">
      <c r="B403" s="33">
        <v>46217.0</v>
      </c>
      <c r="C403" s="35">
        <v>23347.0</v>
      </c>
      <c r="D403" s="35">
        <v>18.0</v>
      </c>
      <c r="E403" s="37">
        <v>139.9</v>
      </c>
      <c r="F403" s="38">
        <f t="shared" si="2"/>
        <v>2518.2</v>
      </c>
      <c r="G403" s="35" t="s">
        <v>540</v>
      </c>
      <c r="H403" s="35" t="s">
        <v>541</v>
      </c>
      <c r="I403" s="35" t="s">
        <v>41</v>
      </c>
      <c r="J403" s="35" t="s">
        <v>34</v>
      </c>
      <c r="K403" s="35" t="s">
        <v>35</v>
      </c>
      <c r="L403" s="35" t="s">
        <v>96</v>
      </c>
      <c r="M403" s="39">
        <v>31.0</v>
      </c>
      <c r="N403" s="40">
        <v>46218.0</v>
      </c>
      <c r="O403" s="42" t="b">
        <v>0</v>
      </c>
      <c r="P403" s="44"/>
      <c r="Q403" s="34"/>
      <c r="R403" s="34"/>
      <c r="S403" s="34"/>
      <c r="T403" s="34"/>
    </row>
    <row r="404" ht="15.75" customHeight="1">
      <c r="B404" s="33">
        <v>46217.0</v>
      </c>
      <c r="C404" s="35">
        <v>23347.0</v>
      </c>
      <c r="D404" s="35">
        <v>12.0</v>
      </c>
      <c r="E404" s="37">
        <v>89.99</v>
      </c>
      <c r="F404" s="38">
        <f t="shared" si="2"/>
        <v>1079.88</v>
      </c>
      <c r="G404" s="35" t="s">
        <v>214</v>
      </c>
      <c r="H404" s="35" t="s">
        <v>216</v>
      </c>
      <c r="I404" s="35" t="s">
        <v>41</v>
      </c>
      <c r="J404" s="35" t="s">
        <v>34</v>
      </c>
      <c r="K404" s="35" t="s">
        <v>35</v>
      </c>
      <c r="L404" s="35" t="s">
        <v>96</v>
      </c>
      <c r="M404" s="39">
        <v>31.0</v>
      </c>
      <c r="N404" s="40">
        <v>46218.0</v>
      </c>
      <c r="O404" s="42" t="b">
        <v>0</v>
      </c>
      <c r="P404" s="44"/>
      <c r="Q404" s="34"/>
      <c r="R404" s="34"/>
      <c r="S404" s="34"/>
      <c r="T404" s="34"/>
    </row>
    <row r="405" ht="15.75" customHeight="1">
      <c r="B405" s="33">
        <v>46217.0</v>
      </c>
      <c r="C405" s="35">
        <v>23347.0</v>
      </c>
      <c r="D405" s="35">
        <v>10.0</v>
      </c>
      <c r="E405" s="37">
        <v>149.99</v>
      </c>
      <c r="F405" s="38">
        <f t="shared" si="2"/>
        <v>1499.9</v>
      </c>
      <c r="G405" s="35" t="s">
        <v>2162</v>
      </c>
      <c r="H405" s="35" t="s">
        <v>196</v>
      </c>
      <c r="I405" s="35" t="s">
        <v>41</v>
      </c>
      <c r="J405" s="35" t="s">
        <v>34</v>
      </c>
      <c r="K405" s="35" t="s">
        <v>35</v>
      </c>
      <c r="L405" s="35" t="s">
        <v>96</v>
      </c>
      <c r="M405" s="39">
        <v>31.0</v>
      </c>
      <c r="N405" s="40">
        <v>46218.0</v>
      </c>
      <c r="O405" s="42" t="b">
        <v>0</v>
      </c>
      <c r="P405" s="44"/>
      <c r="Q405" s="34"/>
      <c r="R405" s="34"/>
      <c r="S405" s="34"/>
      <c r="T405" s="34"/>
    </row>
    <row r="406" ht="15.75" customHeight="1">
      <c r="B406" s="33">
        <v>46217.0</v>
      </c>
      <c r="C406" s="35">
        <v>23347.0</v>
      </c>
      <c r="D406" s="35">
        <v>12.0</v>
      </c>
      <c r="E406" s="37">
        <v>269.9</v>
      </c>
      <c r="F406" s="38">
        <f t="shared" si="2"/>
        <v>3238.8</v>
      </c>
      <c r="G406" s="35" t="s">
        <v>2166</v>
      </c>
      <c r="H406" s="35" t="s">
        <v>596</v>
      </c>
      <c r="I406" s="35" t="s">
        <v>41</v>
      </c>
      <c r="J406" s="35" t="s">
        <v>34</v>
      </c>
      <c r="K406" s="35" t="s">
        <v>35</v>
      </c>
      <c r="L406" s="35" t="s">
        <v>96</v>
      </c>
      <c r="M406" s="39">
        <v>31.0</v>
      </c>
      <c r="N406" s="40">
        <v>46218.0</v>
      </c>
      <c r="O406" s="42" t="b">
        <v>0</v>
      </c>
      <c r="P406" s="44"/>
      <c r="Q406" s="34"/>
      <c r="R406" s="34"/>
      <c r="S406" s="34"/>
      <c r="T406" s="34"/>
    </row>
    <row r="407" ht="15.75" customHeight="1">
      <c r="B407" s="33">
        <v>46217.0</v>
      </c>
      <c r="C407" s="35">
        <v>23347.0</v>
      </c>
      <c r="D407" s="35">
        <v>10.0</v>
      </c>
      <c r="E407" s="37">
        <v>139.9</v>
      </c>
      <c r="F407" s="38">
        <f t="shared" si="2"/>
        <v>1399</v>
      </c>
      <c r="G407" s="35" t="s">
        <v>840</v>
      </c>
      <c r="H407" s="35" t="s">
        <v>841</v>
      </c>
      <c r="I407" s="35" t="s">
        <v>41</v>
      </c>
      <c r="J407" s="35" t="s">
        <v>34</v>
      </c>
      <c r="K407" s="35" t="s">
        <v>35</v>
      </c>
      <c r="L407" s="35" t="s">
        <v>96</v>
      </c>
      <c r="M407" s="39">
        <v>31.0</v>
      </c>
      <c r="N407" s="40">
        <v>46218.0</v>
      </c>
      <c r="O407" s="42" t="b">
        <v>0</v>
      </c>
      <c r="P407" s="44"/>
      <c r="Q407" s="34"/>
      <c r="R407" s="34"/>
      <c r="S407" s="34"/>
      <c r="T407" s="34"/>
    </row>
    <row r="408" ht="15.75" customHeight="1">
      <c r="B408" s="33">
        <v>46217.0</v>
      </c>
      <c r="C408" s="35">
        <v>23347.0</v>
      </c>
      <c r="D408" s="35">
        <v>18.0</v>
      </c>
      <c r="E408" s="37">
        <v>109.99</v>
      </c>
      <c r="F408" s="38">
        <f t="shared" si="2"/>
        <v>1979.82</v>
      </c>
      <c r="G408" s="35" t="s">
        <v>912</v>
      </c>
      <c r="H408" s="35" t="s">
        <v>914</v>
      </c>
      <c r="I408" s="35" t="s">
        <v>41</v>
      </c>
      <c r="J408" s="35" t="s">
        <v>34</v>
      </c>
      <c r="K408" s="35" t="s">
        <v>35</v>
      </c>
      <c r="L408" s="35" t="s">
        <v>96</v>
      </c>
      <c r="M408" s="39">
        <v>31.0</v>
      </c>
      <c r="N408" s="40">
        <v>46218.0</v>
      </c>
      <c r="O408" s="42" t="b">
        <v>0</v>
      </c>
      <c r="P408" s="44"/>
      <c r="Q408" s="34"/>
      <c r="R408" s="34"/>
      <c r="S408" s="34"/>
      <c r="T408" s="34"/>
    </row>
    <row r="409" ht="15.75" customHeight="1">
      <c r="B409" s="33">
        <v>46218.0</v>
      </c>
      <c r="C409" s="46" t="s">
        <v>2175</v>
      </c>
      <c r="D409" s="35">
        <v>200.0</v>
      </c>
      <c r="E409" s="37">
        <v>12.6</v>
      </c>
      <c r="F409" s="38">
        <f t="shared" si="2"/>
        <v>2520</v>
      </c>
      <c r="G409" s="35" t="s">
        <v>423</v>
      </c>
      <c r="H409" s="35" t="s">
        <v>424</v>
      </c>
      <c r="I409" s="35" t="s">
        <v>240</v>
      </c>
      <c r="J409" s="35" t="s">
        <v>34</v>
      </c>
      <c r="K409" s="35" t="s">
        <v>35</v>
      </c>
      <c r="L409" s="35" t="s">
        <v>62</v>
      </c>
      <c r="M409" s="39">
        <v>1.0</v>
      </c>
      <c r="N409" s="44">
        <v>46219.0</v>
      </c>
      <c r="O409" s="42" t="b">
        <v>1</v>
      </c>
      <c r="P409" s="44">
        <v>46223.0</v>
      </c>
      <c r="Q409" s="34"/>
      <c r="R409" s="34"/>
      <c r="S409" s="34"/>
      <c r="T409" s="34"/>
    </row>
    <row r="410" ht="15.75" customHeight="1">
      <c r="B410" s="33">
        <v>46218.0</v>
      </c>
      <c r="C410" s="35">
        <v>1044.0</v>
      </c>
      <c r="D410" s="35">
        <v>200.0</v>
      </c>
      <c r="E410" s="37">
        <v>152.0</v>
      </c>
      <c r="F410" s="38">
        <f t="shared" si="2"/>
        <v>30400</v>
      </c>
      <c r="G410" s="35" t="s">
        <v>659</v>
      </c>
      <c r="H410" s="35" t="s">
        <v>660</v>
      </c>
      <c r="I410" s="35" t="s">
        <v>59</v>
      </c>
      <c r="J410" s="35" t="s">
        <v>34</v>
      </c>
      <c r="K410" s="35" t="s">
        <v>35</v>
      </c>
      <c r="L410" s="35" t="s">
        <v>132</v>
      </c>
      <c r="M410" s="39">
        <v>31.0</v>
      </c>
      <c r="N410" s="40">
        <v>46218.0</v>
      </c>
      <c r="O410" s="42" t="b">
        <v>0</v>
      </c>
      <c r="P410" s="44"/>
      <c r="Q410" s="34"/>
      <c r="R410" s="34"/>
      <c r="S410" s="34"/>
      <c r="T410" s="34"/>
    </row>
    <row r="411" ht="15.75" customHeight="1">
      <c r="B411" s="33">
        <v>46218.0</v>
      </c>
      <c r="C411" s="35">
        <v>1044.0</v>
      </c>
      <c r="D411" s="35">
        <v>50.0</v>
      </c>
      <c r="E411" s="37">
        <v>152.0</v>
      </c>
      <c r="F411" s="38">
        <f t="shared" si="2"/>
        <v>7600</v>
      </c>
      <c r="G411" s="35" t="s">
        <v>659</v>
      </c>
      <c r="H411" s="35" t="s">
        <v>660</v>
      </c>
      <c r="I411" s="35" t="s">
        <v>41</v>
      </c>
      <c r="J411" s="35" t="s">
        <v>34</v>
      </c>
      <c r="K411" s="35" t="s">
        <v>35</v>
      </c>
      <c r="L411" s="35" t="s">
        <v>132</v>
      </c>
      <c r="M411" s="39">
        <v>31.0</v>
      </c>
      <c r="N411" s="40">
        <v>46218.0</v>
      </c>
      <c r="O411" s="42" t="b">
        <v>0</v>
      </c>
      <c r="P411" s="44"/>
      <c r="Q411" s="34"/>
      <c r="R411" s="34"/>
      <c r="S411" s="34"/>
      <c r="T411" s="34"/>
    </row>
    <row r="412" ht="15.75" customHeight="1">
      <c r="B412" s="33">
        <v>46218.0</v>
      </c>
      <c r="C412" s="35">
        <v>1044.0</v>
      </c>
      <c r="D412" s="35">
        <v>15.0</v>
      </c>
      <c r="E412" s="37">
        <v>152.0</v>
      </c>
      <c r="F412" s="38">
        <f t="shared" si="2"/>
        <v>2280</v>
      </c>
      <c r="G412" s="35" t="s">
        <v>659</v>
      </c>
      <c r="H412" s="35" t="s">
        <v>660</v>
      </c>
      <c r="I412" s="35" t="s">
        <v>240</v>
      </c>
      <c r="J412" s="35" t="s">
        <v>34</v>
      </c>
      <c r="K412" s="35" t="s">
        <v>35</v>
      </c>
      <c r="L412" s="35" t="s">
        <v>132</v>
      </c>
      <c r="M412" s="39">
        <v>31.0</v>
      </c>
      <c r="N412" s="40">
        <v>46218.0</v>
      </c>
      <c r="O412" s="42" t="b">
        <v>0</v>
      </c>
      <c r="P412" s="44"/>
      <c r="Q412" s="34"/>
      <c r="R412" s="34"/>
      <c r="S412" s="34"/>
      <c r="T412" s="34"/>
    </row>
    <row r="413" ht="15.75" customHeight="1">
      <c r="B413" s="33">
        <v>46218.0</v>
      </c>
      <c r="C413" s="35">
        <v>925766.0</v>
      </c>
      <c r="D413" s="35">
        <v>1400.0</v>
      </c>
      <c r="E413" s="37">
        <v>135.0</v>
      </c>
      <c r="F413" s="38">
        <f t="shared" si="2"/>
        <v>189000</v>
      </c>
      <c r="G413" s="35" t="s">
        <v>2008</v>
      </c>
      <c r="H413" s="35">
        <v>61869.0</v>
      </c>
      <c r="I413" s="35" t="s">
        <v>59</v>
      </c>
      <c r="J413" s="35" t="s">
        <v>34</v>
      </c>
      <c r="K413" s="35" t="s">
        <v>35</v>
      </c>
      <c r="L413" s="35" t="s">
        <v>43</v>
      </c>
      <c r="M413" s="39">
        <v>1.0</v>
      </c>
      <c r="N413" s="40">
        <v>46225.0</v>
      </c>
      <c r="O413" s="42" t="b">
        <v>1</v>
      </c>
      <c r="P413" s="44">
        <v>46225.0</v>
      </c>
      <c r="Q413" s="34"/>
      <c r="R413" s="34"/>
      <c r="S413" s="34"/>
      <c r="T413" s="34"/>
    </row>
    <row r="414" ht="15.75" customHeight="1">
      <c r="B414" s="33">
        <v>46218.0</v>
      </c>
      <c r="C414" s="35">
        <v>1045.0</v>
      </c>
      <c r="D414" s="35">
        <v>40.0</v>
      </c>
      <c r="E414" s="37">
        <v>152.0</v>
      </c>
      <c r="F414" s="38">
        <f t="shared" si="2"/>
        <v>6080</v>
      </c>
      <c r="G414" s="35" t="s">
        <v>659</v>
      </c>
      <c r="H414" s="35" t="s">
        <v>660</v>
      </c>
      <c r="I414" s="35" t="s">
        <v>59</v>
      </c>
      <c r="J414" s="35" t="s">
        <v>34</v>
      </c>
      <c r="K414" s="35" t="s">
        <v>35</v>
      </c>
      <c r="L414" s="35" t="s">
        <v>132</v>
      </c>
      <c r="M414" s="39">
        <v>31.0</v>
      </c>
      <c r="N414" s="40">
        <v>46218.0</v>
      </c>
      <c r="O414" s="42" t="b">
        <v>0</v>
      </c>
      <c r="P414" s="44"/>
      <c r="Q414" s="34"/>
      <c r="R414" s="34"/>
      <c r="S414" s="34"/>
      <c r="T414" s="35"/>
    </row>
    <row r="415" ht="15.75" customHeight="1">
      <c r="B415" s="33">
        <v>46218.0</v>
      </c>
      <c r="C415" s="35">
        <v>23622.0</v>
      </c>
      <c r="D415" s="35">
        <v>300.0</v>
      </c>
      <c r="E415" s="37">
        <v>12.9</v>
      </c>
      <c r="F415" s="38">
        <f t="shared" si="2"/>
        <v>3870</v>
      </c>
      <c r="G415" s="35" t="s">
        <v>2184</v>
      </c>
      <c r="H415" s="35" t="s">
        <v>1482</v>
      </c>
      <c r="I415" s="35" t="s">
        <v>41</v>
      </c>
      <c r="J415" s="35" t="s">
        <v>34</v>
      </c>
      <c r="K415" s="35" t="s">
        <v>35</v>
      </c>
      <c r="L415" s="35" t="s">
        <v>96</v>
      </c>
      <c r="M415" s="39">
        <v>31.0</v>
      </c>
      <c r="N415" s="40">
        <v>46219.0</v>
      </c>
      <c r="O415" s="42" t="b">
        <v>0</v>
      </c>
      <c r="P415" s="44"/>
      <c r="Q415" s="34"/>
      <c r="R415" s="34"/>
      <c r="S415" s="34"/>
      <c r="T415" s="34"/>
    </row>
    <row r="416" ht="15.75" customHeight="1">
      <c r="B416" s="33">
        <v>46218.0</v>
      </c>
      <c r="C416" s="35">
        <v>23568.0</v>
      </c>
      <c r="D416" s="35">
        <v>10.0</v>
      </c>
      <c r="E416" s="37">
        <v>115.9</v>
      </c>
      <c r="F416" s="38">
        <f t="shared" si="2"/>
        <v>1159</v>
      </c>
      <c r="G416" s="35" t="s">
        <v>2188</v>
      </c>
      <c r="H416" s="35" t="s">
        <v>1583</v>
      </c>
      <c r="I416" s="35" t="s">
        <v>32</v>
      </c>
      <c r="J416" s="35" t="s">
        <v>34</v>
      </c>
      <c r="K416" s="35" t="s">
        <v>35</v>
      </c>
      <c r="L416" s="35" t="s">
        <v>96</v>
      </c>
      <c r="M416" s="39">
        <v>31.0</v>
      </c>
      <c r="N416" s="40">
        <v>46218.0</v>
      </c>
      <c r="O416" s="42" t="b">
        <v>1</v>
      </c>
      <c r="P416" s="44">
        <v>46219.0</v>
      </c>
      <c r="Q416" s="34"/>
      <c r="R416" s="34"/>
      <c r="S416" s="34"/>
      <c r="T416" s="34"/>
    </row>
    <row r="417" ht="15.75" customHeight="1">
      <c r="B417" s="33">
        <v>46218.0</v>
      </c>
      <c r="C417" s="35">
        <v>23568.0</v>
      </c>
      <c r="D417" s="35">
        <v>20.0</v>
      </c>
      <c r="E417" s="37">
        <v>21.9</v>
      </c>
      <c r="F417" s="38">
        <f t="shared" si="2"/>
        <v>438</v>
      </c>
      <c r="G417" s="35" t="s">
        <v>2193</v>
      </c>
      <c r="H417" s="35" t="s">
        <v>2194</v>
      </c>
      <c r="I417" s="35" t="s">
        <v>32</v>
      </c>
      <c r="J417" s="35" t="s">
        <v>34</v>
      </c>
      <c r="K417" s="35" t="s">
        <v>35</v>
      </c>
      <c r="L417" s="35" t="s">
        <v>96</v>
      </c>
      <c r="M417" s="39">
        <v>31.0</v>
      </c>
      <c r="N417" s="40">
        <v>46218.0</v>
      </c>
      <c r="O417" s="42" t="b">
        <v>1</v>
      </c>
      <c r="P417" s="44">
        <v>46219.0</v>
      </c>
      <c r="Q417" s="34"/>
      <c r="R417" s="33"/>
      <c r="S417" s="34"/>
      <c r="T417" s="34"/>
    </row>
    <row r="418" ht="15.75" customHeight="1">
      <c r="B418" s="33">
        <v>46218.0</v>
      </c>
      <c r="C418" s="35">
        <v>23568.0</v>
      </c>
      <c r="D418" s="35">
        <v>10.0</v>
      </c>
      <c r="E418" s="37">
        <v>129.9</v>
      </c>
      <c r="F418" s="38">
        <f t="shared" si="2"/>
        <v>1299</v>
      </c>
      <c r="G418" s="35" t="s">
        <v>2110</v>
      </c>
      <c r="H418" s="35" t="s">
        <v>2111</v>
      </c>
      <c r="I418" s="35" t="s">
        <v>32</v>
      </c>
      <c r="J418" s="35" t="s">
        <v>34</v>
      </c>
      <c r="K418" s="35" t="s">
        <v>35</v>
      </c>
      <c r="L418" s="35" t="s">
        <v>96</v>
      </c>
      <c r="M418" s="39">
        <v>31.0</v>
      </c>
      <c r="N418" s="40">
        <v>46218.0</v>
      </c>
      <c r="O418" s="42" t="b">
        <v>1</v>
      </c>
      <c r="P418" s="44">
        <v>46219.0</v>
      </c>
      <c r="Q418" s="34"/>
      <c r="R418" s="34"/>
      <c r="S418" s="34"/>
      <c r="T418" s="34"/>
    </row>
    <row r="419" ht="15.75" customHeight="1">
      <c r="B419" s="33">
        <v>46218.0</v>
      </c>
      <c r="C419" s="35">
        <v>23568.0</v>
      </c>
      <c r="D419" s="35">
        <v>20.0</v>
      </c>
      <c r="E419" s="37">
        <v>45.9</v>
      </c>
      <c r="F419" s="38">
        <f t="shared" si="2"/>
        <v>918</v>
      </c>
      <c r="G419" s="35" t="s">
        <v>2198</v>
      </c>
      <c r="H419" s="35" t="s">
        <v>2200</v>
      </c>
      <c r="I419" s="35" t="s">
        <v>32</v>
      </c>
      <c r="J419" s="35" t="s">
        <v>34</v>
      </c>
      <c r="K419" s="35" t="s">
        <v>35</v>
      </c>
      <c r="L419" s="35" t="s">
        <v>96</v>
      </c>
      <c r="M419" s="39">
        <v>31.0</v>
      </c>
      <c r="N419" s="40">
        <v>46218.0</v>
      </c>
      <c r="O419" s="42" t="b">
        <v>1</v>
      </c>
      <c r="P419" s="44">
        <v>46219.0</v>
      </c>
      <c r="Q419" s="34"/>
      <c r="R419" s="34"/>
      <c r="S419" s="34"/>
      <c r="T419" s="34"/>
    </row>
    <row r="420" ht="15.75" customHeight="1">
      <c r="B420" s="33">
        <v>46218.0</v>
      </c>
      <c r="C420" s="35">
        <v>23568.0</v>
      </c>
      <c r="D420" s="35">
        <v>5.0</v>
      </c>
      <c r="E420" s="37">
        <v>189.9</v>
      </c>
      <c r="F420" s="38">
        <f t="shared" si="2"/>
        <v>949.5</v>
      </c>
      <c r="G420" s="35" t="s">
        <v>2205</v>
      </c>
      <c r="H420" s="35" t="s">
        <v>2207</v>
      </c>
      <c r="I420" s="35" t="s">
        <v>32</v>
      </c>
      <c r="J420" s="35" t="s">
        <v>34</v>
      </c>
      <c r="K420" s="35" t="s">
        <v>35</v>
      </c>
      <c r="L420" s="35" t="s">
        <v>96</v>
      </c>
      <c r="M420" s="39">
        <v>31.0</v>
      </c>
      <c r="N420" s="40">
        <v>46218.0</v>
      </c>
      <c r="O420" s="42" t="b">
        <v>1</v>
      </c>
      <c r="P420" s="44">
        <v>46219.0</v>
      </c>
      <c r="Q420" s="34"/>
      <c r="R420" s="34"/>
      <c r="S420" s="34"/>
      <c r="T420" s="34"/>
    </row>
    <row r="421" ht="15.75" customHeight="1">
      <c r="B421" s="33">
        <v>46218.0</v>
      </c>
      <c r="C421" s="35">
        <v>23568.0</v>
      </c>
      <c r="D421" s="35">
        <v>10.0</v>
      </c>
      <c r="E421" s="37">
        <v>119.9</v>
      </c>
      <c r="F421" s="38">
        <f t="shared" si="2"/>
        <v>1199</v>
      </c>
      <c r="G421" s="35" t="s">
        <v>416</v>
      </c>
      <c r="H421" s="35" t="s">
        <v>1820</v>
      </c>
      <c r="I421" s="35" t="s">
        <v>32</v>
      </c>
      <c r="J421" s="35" t="s">
        <v>34</v>
      </c>
      <c r="K421" s="35" t="s">
        <v>35</v>
      </c>
      <c r="L421" s="35" t="s">
        <v>96</v>
      </c>
      <c r="M421" s="39">
        <v>31.0</v>
      </c>
      <c r="N421" s="40">
        <v>46218.0</v>
      </c>
      <c r="O421" s="42" t="b">
        <v>1</v>
      </c>
      <c r="P421" s="44">
        <v>46219.0</v>
      </c>
      <c r="Q421" s="34"/>
      <c r="R421" s="34"/>
      <c r="S421" s="34"/>
      <c r="T421" s="34"/>
    </row>
    <row r="422" ht="15.75" customHeight="1">
      <c r="B422" s="33">
        <v>46218.0</v>
      </c>
      <c r="C422" s="35">
        <v>23568.0</v>
      </c>
      <c r="D422" s="35">
        <v>60.0</v>
      </c>
      <c r="E422" s="37">
        <v>21.99</v>
      </c>
      <c r="F422" s="38">
        <f t="shared" si="2"/>
        <v>1319.4</v>
      </c>
      <c r="G422" s="35" t="s">
        <v>2213</v>
      </c>
      <c r="H422" s="35" t="s">
        <v>2214</v>
      </c>
      <c r="I422" s="35" t="s">
        <v>32</v>
      </c>
      <c r="J422" s="35" t="s">
        <v>34</v>
      </c>
      <c r="K422" s="35" t="s">
        <v>35</v>
      </c>
      <c r="L422" s="35" t="s">
        <v>96</v>
      </c>
      <c r="M422" s="39">
        <v>31.0</v>
      </c>
      <c r="N422" s="40">
        <v>46218.0</v>
      </c>
      <c r="O422" s="42" t="b">
        <v>1</v>
      </c>
      <c r="P422" s="44">
        <v>46219.0</v>
      </c>
      <c r="Q422" s="34"/>
      <c r="R422" s="34"/>
      <c r="S422" s="34"/>
      <c r="T422" s="34"/>
    </row>
    <row r="423" ht="15.75" customHeight="1">
      <c r="B423" s="33">
        <v>46218.0</v>
      </c>
      <c r="C423" s="35">
        <v>23624.0</v>
      </c>
      <c r="D423" s="35">
        <v>8.0</v>
      </c>
      <c r="E423" s="37">
        <v>169.9</v>
      </c>
      <c r="F423" s="38">
        <f t="shared" si="2"/>
        <v>1359.2</v>
      </c>
      <c r="G423" s="35" t="s">
        <v>2217</v>
      </c>
      <c r="H423" s="35" t="s">
        <v>184</v>
      </c>
      <c r="I423" s="35" t="s">
        <v>41</v>
      </c>
      <c r="J423" s="35" t="s">
        <v>34</v>
      </c>
      <c r="K423" s="35" t="s">
        <v>35</v>
      </c>
      <c r="L423" s="35" t="s">
        <v>96</v>
      </c>
      <c r="M423" s="39">
        <v>31.0</v>
      </c>
      <c r="N423" s="40">
        <v>46218.0</v>
      </c>
      <c r="O423" s="42" t="b">
        <v>1</v>
      </c>
      <c r="P423" s="44">
        <v>46219.0</v>
      </c>
      <c r="Q423" s="34"/>
      <c r="R423" s="34"/>
      <c r="S423" s="70"/>
      <c r="T423" s="34"/>
    </row>
    <row r="424" ht="15.75" customHeight="1">
      <c r="B424" s="33">
        <v>46218.0</v>
      </c>
      <c r="C424" s="35">
        <v>23624.0</v>
      </c>
      <c r="D424" s="35">
        <v>10.0</v>
      </c>
      <c r="E424" s="37">
        <v>109.9</v>
      </c>
      <c r="F424" s="38">
        <f t="shared" si="2"/>
        <v>1099</v>
      </c>
      <c r="G424" s="35" t="s">
        <v>2202</v>
      </c>
      <c r="H424" s="35" t="s">
        <v>2203</v>
      </c>
      <c r="I424" s="35" t="s">
        <v>41</v>
      </c>
      <c r="J424" s="35" t="s">
        <v>34</v>
      </c>
      <c r="K424" s="35" t="s">
        <v>35</v>
      </c>
      <c r="L424" s="35" t="s">
        <v>96</v>
      </c>
      <c r="M424" s="39">
        <v>31.0</v>
      </c>
      <c r="N424" s="40">
        <v>46218.0</v>
      </c>
      <c r="O424" s="42" t="b">
        <v>1</v>
      </c>
      <c r="P424" s="44">
        <v>46219.0</v>
      </c>
      <c r="Q424" s="34"/>
      <c r="R424" s="34"/>
      <c r="S424" s="34"/>
      <c r="T424" s="34"/>
    </row>
    <row r="425" ht="15.75" customHeight="1">
      <c r="B425" s="33">
        <v>46218.0</v>
      </c>
      <c r="C425" s="35">
        <v>23624.0</v>
      </c>
      <c r="D425" s="35">
        <v>12.0</v>
      </c>
      <c r="E425" s="37">
        <v>79.9</v>
      </c>
      <c r="F425" s="38">
        <f t="shared" si="2"/>
        <v>958.8</v>
      </c>
      <c r="G425" s="35" t="s">
        <v>871</v>
      </c>
      <c r="H425" s="35" t="s">
        <v>872</v>
      </c>
      <c r="I425" s="35" t="s">
        <v>41</v>
      </c>
      <c r="J425" s="35" t="s">
        <v>34</v>
      </c>
      <c r="K425" s="35" t="s">
        <v>35</v>
      </c>
      <c r="L425" s="35" t="s">
        <v>96</v>
      </c>
      <c r="M425" s="39">
        <v>31.0</v>
      </c>
      <c r="N425" s="40">
        <v>46218.0</v>
      </c>
      <c r="O425" s="42" t="b">
        <v>1</v>
      </c>
      <c r="P425" s="44">
        <v>46219.0</v>
      </c>
      <c r="Q425" s="34"/>
      <c r="R425" s="34"/>
      <c r="S425" s="34"/>
      <c r="T425" s="34"/>
    </row>
    <row r="426" ht="15.75" customHeight="1">
      <c r="B426" s="33">
        <v>46218.0</v>
      </c>
      <c r="C426" s="35">
        <v>23624.0</v>
      </c>
      <c r="D426" s="35">
        <v>20.0</v>
      </c>
      <c r="E426" s="37">
        <v>79.9</v>
      </c>
      <c r="F426" s="38">
        <f t="shared" si="2"/>
        <v>1598</v>
      </c>
      <c r="G426" s="35" t="s">
        <v>902</v>
      </c>
      <c r="H426" s="35" t="s">
        <v>732</v>
      </c>
      <c r="I426" s="35" t="s">
        <v>41</v>
      </c>
      <c r="J426" s="35" t="s">
        <v>34</v>
      </c>
      <c r="K426" s="35" t="s">
        <v>35</v>
      </c>
      <c r="L426" s="35" t="s">
        <v>96</v>
      </c>
      <c r="M426" s="39">
        <v>31.0</v>
      </c>
      <c r="N426" s="40">
        <v>46218.0</v>
      </c>
      <c r="O426" s="42" t="b">
        <v>1</v>
      </c>
      <c r="P426" s="44">
        <v>46219.0</v>
      </c>
      <c r="Q426" s="34"/>
      <c r="R426" s="34"/>
      <c r="S426" s="34"/>
      <c r="T426" s="34"/>
    </row>
    <row r="427" ht="15.75" customHeight="1">
      <c r="B427" s="33">
        <v>46218.0</v>
      </c>
      <c r="C427" s="35">
        <v>23624.0</v>
      </c>
      <c r="D427" s="35">
        <v>30.0</v>
      </c>
      <c r="E427" s="37">
        <v>139.9</v>
      </c>
      <c r="F427" s="38">
        <f t="shared" si="2"/>
        <v>4197</v>
      </c>
      <c r="G427" s="35" t="s">
        <v>2228</v>
      </c>
      <c r="H427" s="35" t="s">
        <v>846</v>
      </c>
      <c r="I427" s="35" t="s">
        <v>41</v>
      </c>
      <c r="J427" s="35" t="s">
        <v>34</v>
      </c>
      <c r="K427" s="35" t="s">
        <v>35</v>
      </c>
      <c r="L427" s="35" t="s">
        <v>96</v>
      </c>
      <c r="M427" s="39">
        <v>31.0</v>
      </c>
      <c r="N427" s="40">
        <v>46218.0</v>
      </c>
      <c r="O427" s="42" t="b">
        <v>1</v>
      </c>
      <c r="P427" s="44">
        <v>46219.0</v>
      </c>
      <c r="Q427" s="34"/>
      <c r="R427" s="34"/>
      <c r="S427" s="34"/>
      <c r="T427" s="34"/>
    </row>
    <row r="428" ht="15.75" customHeight="1">
      <c r="B428" s="33">
        <v>46218.0</v>
      </c>
      <c r="C428" s="35">
        <v>23624.0</v>
      </c>
      <c r="D428" s="35">
        <v>6.0</v>
      </c>
      <c r="E428" s="37">
        <v>69.9</v>
      </c>
      <c r="F428" s="38">
        <f t="shared" si="2"/>
        <v>419.4</v>
      </c>
      <c r="G428" s="35" t="s">
        <v>885</v>
      </c>
      <c r="H428" s="35" t="s">
        <v>886</v>
      </c>
      <c r="I428" s="35" t="s">
        <v>41</v>
      </c>
      <c r="J428" s="35" t="s">
        <v>34</v>
      </c>
      <c r="K428" s="35" t="s">
        <v>35</v>
      </c>
      <c r="L428" s="35" t="s">
        <v>96</v>
      </c>
      <c r="M428" s="39">
        <v>31.0</v>
      </c>
      <c r="N428" s="40">
        <v>46218.0</v>
      </c>
      <c r="O428" s="42" t="b">
        <v>1</v>
      </c>
      <c r="P428" s="44">
        <v>46219.0</v>
      </c>
      <c r="Q428" s="34"/>
      <c r="R428" s="34"/>
      <c r="S428" s="34"/>
      <c r="T428" s="34"/>
    </row>
    <row r="429" ht="15.0" customHeight="1">
      <c r="B429" s="33">
        <v>46218.0</v>
      </c>
      <c r="C429" s="35">
        <v>23624.0</v>
      </c>
      <c r="D429" s="35">
        <v>6.0</v>
      </c>
      <c r="E429" s="37">
        <v>139.9</v>
      </c>
      <c r="F429" s="38">
        <f t="shared" si="2"/>
        <v>839.4</v>
      </c>
      <c r="G429" s="35" t="s">
        <v>540</v>
      </c>
      <c r="H429" s="35" t="s">
        <v>541</v>
      </c>
      <c r="I429" s="35" t="s">
        <v>41</v>
      </c>
      <c r="J429" s="35" t="s">
        <v>34</v>
      </c>
      <c r="K429" s="35" t="s">
        <v>35</v>
      </c>
      <c r="L429" s="35" t="s">
        <v>96</v>
      </c>
      <c r="M429" s="39">
        <v>31.0</v>
      </c>
      <c r="N429" s="40">
        <v>46218.0</v>
      </c>
      <c r="O429" s="42" t="b">
        <v>1</v>
      </c>
      <c r="P429" s="44">
        <v>46219.0</v>
      </c>
      <c r="Q429" s="34"/>
      <c r="R429" s="34"/>
      <c r="S429" s="34"/>
      <c r="T429" s="34"/>
    </row>
    <row r="430" ht="15.75" customHeight="1">
      <c r="B430" s="33">
        <v>46218.0</v>
      </c>
      <c r="C430" s="46" t="s">
        <v>2240</v>
      </c>
      <c r="D430" s="35">
        <v>60.0</v>
      </c>
      <c r="E430" s="37">
        <v>215.0</v>
      </c>
      <c r="F430" s="38">
        <f t="shared" si="2"/>
        <v>12900</v>
      </c>
      <c r="G430" s="35" t="s">
        <v>2241</v>
      </c>
      <c r="H430" s="35" t="s">
        <v>35</v>
      </c>
      <c r="I430" s="35" t="s">
        <v>59</v>
      </c>
      <c r="J430" s="35" t="s">
        <v>34</v>
      </c>
      <c r="K430" s="35" t="s">
        <v>35</v>
      </c>
      <c r="L430" s="35" t="s">
        <v>1050</v>
      </c>
      <c r="M430" s="39">
        <v>31.0</v>
      </c>
      <c r="N430" s="40">
        <v>46218.0</v>
      </c>
      <c r="O430" s="42" t="b">
        <v>1</v>
      </c>
      <c r="P430" s="44">
        <v>46218.0</v>
      </c>
      <c r="Q430" s="34"/>
      <c r="R430" s="34"/>
      <c r="S430" s="34"/>
      <c r="T430" s="34"/>
    </row>
    <row r="431" ht="15.75" customHeight="1">
      <c r="B431" s="44">
        <v>46218.0</v>
      </c>
      <c r="C431" s="35">
        <v>715001.0</v>
      </c>
      <c r="D431" s="35">
        <v>1.0</v>
      </c>
      <c r="E431" s="37">
        <v>1468.0</v>
      </c>
      <c r="F431" s="38">
        <f t="shared" si="2"/>
        <v>1468</v>
      </c>
      <c r="G431" s="35" t="s">
        <v>2245</v>
      </c>
      <c r="H431" s="35" t="s">
        <v>2246</v>
      </c>
      <c r="I431" s="35" t="s">
        <v>41</v>
      </c>
      <c r="J431" s="35" t="s">
        <v>34</v>
      </c>
      <c r="K431" s="35" t="s">
        <v>35</v>
      </c>
      <c r="L431" s="35" t="s">
        <v>2232</v>
      </c>
      <c r="M431" s="39">
        <v>1.0</v>
      </c>
      <c r="N431" s="40">
        <v>46222.0</v>
      </c>
      <c r="O431" s="42" t="b">
        <v>1</v>
      </c>
      <c r="P431" s="44">
        <v>46223.0</v>
      </c>
      <c r="Q431" s="34"/>
      <c r="R431" s="34"/>
      <c r="S431" s="34"/>
      <c r="T431" s="34"/>
    </row>
    <row r="432" ht="15.75" customHeight="1">
      <c r="B432" s="33">
        <v>46218.0</v>
      </c>
      <c r="C432" s="58">
        <v>3248.0</v>
      </c>
      <c r="D432" s="35">
        <v>2.0</v>
      </c>
      <c r="E432" s="37">
        <v>6200.0</v>
      </c>
      <c r="F432" s="38">
        <f t="shared" si="2"/>
        <v>12400</v>
      </c>
      <c r="G432" s="35" t="s">
        <v>2249</v>
      </c>
      <c r="H432" s="35" t="s">
        <v>2250</v>
      </c>
      <c r="I432" s="35" t="s">
        <v>39</v>
      </c>
      <c r="J432" s="35" t="s">
        <v>40</v>
      </c>
      <c r="K432" s="35" t="s">
        <v>35</v>
      </c>
      <c r="L432" s="35" t="s">
        <v>2251</v>
      </c>
      <c r="M432" s="39">
        <v>1.0</v>
      </c>
      <c r="N432" s="40">
        <v>46225.0</v>
      </c>
      <c r="O432" s="42" t="b">
        <v>1</v>
      </c>
      <c r="P432" s="44">
        <v>46226.0</v>
      </c>
      <c r="Q432" s="34"/>
      <c r="R432" s="44">
        <v>46218.0</v>
      </c>
      <c r="S432" s="34"/>
      <c r="T432" s="34"/>
    </row>
    <row r="433" ht="15.75" customHeight="1">
      <c r="B433" s="33">
        <v>46218.0</v>
      </c>
      <c r="C433" s="58">
        <v>3248.0</v>
      </c>
      <c r="D433" s="35">
        <v>1.0</v>
      </c>
      <c r="E433" s="37">
        <v>6200.0</v>
      </c>
      <c r="F433" s="38">
        <f t="shared" si="2"/>
        <v>6200</v>
      </c>
      <c r="G433" s="35" t="s">
        <v>2249</v>
      </c>
      <c r="H433" s="35" t="s">
        <v>2250</v>
      </c>
      <c r="I433" s="35" t="s">
        <v>221</v>
      </c>
      <c r="J433" s="35" t="s">
        <v>34</v>
      </c>
      <c r="K433" s="35" t="s">
        <v>35</v>
      </c>
      <c r="L433" s="35" t="s">
        <v>2251</v>
      </c>
      <c r="M433" s="39">
        <v>1.0</v>
      </c>
      <c r="N433" s="40">
        <v>46225.0</v>
      </c>
      <c r="O433" s="42" t="b">
        <v>1</v>
      </c>
      <c r="P433" s="44">
        <v>46226.0</v>
      </c>
      <c r="Q433" s="34"/>
      <c r="R433" s="44">
        <v>46218.0</v>
      </c>
      <c r="S433" s="34"/>
      <c r="T433" s="34"/>
    </row>
    <row r="434" ht="15.75" customHeight="1">
      <c r="B434" s="33">
        <v>46218.0</v>
      </c>
      <c r="C434" s="58">
        <v>3248.0</v>
      </c>
      <c r="D434" s="35">
        <v>2.0</v>
      </c>
      <c r="E434" s="37">
        <v>6200.0</v>
      </c>
      <c r="F434" s="38">
        <f t="shared" si="2"/>
        <v>12400</v>
      </c>
      <c r="G434" s="35" t="s">
        <v>2257</v>
      </c>
      <c r="H434" s="35" t="s">
        <v>2250</v>
      </c>
      <c r="I434" s="35" t="s">
        <v>39</v>
      </c>
      <c r="J434" s="35" t="s">
        <v>40</v>
      </c>
      <c r="K434" s="35" t="s">
        <v>35</v>
      </c>
      <c r="L434" s="35" t="s">
        <v>2251</v>
      </c>
      <c r="M434" s="39">
        <v>1.0</v>
      </c>
      <c r="N434" s="40">
        <v>46225.0</v>
      </c>
      <c r="O434" s="42" t="b">
        <v>1</v>
      </c>
      <c r="P434" s="44">
        <v>46226.0</v>
      </c>
      <c r="Q434" s="34"/>
      <c r="R434" s="44">
        <v>46218.0</v>
      </c>
      <c r="S434" s="34"/>
      <c r="T434" s="34"/>
    </row>
    <row r="435" ht="15.75" customHeight="1">
      <c r="B435" s="33">
        <v>46218.0</v>
      </c>
      <c r="C435" s="58">
        <v>3248.0</v>
      </c>
      <c r="D435" s="35">
        <v>1.0</v>
      </c>
      <c r="E435" s="37">
        <v>6200.0</v>
      </c>
      <c r="F435" s="38">
        <f t="shared" si="2"/>
        <v>6200</v>
      </c>
      <c r="G435" s="35" t="s">
        <v>2257</v>
      </c>
      <c r="H435" s="35" t="s">
        <v>2250</v>
      </c>
      <c r="I435" s="35" t="s">
        <v>221</v>
      </c>
      <c r="J435" s="35" t="s">
        <v>34</v>
      </c>
      <c r="K435" s="35" t="s">
        <v>35</v>
      </c>
      <c r="L435" s="35" t="s">
        <v>2251</v>
      </c>
      <c r="M435" s="39">
        <v>1.0</v>
      </c>
      <c r="N435" s="40">
        <v>46225.0</v>
      </c>
      <c r="O435" s="42" t="b">
        <v>1</v>
      </c>
      <c r="P435" s="44">
        <v>46226.0</v>
      </c>
      <c r="Q435" s="34"/>
      <c r="R435" s="44">
        <v>46218.0</v>
      </c>
      <c r="S435" s="34"/>
      <c r="T435" s="34"/>
    </row>
    <row r="436" ht="15.75" customHeight="1">
      <c r="B436" s="33">
        <v>46218.0</v>
      </c>
      <c r="C436" s="58">
        <v>3248.0</v>
      </c>
      <c r="D436" s="35">
        <v>2.0</v>
      </c>
      <c r="E436" s="37">
        <v>6200.0</v>
      </c>
      <c r="F436" s="38">
        <f t="shared" si="2"/>
        <v>12400</v>
      </c>
      <c r="G436" s="35" t="s">
        <v>2261</v>
      </c>
      <c r="H436" s="35" t="s">
        <v>2250</v>
      </c>
      <c r="I436" s="35" t="s">
        <v>39</v>
      </c>
      <c r="J436" s="35" t="s">
        <v>40</v>
      </c>
      <c r="K436" s="35" t="s">
        <v>35</v>
      </c>
      <c r="L436" s="35" t="s">
        <v>2251</v>
      </c>
      <c r="M436" s="39">
        <v>1.0</v>
      </c>
      <c r="N436" s="40">
        <v>46225.0</v>
      </c>
      <c r="O436" s="42" t="b">
        <v>1</v>
      </c>
      <c r="P436" s="44">
        <v>46226.0</v>
      </c>
      <c r="Q436" s="34"/>
      <c r="R436" s="44">
        <v>46218.0</v>
      </c>
      <c r="S436" s="34"/>
      <c r="T436" s="34"/>
    </row>
    <row r="437" ht="15.75" customHeight="1">
      <c r="B437" s="33">
        <v>46219.0</v>
      </c>
      <c r="C437" s="35">
        <v>1046.0</v>
      </c>
      <c r="D437" s="35">
        <v>15.0</v>
      </c>
      <c r="E437" s="37">
        <v>152.0</v>
      </c>
      <c r="F437" s="38">
        <f t="shared" si="2"/>
        <v>2280</v>
      </c>
      <c r="G437" s="35" t="s">
        <v>659</v>
      </c>
      <c r="H437" s="35" t="s">
        <v>660</v>
      </c>
      <c r="I437" s="35" t="s">
        <v>59</v>
      </c>
      <c r="J437" s="35" t="s">
        <v>34</v>
      </c>
      <c r="K437" s="35" t="s">
        <v>35</v>
      </c>
      <c r="L437" s="35" t="s">
        <v>132</v>
      </c>
      <c r="M437" s="39">
        <v>31.0</v>
      </c>
      <c r="N437" s="44">
        <v>46219.0</v>
      </c>
      <c r="O437" s="42" t="b">
        <v>0</v>
      </c>
      <c r="P437" s="45"/>
      <c r="Q437" s="34"/>
      <c r="R437" s="34"/>
      <c r="S437" s="34"/>
      <c r="T437" s="34"/>
    </row>
    <row r="438" ht="15.75" customHeight="1">
      <c r="B438" s="33">
        <v>46219.0</v>
      </c>
      <c r="C438" s="46" t="s">
        <v>2266</v>
      </c>
      <c r="D438" s="35">
        <v>100.0</v>
      </c>
      <c r="E438" s="37">
        <v>117.0</v>
      </c>
      <c r="F438" s="38">
        <f t="shared" si="2"/>
        <v>11700</v>
      </c>
      <c r="G438" s="35" t="s">
        <v>2267</v>
      </c>
      <c r="H438" s="35" t="s">
        <v>2268</v>
      </c>
      <c r="I438" s="35" t="s">
        <v>32</v>
      </c>
      <c r="J438" s="35" t="s">
        <v>40</v>
      </c>
      <c r="K438" s="35" t="s">
        <v>35</v>
      </c>
      <c r="L438" s="35" t="s">
        <v>62</v>
      </c>
      <c r="M438" s="39">
        <v>1.0</v>
      </c>
      <c r="N438" s="40">
        <v>46220.0</v>
      </c>
      <c r="O438" s="42" t="b">
        <v>1</v>
      </c>
      <c r="P438" s="44">
        <v>46223.0</v>
      </c>
      <c r="Q438" s="34"/>
      <c r="R438" s="34"/>
      <c r="S438" s="34"/>
      <c r="T438" s="34"/>
    </row>
    <row r="439" ht="15.75" customHeight="1">
      <c r="B439" s="33">
        <v>46219.0</v>
      </c>
      <c r="C439" s="46" t="s">
        <v>2266</v>
      </c>
      <c r="D439" s="35">
        <v>50.0</v>
      </c>
      <c r="E439" s="37">
        <v>405.0</v>
      </c>
      <c r="F439" s="38">
        <f t="shared" si="2"/>
        <v>20250</v>
      </c>
      <c r="G439" s="35" t="s">
        <v>2272</v>
      </c>
      <c r="H439" s="35" t="s">
        <v>750</v>
      </c>
      <c r="I439" s="35" t="s">
        <v>32</v>
      </c>
      <c r="J439" s="35" t="s">
        <v>40</v>
      </c>
      <c r="K439" s="35" t="s">
        <v>35</v>
      </c>
      <c r="L439" s="35" t="s">
        <v>62</v>
      </c>
      <c r="M439" s="39">
        <v>1.0</v>
      </c>
      <c r="N439" s="40">
        <v>46220.0</v>
      </c>
      <c r="O439" s="42" t="b">
        <v>1</v>
      </c>
      <c r="P439" s="44">
        <v>46223.0</v>
      </c>
      <c r="Q439" s="34"/>
      <c r="R439" s="34"/>
      <c r="S439" s="34"/>
      <c r="T439" s="34"/>
    </row>
    <row r="440" ht="15.75" customHeight="1">
      <c r="B440" s="33">
        <v>46219.0</v>
      </c>
      <c r="C440" s="35">
        <v>23736.0</v>
      </c>
      <c r="D440" s="35">
        <v>10.0</v>
      </c>
      <c r="E440" s="37">
        <v>17.9</v>
      </c>
      <c r="F440" s="38">
        <f t="shared" si="2"/>
        <v>179</v>
      </c>
      <c r="G440" s="35" t="s">
        <v>2274</v>
      </c>
      <c r="H440" s="35" t="s">
        <v>2275</v>
      </c>
      <c r="I440" s="35" t="s">
        <v>240</v>
      </c>
      <c r="J440" s="35" t="s">
        <v>34</v>
      </c>
      <c r="K440" s="35" t="s">
        <v>35</v>
      </c>
      <c r="L440" s="35" t="s">
        <v>96</v>
      </c>
      <c r="M440" s="39">
        <v>1.0</v>
      </c>
      <c r="N440" s="40">
        <v>46219.0</v>
      </c>
      <c r="O440" s="42" t="b">
        <v>1</v>
      </c>
      <c r="P440" s="44">
        <v>46223.0</v>
      </c>
      <c r="Q440" s="34"/>
      <c r="R440" s="34"/>
      <c r="S440" s="34"/>
      <c r="T440" s="34"/>
    </row>
    <row r="441" ht="15.75" customHeight="1">
      <c r="B441" s="33">
        <v>46219.0</v>
      </c>
      <c r="C441" s="35">
        <v>14498.0</v>
      </c>
      <c r="D441" s="35">
        <v>40.0</v>
      </c>
      <c r="E441" s="37">
        <v>250.0</v>
      </c>
      <c r="F441" s="38">
        <f t="shared" si="2"/>
        <v>10000</v>
      </c>
      <c r="G441" s="35" t="s">
        <v>601</v>
      </c>
      <c r="H441" s="35" t="s">
        <v>602</v>
      </c>
      <c r="I441" s="35" t="s">
        <v>41</v>
      </c>
      <c r="J441" s="35" t="s">
        <v>34</v>
      </c>
      <c r="K441" s="35" t="s">
        <v>35</v>
      </c>
      <c r="L441" s="35" t="s">
        <v>87</v>
      </c>
      <c r="M441" s="39">
        <v>1.0</v>
      </c>
      <c r="N441" s="40">
        <v>46225.0</v>
      </c>
      <c r="O441" s="42" t="b">
        <v>1</v>
      </c>
      <c r="P441" s="44">
        <v>46225.0</v>
      </c>
      <c r="Q441" s="34"/>
      <c r="R441" s="34"/>
      <c r="S441" s="34"/>
      <c r="T441" s="35"/>
    </row>
    <row r="442" ht="15.75" customHeight="1">
      <c r="B442" s="33">
        <v>46219.0</v>
      </c>
      <c r="C442" s="35">
        <v>925989.0</v>
      </c>
      <c r="D442" s="35">
        <v>250.0</v>
      </c>
      <c r="E442" s="37">
        <v>149.9</v>
      </c>
      <c r="F442" s="38">
        <f t="shared" si="2"/>
        <v>37475</v>
      </c>
      <c r="G442" s="35" t="s">
        <v>2285</v>
      </c>
      <c r="H442" s="35">
        <v>61152.0</v>
      </c>
      <c r="I442" s="35" t="s">
        <v>59</v>
      </c>
      <c r="J442" s="35" t="s">
        <v>34</v>
      </c>
      <c r="K442" s="35" t="s">
        <v>35</v>
      </c>
      <c r="L442" s="35" t="s">
        <v>43</v>
      </c>
      <c r="M442" s="39">
        <v>1.0</v>
      </c>
      <c r="N442" s="40">
        <v>46227.0</v>
      </c>
      <c r="O442" s="42" t="b">
        <v>1</v>
      </c>
      <c r="P442" s="44">
        <v>46232.0</v>
      </c>
      <c r="Q442" s="34"/>
      <c r="R442" s="34"/>
      <c r="S442" s="34"/>
      <c r="T442" s="34"/>
    </row>
    <row r="443" ht="15.75" customHeight="1">
      <c r="B443" s="44">
        <v>46219.0</v>
      </c>
      <c r="C443" s="35">
        <v>8989.0</v>
      </c>
      <c r="D443" s="35">
        <v>7.0</v>
      </c>
      <c r="E443" s="37">
        <v>900.0</v>
      </c>
      <c r="F443" s="38">
        <f t="shared" si="2"/>
        <v>6300</v>
      </c>
      <c r="G443" s="35" t="s">
        <v>2288</v>
      </c>
      <c r="H443" s="35" t="s">
        <v>2289</v>
      </c>
      <c r="I443" s="35" t="s">
        <v>41</v>
      </c>
      <c r="J443" s="35" t="s">
        <v>34</v>
      </c>
      <c r="K443" s="35" t="s">
        <v>35</v>
      </c>
      <c r="L443" s="35" t="s">
        <v>81</v>
      </c>
      <c r="M443" s="39">
        <v>31.0</v>
      </c>
      <c r="N443" s="40">
        <v>46223.0</v>
      </c>
      <c r="O443" s="42" t="b">
        <v>0</v>
      </c>
      <c r="P443" s="44">
        <v>46224.0</v>
      </c>
      <c r="Q443" s="34"/>
      <c r="R443" s="34"/>
      <c r="S443" s="34"/>
      <c r="T443" s="34"/>
    </row>
    <row r="444" ht="15.75" customHeight="1">
      <c r="B444" s="33">
        <v>46219.0</v>
      </c>
      <c r="C444" s="46" t="s">
        <v>2293</v>
      </c>
      <c r="D444" s="35">
        <v>1.0</v>
      </c>
      <c r="E444" s="37">
        <v>400.0</v>
      </c>
      <c r="F444" s="38">
        <f t="shared" si="2"/>
        <v>400</v>
      </c>
      <c r="G444" s="35" t="s">
        <v>449</v>
      </c>
      <c r="H444" s="35" t="s">
        <v>2294</v>
      </c>
      <c r="I444" s="35" t="s">
        <v>240</v>
      </c>
      <c r="J444" s="35" t="s">
        <v>183</v>
      </c>
      <c r="K444" s="35" t="s">
        <v>35</v>
      </c>
      <c r="L444" s="35" t="s">
        <v>151</v>
      </c>
      <c r="M444" s="39">
        <v>1.0</v>
      </c>
      <c r="N444" s="40">
        <v>46224.0</v>
      </c>
      <c r="O444" s="42" t="b">
        <v>0</v>
      </c>
      <c r="P444" s="44">
        <v>46232.0</v>
      </c>
      <c r="Q444" s="34"/>
      <c r="R444" s="34"/>
      <c r="S444" s="34"/>
      <c r="T444" s="34"/>
    </row>
    <row r="445" ht="15.75" customHeight="1">
      <c r="B445" s="33">
        <v>46219.0</v>
      </c>
      <c r="C445" s="35">
        <v>984.0</v>
      </c>
      <c r="D445" s="35">
        <v>30.0</v>
      </c>
      <c r="E445" s="37">
        <v>130.0</v>
      </c>
      <c r="F445" s="38">
        <f t="shared" si="2"/>
        <v>3900</v>
      </c>
      <c r="G445" s="35" t="s">
        <v>2298</v>
      </c>
      <c r="H445" s="35" t="s">
        <v>2299</v>
      </c>
      <c r="I445" s="35" t="s">
        <v>41</v>
      </c>
      <c r="J445" s="35" t="s">
        <v>34</v>
      </c>
      <c r="K445" s="35" t="s">
        <v>35</v>
      </c>
      <c r="L445" s="35" t="s">
        <v>140</v>
      </c>
      <c r="M445" s="39">
        <v>31.0</v>
      </c>
      <c r="N445" s="40">
        <v>46220.0</v>
      </c>
      <c r="O445" s="42" t="b">
        <v>1</v>
      </c>
      <c r="P445" s="44">
        <v>46223.0</v>
      </c>
      <c r="Q445" s="34"/>
      <c r="R445" s="33">
        <v>46219.0</v>
      </c>
      <c r="S445" s="34"/>
      <c r="T445" s="34"/>
    </row>
    <row r="446" ht="15.75" customHeight="1">
      <c r="B446" s="33">
        <v>46219.0</v>
      </c>
      <c r="C446" s="35">
        <v>984.0</v>
      </c>
      <c r="D446" s="35">
        <v>70.0</v>
      </c>
      <c r="E446" s="37">
        <v>130.0</v>
      </c>
      <c r="F446" s="38">
        <f t="shared" si="2"/>
        <v>9100</v>
      </c>
      <c r="G446" s="35" t="s">
        <v>2298</v>
      </c>
      <c r="H446" s="35" t="s">
        <v>2299</v>
      </c>
      <c r="I446" s="35" t="s">
        <v>41</v>
      </c>
      <c r="J446" s="35" t="s">
        <v>40</v>
      </c>
      <c r="K446" s="35" t="s">
        <v>35</v>
      </c>
      <c r="L446" s="35" t="s">
        <v>140</v>
      </c>
      <c r="M446" s="39">
        <v>31.0</v>
      </c>
      <c r="N446" s="40">
        <v>46220.0</v>
      </c>
      <c r="O446" s="42" t="b">
        <v>1</v>
      </c>
      <c r="P446" s="44">
        <v>46223.0</v>
      </c>
      <c r="Q446" s="34"/>
      <c r="R446" s="33">
        <v>46219.0</v>
      </c>
      <c r="S446" s="34"/>
      <c r="T446" s="34"/>
    </row>
    <row r="447" ht="15.75" customHeight="1">
      <c r="B447" s="33">
        <v>46219.0</v>
      </c>
      <c r="C447" s="35">
        <v>14499.0</v>
      </c>
      <c r="D447" s="35">
        <v>100.0</v>
      </c>
      <c r="E447" s="37">
        <v>42.0</v>
      </c>
      <c r="F447" s="38">
        <f t="shared" si="2"/>
        <v>4200</v>
      </c>
      <c r="G447" s="35" t="s">
        <v>1817</v>
      </c>
      <c r="H447" s="35" t="s">
        <v>1818</v>
      </c>
      <c r="I447" s="35" t="s">
        <v>59</v>
      </c>
      <c r="J447" s="35" t="s">
        <v>34</v>
      </c>
      <c r="K447" s="35" t="s">
        <v>35</v>
      </c>
      <c r="L447" s="35" t="s">
        <v>87</v>
      </c>
      <c r="M447" s="39">
        <v>31.0</v>
      </c>
      <c r="N447" s="40">
        <v>46219.0</v>
      </c>
      <c r="O447" s="42" t="b">
        <v>1</v>
      </c>
      <c r="P447" s="44">
        <v>46219.0</v>
      </c>
      <c r="Q447" s="34"/>
      <c r="R447" s="34"/>
      <c r="S447" s="34"/>
      <c r="T447" s="34"/>
    </row>
    <row r="448" ht="15.75" customHeight="1">
      <c r="B448" s="44">
        <v>46219.0</v>
      </c>
      <c r="C448" s="35">
        <v>14602.0</v>
      </c>
      <c r="D448" s="35">
        <v>100.0</v>
      </c>
      <c r="E448" s="37">
        <v>70.0</v>
      </c>
      <c r="F448" s="38">
        <f t="shared" si="2"/>
        <v>7000</v>
      </c>
      <c r="G448" s="35" t="s">
        <v>2311</v>
      </c>
      <c r="H448" s="35" t="s">
        <v>2312</v>
      </c>
      <c r="I448" s="35" t="s">
        <v>59</v>
      </c>
      <c r="J448" s="35" t="s">
        <v>34</v>
      </c>
      <c r="K448" s="35" t="s">
        <v>35</v>
      </c>
      <c r="L448" s="35" t="s">
        <v>87</v>
      </c>
      <c r="M448" s="39">
        <v>31.0</v>
      </c>
      <c r="N448" s="40">
        <v>46220.0</v>
      </c>
      <c r="O448" s="42" t="b">
        <v>1</v>
      </c>
      <c r="P448" s="44">
        <v>46220.0</v>
      </c>
      <c r="Q448" s="34"/>
      <c r="R448" s="34"/>
      <c r="S448" s="34"/>
      <c r="T448" s="34"/>
    </row>
    <row r="449" ht="15.75" customHeight="1">
      <c r="B449" s="33">
        <v>46219.0</v>
      </c>
      <c r="C449" s="35">
        <v>4.0</v>
      </c>
      <c r="D449" s="35">
        <v>1000.0</v>
      </c>
      <c r="E449" s="37">
        <v>80.0</v>
      </c>
      <c r="F449" s="38">
        <f t="shared" si="2"/>
        <v>80000</v>
      </c>
      <c r="G449" s="35" t="s">
        <v>1418</v>
      </c>
      <c r="H449" s="35" t="s">
        <v>1420</v>
      </c>
      <c r="I449" s="35" t="s">
        <v>32</v>
      </c>
      <c r="J449" s="35" t="s">
        <v>40</v>
      </c>
      <c r="K449" s="35" t="s">
        <v>35</v>
      </c>
      <c r="L449" s="35" t="s">
        <v>515</v>
      </c>
      <c r="M449" s="39">
        <v>31.0</v>
      </c>
      <c r="N449" s="40">
        <v>46230.0</v>
      </c>
      <c r="O449" s="42" t="b">
        <v>1</v>
      </c>
      <c r="P449" s="44">
        <v>46231.0</v>
      </c>
      <c r="Q449" s="34"/>
      <c r="R449" s="34"/>
      <c r="S449" s="34"/>
      <c r="T449" s="34"/>
    </row>
    <row r="450" ht="15.75" customHeight="1">
      <c r="B450" s="33">
        <v>46219.0</v>
      </c>
      <c r="C450" s="35">
        <v>4.0</v>
      </c>
      <c r="D450" s="35">
        <v>50.0</v>
      </c>
      <c r="E450" s="37">
        <v>250.0</v>
      </c>
      <c r="F450" s="38">
        <f t="shared" si="2"/>
        <v>12500</v>
      </c>
      <c r="G450" s="35" t="s">
        <v>1136</v>
      </c>
      <c r="H450" s="35" t="s">
        <v>1138</v>
      </c>
      <c r="I450" s="35" t="s">
        <v>32</v>
      </c>
      <c r="J450" s="35" t="s">
        <v>34</v>
      </c>
      <c r="K450" s="35" t="s">
        <v>35</v>
      </c>
      <c r="L450" s="35" t="s">
        <v>515</v>
      </c>
      <c r="M450" s="39">
        <v>31.0</v>
      </c>
      <c r="N450" s="44">
        <v>46230.0</v>
      </c>
      <c r="O450" s="42" t="b">
        <v>1</v>
      </c>
      <c r="P450" s="44">
        <v>46231.0</v>
      </c>
      <c r="Q450" s="34"/>
      <c r="R450" s="34"/>
      <c r="S450" s="34"/>
      <c r="T450" s="34"/>
    </row>
    <row r="451" ht="15.75" customHeight="1">
      <c r="B451" s="44">
        <v>46220.0</v>
      </c>
      <c r="C451" s="35">
        <v>14633.0</v>
      </c>
      <c r="D451" s="35">
        <v>60.0</v>
      </c>
      <c r="E451" s="37">
        <v>29.7</v>
      </c>
      <c r="F451" s="38">
        <f t="shared" si="2"/>
        <v>1782</v>
      </c>
      <c r="G451" s="35" t="s">
        <v>2324</v>
      </c>
      <c r="H451" s="35" t="s">
        <v>2325</v>
      </c>
      <c r="I451" s="35" t="s">
        <v>59</v>
      </c>
      <c r="J451" s="35" t="s">
        <v>34</v>
      </c>
      <c r="K451" s="35" t="s">
        <v>35</v>
      </c>
      <c r="L451" s="35" t="s">
        <v>87</v>
      </c>
      <c r="M451" s="39">
        <v>31.0</v>
      </c>
      <c r="N451" s="40">
        <v>46219.0</v>
      </c>
      <c r="O451" s="42" t="b">
        <v>0</v>
      </c>
      <c r="P451" s="44">
        <v>46220.0</v>
      </c>
      <c r="Q451" s="34"/>
      <c r="R451" s="35"/>
      <c r="S451" s="71"/>
      <c r="T451" s="34"/>
    </row>
    <row r="452" ht="15.75" customHeight="1">
      <c r="B452" s="44">
        <v>46220.0</v>
      </c>
      <c r="C452" s="35">
        <v>14673.0</v>
      </c>
      <c r="D452" s="35">
        <v>1500.0</v>
      </c>
      <c r="E452" s="37">
        <v>1.8</v>
      </c>
      <c r="F452" s="38">
        <f t="shared" si="2"/>
        <v>2700</v>
      </c>
      <c r="G452" s="35" t="s">
        <v>1834</v>
      </c>
      <c r="H452" s="35" t="s">
        <v>2329</v>
      </c>
      <c r="I452" s="35" t="s">
        <v>59</v>
      </c>
      <c r="J452" s="35" t="s">
        <v>34</v>
      </c>
      <c r="K452" s="35" t="s">
        <v>35</v>
      </c>
      <c r="L452" s="35" t="s">
        <v>87</v>
      </c>
      <c r="M452" s="39">
        <v>31.0</v>
      </c>
      <c r="N452" s="40">
        <v>46219.0</v>
      </c>
      <c r="O452" s="42" t="b">
        <v>0</v>
      </c>
      <c r="P452" s="44">
        <v>46220.0</v>
      </c>
      <c r="Q452" s="34"/>
      <c r="R452" s="33"/>
      <c r="S452" s="34"/>
      <c r="T452" s="34"/>
    </row>
    <row r="453" ht="15.75" customHeight="1">
      <c r="B453" s="44">
        <v>46220.0</v>
      </c>
      <c r="C453" s="35">
        <v>14673.0</v>
      </c>
      <c r="D453" s="35">
        <v>1500.0</v>
      </c>
      <c r="E453" s="37">
        <v>2.16</v>
      </c>
      <c r="F453" s="38">
        <f t="shared" si="2"/>
        <v>3240</v>
      </c>
      <c r="G453" s="35" t="s">
        <v>1831</v>
      </c>
      <c r="H453" s="35" t="s">
        <v>2334</v>
      </c>
      <c r="I453" s="35" t="s">
        <v>59</v>
      </c>
      <c r="J453" s="35" t="s">
        <v>34</v>
      </c>
      <c r="K453" s="35" t="s">
        <v>35</v>
      </c>
      <c r="L453" s="35" t="s">
        <v>87</v>
      </c>
      <c r="M453" s="39">
        <v>31.0</v>
      </c>
      <c r="N453" s="40">
        <v>46219.0</v>
      </c>
      <c r="O453" s="42" t="b">
        <v>0</v>
      </c>
      <c r="P453" s="44">
        <v>46220.0</v>
      </c>
      <c r="Q453" s="34"/>
      <c r="R453" s="33"/>
      <c r="S453" s="34"/>
      <c r="T453" s="34"/>
    </row>
    <row r="454" ht="15.75" customHeight="1">
      <c r="B454" s="33">
        <v>46220.0</v>
      </c>
      <c r="C454" s="35">
        <v>51256.0</v>
      </c>
      <c r="D454" s="35">
        <v>20.0</v>
      </c>
      <c r="E454" s="37">
        <v>580.0</v>
      </c>
      <c r="F454" s="38">
        <f t="shared" si="2"/>
        <v>11600</v>
      </c>
      <c r="G454" s="35" t="s">
        <v>2337</v>
      </c>
      <c r="H454" s="35" t="s">
        <v>35</v>
      </c>
      <c r="I454" s="35" t="s">
        <v>59</v>
      </c>
      <c r="J454" s="35" t="s">
        <v>34</v>
      </c>
      <c r="K454" s="35" t="s">
        <v>35</v>
      </c>
      <c r="L454" s="35" t="s">
        <v>868</v>
      </c>
      <c r="M454" s="39">
        <v>31.0</v>
      </c>
      <c r="N454" s="40">
        <v>46220.0</v>
      </c>
      <c r="O454" s="42" t="b">
        <v>1</v>
      </c>
      <c r="P454" s="44">
        <v>46220.0</v>
      </c>
      <c r="Q454" s="34"/>
      <c r="R454" s="33"/>
      <c r="S454" s="34"/>
      <c r="T454" s="34"/>
    </row>
    <row r="455" ht="15.75" customHeight="1">
      <c r="B455" s="33">
        <v>46220.0</v>
      </c>
      <c r="C455" s="35">
        <v>23952.0</v>
      </c>
      <c r="D455" s="35">
        <v>10.0</v>
      </c>
      <c r="E455" s="37">
        <v>79.9</v>
      </c>
      <c r="F455" s="38">
        <f t="shared" si="2"/>
        <v>799</v>
      </c>
      <c r="G455" s="35" t="s">
        <v>1366</v>
      </c>
      <c r="H455" s="35" t="s">
        <v>1368</v>
      </c>
      <c r="I455" s="35" t="s">
        <v>240</v>
      </c>
      <c r="J455" s="35" t="s">
        <v>1036</v>
      </c>
      <c r="K455" s="35" t="s">
        <v>1037</v>
      </c>
      <c r="L455" s="35" t="s">
        <v>96</v>
      </c>
      <c r="M455" s="39">
        <v>1.0</v>
      </c>
      <c r="N455" s="40">
        <v>46224.0</v>
      </c>
      <c r="O455" s="42" t="b">
        <v>1</v>
      </c>
      <c r="P455" s="44">
        <v>46232.0</v>
      </c>
      <c r="Q455" s="34"/>
      <c r="R455" s="33"/>
      <c r="S455" s="34"/>
      <c r="T455" s="34"/>
    </row>
    <row r="456" ht="15.75" customHeight="1">
      <c r="B456" s="33">
        <v>46220.0</v>
      </c>
      <c r="C456" s="35">
        <v>1176.0</v>
      </c>
      <c r="D456" s="35">
        <v>14.0</v>
      </c>
      <c r="E456" s="37">
        <v>675.0</v>
      </c>
      <c r="F456" s="38">
        <f t="shared" si="2"/>
        <v>9450</v>
      </c>
      <c r="G456" s="35" t="s">
        <v>856</v>
      </c>
      <c r="H456" s="35" t="s">
        <v>35</v>
      </c>
      <c r="I456" s="35" t="s">
        <v>41</v>
      </c>
      <c r="J456" s="35" t="s">
        <v>34</v>
      </c>
      <c r="K456" s="35" t="s">
        <v>35</v>
      </c>
      <c r="L456" s="35" t="s">
        <v>2342</v>
      </c>
      <c r="M456" s="39">
        <v>31.0</v>
      </c>
      <c r="N456" s="40">
        <v>46226.0</v>
      </c>
      <c r="O456" s="42" t="b">
        <v>1</v>
      </c>
      <c r="P456" s="44">
        <v>46226.0</v>
      </c>
      <c r="Q456" s="34"/>
      <c r="R456" s="33">
        <v>46223.0</v>
      </c>
      <c r="S456" s="34"/>
      <c r="T456" s="34"/>
    </row>
    <row r="457" ht="15.75" customHeight="1">
      <c r="B457" s="33">
        <v>46220.0</v>
      </c>
      <c r="C457" s="35" t="s">
        <v>35</v>
      </c>
      <c r="D457" s="35">
        <v>120.0</v>
      </c>
      <c r="E457" s="37">
        <v>380.0</v>
      </c>
      <c r="F457" s="38">
        <f t="shared" si="2"/>
        <v>45600</v>
      </c>
      <c r="G457" s="35" t="s">
        <v>2344</v>
      </c>
      <c r="H457" s="35" t="s">
        <v>35</v>
      </c>
      <c r="I457" s="35" t="s">
        <v>174</v>
      </c>
      <c r="J457" s="35" t="s">
        <v>175</v>
      </c>
      <c r="K457" s="35" t="s">
        <v>35</v>
      </c>
      <c r="L457" s="35" t="s">
        <v>585</v>
      </c>
      <c r="M457" s="39">
        <v>31.0</v>
      </c>
      <c r="N457" s="40">
        <v>46225.0</v>
      </c>
      <c r="O457" s="42" t="b">
        <v>1</v>
      </c>
      <c r="P457" s="44">
        <v>46227.0</v>
      </c>
      <c r="Q457" s="34"/>
      <c r="R457" s="34"/>
      <c r="S457" s="34"/>
      <c r="T457" s="34"/>
    </row>
    <row r="458" ht="15.75" customHeight="1">
      <c r="B458" s="33">
        <v>46220.0</v>
      </c>
      <c r="C458" s="35" t="s">
        <v>35</v>
      </c>
      <c r="D458" s="35">
        <v>120.0</v>
      </c>
      <c r="E458" s="37">
        <v>260.0</v>
      </c>
      <c r="F458" s="38">
        <f t="shared" si="2"/>
        <v>31200</v>
      </c>
      <c r="G458" s="35" t="s">
        <v>2346</v>
      </c>
      <c r="H458" s="35" t="s">
        <v>35</v>
      </c>
      <c r="I458" s="35" t="s">
        <v>174</v>
      </c>
      <c r="J458" s="35" t="s">
        <v>175</v>
      </c>
      <c r="K458" s="35" t="s">
        <v>35</v>
      </c>
      <c r="L458" s="35" t="s">
        <v>585</v>
      </c>
      <c r="M458" s="39">
        <v>31.0</v>
      </c>
      <c r="N458" s="40">
        <v>46225.0</v>
      </c>
      <c r="O458" s="42" t="b">
        <v>1</v>
      </c>
      <c r="P458" s="44">
        <v>46227.0</v>
      </c>
      <c r="Q458" s="34"/>
      <c r="R458" s="34"/>
      <c r="S458" s="34"/>
      <c r="T458" s="34"/>
    </row>
    <row r="459" ht="15.75" customHeight="1">
      <c r="B459" s="33">
        <v>46220.0</v>
      </c>
      <c r="C459" s="35">
        <v>17978.0</v>
      </c>
      <c r="D459" s="35">
        <v>1.0</v>
      </c>
      <c r="E459" s="37">
        <v>585.0</v>
      </c>
      <c r="F459" s="38">
        <f t="shared" si="2"/>
        <v>585</v>
      </c>
      <c r="G459" s="35" t="s">
        <v>2059</v>
      </c>
      <c r="H459" s="35" t="s">
        <v>2060</v>
      </c>
      <c r="I459" s="35" t="s">
        <v>221</v>
      </c>
      <c r="J459" s="35" t="s">
        <v>34</v>
      </c>
      <c r="K459" s="35" t="s">
        <v>35</v>
      </c>
      <c r="L459" s="35" t="s">
        <v>279</v>
      </c>
      <c r="M459" s="39">
        <v>1.0</v>
      </c>
      <c r="N459" s="40">
        <v>46226.0</v>
      </c>
      <c r="O459" s="42" t="b">
        <v>1</v>
      </c>
      <c r="P459" s="44">
        <v>46232.0</v>
      </c>
      <c r="Q459" s="34"/>
      <c r="R459" s="34"/>
      <c r="S459" s="34"/>
      <c r="T459" s="34"/>
    </row>
    <row r="460" ht="15.75" customHeight="1">
      <c r="B460" s="33">
        <v>46220.0</v>
      </c>
      <c r="C460" s="35">
        <v>17978.0</v>
      </c>
      <c r="D460" s="35">
        <v>1.0</v>
      </c>
      <c r="E460" s="37">
        <v>585.0</v>
      </c>
      <c r="F460" s="38">
        <f t="shared" si="2"/>
        <v>585</v>
      </c>
      <c r="G460" s="35" t="s">
        <v>2059</v>
      </c>
      <c r="H460" s="35" t="s">
        <v>2063</v>
      </c>
      <c r="I460" s="35" t="s">
        <v>221</v>
      </c>
      <c r="J460" s="35" t="s">
        <v>34</v>
      </c>
      <c r="K460" s="35" t="s">
        <v>35</v>
      </c>
      <c r="L460" s="35" t="s">
        <v>279</v>
      </c>
      <c r="M460" s="39">
        <v>1.0</v>
      </c>
      <c r="N460" s="40">
        <v>46226.0</v>
      </c>
      <c r="O460" s="42" t="b">
        <v>1</v>
      </c>
      <c r="P460" s="44">
        <v>46232.0</v>
      </c>
      <c r="Q460" s="34"/>
      <c r="R460" s="33"/>
      <c r="S460" s="34"/>
      <c r="T460" s="34"/>
    </row>
    <row r="461" ht="15.75" customHeight="1">
      <c r="B461" s="33">
        <v>46220.0</v>
      </c>
      <c r="C461" s="35">
        <v>17978.0</v>
      </c>
      <c r="D461" s="35">
        <v>1.0</v>
      </c>
      <c r="E461" s="37">
        <v>585.0</v>
      </c>
      <c r="F461" s="38">
        <f t="shared" si="2"/>
        <v>585</v>
      </c>
      <c r="G461" s="35" t="s">
        <v>2059</v>
      </c>
      <c r="H461" s="35" t="s">
        <v>2358</v>
      </c>
      <c r="I461" s="35" t="s">
        <v>221</v>
      </c>
      <c r="J461" s="35" t="s">
        <v>34</v>
      </c>
      <c r="K461" s="35" t="s">
        <v>35</v>
      </c>
      <c r="L461" s="35" t="s">
        <v>279</v>
      </c>
      <c r="M461" s="39">
        <v>1.0</v>
      </c>
      <c r="N461" s="40">
        <v>46226.0</v>
      </c>
      <c r="O461" s="42" t="b">
        <v>1</v>
      </c>
      <c r="P461" s="44">
        <v>46232.0</v>
      </c>
      <c r="Q461" s="34"/>
      <c r="R461" s="34"/>
      <c r="S461" s="34"/>
      <c r="T461" s="34"/>
    </row>
    <row r="462" ht="15.75" customHeight="1">
      <c r="B462" s="33">
        <v>46223.0</v>
      </c>
      <c r="C462" s="35">
        <v>3584073.0</v>
      </c>
      <c r="D462" s="35">
        <v>3000.0</v>
      </c>
      <c r="E462" s="37">
        <v>4.58</v>
      </c>
      <c r="F462" s="38">
        <f t="shared" si="2"/>
        <v>13740</v>
      </c>
      <c r="G462" s="35" t="s">
        <v>2363</v>
      </c>
      <c r="H462" s="35" t="s">
        <v>2365</v>
      </c>
      <c r="I462" s="35" t="s">
        <v>59</v>
      </c>
      <c r="J462" s="35" t="s">
        <v>34</v>
      </c>
      <c r="K462" s="35" t="s">
        <v>345</v>
      </c>
      <c r="L462" s="35" t="s">
        <v>346</v>
      </c>
      <c r="M462" s="39">
        <v>1.0</v>
      </c>
      <c r="N462" s="40">
        <v>46222.0</v>
      </c>
      <c r="O462" s="42" t="b">
        <v>0</v>
      </c>
      <c r="P462" s="44">
        <v>46223.0</v>
      </c>
      <c r="Q462" s="34"/>
      <c r="R462" s="34"/>
      <c r="S462" s="34"/>
      <c r="T462" s="34"/>
    </row>
    <row r="463" ht="15.75" customHeight="1">
      <c r="B463" s="33">
        <v>46223.0</v>
      </c>
      <c r="C463" s="35">
        <v>18053.0</v>
      </c>
      <c r="D463" s="35">
        <v>6.0</v>
      </c>
      <c r="E463" s="37">
        <v>146.7</v>
      </c>
      <c r="F463" s="38">
        <f t="shared" si="2"/>
        <v>880.2</v>
      </c>
      <c r="G463" s="35" t="s">
        <v>2370</v>
      </c>
      <c r="H463" s="35" t="s">
        <v>2371</v>
      </c>
      <c r="I463" s="35" t="s">
        <v>39</v>
      </c>
      <c r="J463" s="35" t="s">
        <v>183</v>
      </c>
      <c r="K463" s="35" t="s">
        <v>35</v>
      </c>
      <c r="L463" s="35" t="s">
        <v>279</v>
      </c>
      <c r="M463" s="39">
        <v>1.0</v>
      </c>
      <c r="N463" s="40">
        <v>46226.0</v>
      </c>
      <c r="O463" s="42" t="b">
        <v>1</v>
      </c>
      <c r="P463" s="44">
        <v>46232.0</v>
      </c>
      <c r="Q463" s="34"/>
      <c r="R463" s="34"/>
      <c r="S463" s="34"/>
      <c r="T463" s="34"/>
    </row>
    <row r="464" ht="15.75" customHeight="1">
      <c r="B464" s="33">
        <v>46223.0</v>
      </c>
      <c r="C464" s="35">
        <v>18053.0</v>
      </c>
      <c r="D464" s="35">
        <v>6.0</v>
      </c>
      <c r="E464" s="37">
        <v>146.7</v>
      </c>
      <c r="F464" s="38">
        <f t="shared" si="2"/>
        <v>880.2</v>
      </c>
      <c r="G464" s="35" t="s">
        <v>2375</v>
      </c>
      <c r="H464" s="35" t="s">
        <v>2376</v>
      </c>
      <c r="I464" s="35" t="s">
        <v>39</v>
      </c>
      <c r="J464" s="35" t="s">
        <v>183</v>
      </c>
      <c r="K464" s="35" t="s">
        <v>35</v>
      </c>
      <c r="L464" s="35" t="s">
        <v>279</v>
      </c>
      <c r="M464" s="39">
        <v>1.0</v>
      </c>
      <c r="N464" s="40">
        <v>46226.0</v>
      </c>
      <c r="O464" s="42" t="b">
        <v>1</v>
      </c>
      <c r="P464" s="44">
        <v>46232.0</v>
      </c>
      <c r="Q464" s="34"/>
      <c r="R464" s="34"/>
      <c r="S464" s="34"/>
      <c r="T464" s="34"/>
    </row>
    <row r="465" ht="15.75" customHeight="1">
      <c r="B465" s="33">
        <v>46223.0</v>
      </c>
      <c r="C465" s="35">
        <v>24115.0</v>
      </c>
      <c r="D465" s="35">
        <v>40.0</v>
      </c>
      <c r="E465" s="37">
        <v>68.99</v>
      </c>
      <c r="F465" s="38">
        <f t="shared" si="2"/>
        <v>2759.6</v>
      </c>
      <c r="G465" s="35" t="s">
        <v>416</v>
      </c>
      <c r="H465" s="35" t="s">
        <v>545</v>
      </c>
      <c r="I465" s="35" t="s">
        <v>32</v>
      </c>
      <c r="J465" s="35" t="s">
        <v>34</v>
      </c>
      <c r="K465" s="35" t="s">
        <v>35</v>
      </c>
      <c r="L465" s="35" t="s">
        <v>96</v>
      </c>
      <c r="M465" s="39">
        <v>1.0</v>
      </c>
      <c r="N465" s="40">
        <v>46224.0</v>
      </c>
      <c r="O465" s="42" t="b">
        <v>1</v>
      </c>
      <c r="P465" s="44">
        <v>46232.0</v>
      </c>
      <c r="Q465" s="34"/>
      <c r="R465" s="34"/>
      <c r="S465" s="34"/>
      <c r="T465" s="34"/>
    </row>
    <row r="466" ht="15.75" customHeight="1">
      <c r="B466" s="33">
        <v>46223.0</v>
      </c>
      <c r="C466" s="35">
        <v>725255.0</v>
      </c>
      <c r="D466" s="35">
        <v>100.0</v>
      </c>
      <c r="E466" s="37">
        <v>30.4</v>
      </c>
      <c r="F466" s="38">
        <f t="shared" si="2"/>
        <v>3040</v>
      </c>
      <c r="G466" s="35" t="s">
        <v>2067</v>
      </c>
      <c r="H466" s="35" t="s">
        <v>2068</v>
      </c>
      <c r="I466" s="35" t="s">
        <v>32</v>
      </c>
      <c r="J466" s="35" t="s">
        <v>34</v>
      </c>
      <c r="K466" s="35" t="s">
        <v>35</v>
      </c>
      <c r="L466" s="35" t="s">
        <v>160</v>
      </c>
      <c r="M466" s="39">
        <v>31.0</v>
      </c>
      <c r="N466" s="40">
        <v>46225.0</v>
      </c>
      <c r="O466" s="42" t="b">
        <v>1</v>
      </c>
      <c r="P466" s="44">
        <v>46232.0</v>
      </c>
      <c r="Q466" s="34"/>
      <c r="R466" s="34"/>
      <c r="S466" s="34"/>
      <c r="T466" s="34"/>
    </row>
    <row r="467" ht="15.75" customHeight="1">
      <c r="B467" s="33">
        <v>46223.0</v>
      </c>
      <c r="C467" s="35">
        <v>24195.0</v>
      </c>
      <c r="D467" s="35">
        <v>10.0</v>
      </c>
      <c r="E467" s="37">
        <v>79.9</v>
      </c>
      <c r="F467" s="38">
        <f t="shared" si="2"/>
        <v>799</v>
      </c>
      <c r="G467" s="35" t="s">
        <v>902</v>
      </c>
      <c r="H467" s="35" t="s">
        <v>732</v>
      </c>
      <c r="I467" s="35" t="s">
        <v>41</v>
      </c>
      <c r="J467" s="35" t="s">
        <v>34</v>
      </c>
      <c r="K467" s="35" t="s">
        <v>35</v>
      </c>
      <c r="L467" s="35" t="s">
        <v>96</v>
      </c>
      <c r="M467" s="39">
        <v>31.0</v>
      </c>
      <c r="N467" s="40">
        <v>46225.0</v>
      </c>
      <c r="O467" s="42" t="b">
        <v>0</v>
      </c>
      <c r="P467" s="36"/>
      <c r="Q467" s="34"/>
      <c r="R467" s="34"/>
      <c r="S467" s="34"/>
      <c r="T467" s="34"/>
    </row>
    <row r="468" ht="15.75" customHeight="1">
      <c r="B468" s="33">
        <v>46223.0</v>
      </c>
      <c r="C468" s="35">
        <v>24195.0</v>
      </c>
      <c r="D468" s="35">
        <v>20.0</v>
      </c>
      <c r="E468" s="37">
        <v>79.9</v>
      </c>
      <c r="F468" s="38">
        <f t="shared" si="2"/>
        <v>1598</v>
      </c>
      <c r="G468" s="35" t="s">
        <v>2262</v>
      </c>
      <c r="H468" s="35" t="s">
        <v>2263</v>
      </c>
      <c r="I468" s="35" t="s">
        <v>41</v>
      </c>
      <c r="J468" s="35" t="s">
        <v>34</v>
      </c>
      <c r="K468" s="35" t="s">
        <v>35</v>
      </c>
      <c r="L468" s="35" t="s">
        <v>96</v>
      </c>
      <c r="M468" s="39">
        <v>31.0</v>
      </c>
      <c r="N468" s="40">
        <v>46225.0</v>
      </c>
      <c r="O468" s="42" t="b">
        <v>0</v>
      </c>
      <c r="P468" s="45"/>
      <c r="Q468" s="34"/>
      <c r="R468" s="34"/>
      <c r="S468" s="34"/>
      <c r="T468" s="34"/>
    </row>
    <row r="469" ht="15.75" customHeight="1">
      <c r="B469" s="33">
        <v>46223.0</v>
      </c>
      <c r="C469" s="35">
        <v>24195.0</v>
      </c>
      <c r="D469" s="35">
        <v>4.0</v>
      </c>
      <c r="E469" s="37">
        <v>499.9</v>
      </c>
      <c r="F469" s="38">
        <f t="shared" si="2"/>
        <v>1999.6</v>
      </c>
      <c r="G469" s="35" t="s">
        <v>736</v>
      </c>
      <c r="H469" s="35" t="s">
        <v>737</v>
      </c>
      <c r="I469" s="35" t="s">
        <v>41</v>
      </c>
      <c r="J469" s="35" t="s">
        <v>34</v>
      </c>
      <c r="K469" s="35" t="s">
        <v>35</v>
      </c>
      <c r="L469" s="35" t="s">
        <v>96</v>
      </c>
      <c r="M469" s="39">
        <v>31.0</v>
      </c>
      <c r="N469" s="40">
        <v>46225.0</v>
      </c>
      <c r="O469" s="42" t="b">
        <v>0</v>
      </c>
      <c r="P469" s="44"/>
      <c r="Q469" s="34"/>
      <c r="R469" s="34"/>
      <c r="S469" s="34"/>
      <c r="T469" s="34"/>
    </row>
    <row r="470" ht="15.75" customHeight="1">
      <c r="B470" s="33">
        <v>46223.0</v>
      </c>
      <c r="C470" s="35">
        <v>24195.0</v>
      </c>
      <c r="D470" s="35">
        <v>10.0</v>
      </c>
      <c r="E470" s="37">
        <v>79.9</v>
      </c>
      <c r="F470" s="38">
        <f t="shared" si="2"/>
        <v>799</v>
      </c>
      <c r="G470" s="35" t="s">
        <v>1366</v>
      </c>
      <c r="H470" s="35" t="s">
        <v>1368</v>
      </c>
      <c r="I470" s="35" t="s">
        <v>41</v>
      </c>
      <c r="J470" s="35" t="s">
        <v>34</v>
      </c>
      <c r="K470" s="35" t="s">
        <v>35</v>
      </c>
      <c r="L470" s="35" t="s">
        <v>96</v>
      </c>
      <c r="M470" s="39">
        <v>31.0</v>
      </c>
      <c r="N470" s="40">
        <v>46225.0</v>
      </c>
      <c r="O470" s="42" t="b">
        <v>0</v>
      </c>
      <c r="P470" s="44"/>
      <c r="Q470" s="34"/>
      <c r="R470" s="34"/>
      <c r="S470" s="34"/>
      <c r="T470" s="34"/>
    </row>
    <row r="471" ht="15.75" customHeight="1">
      <c r="B471" s="33">
        <v>46223.0</v>
      </c>
      <c r="C471" s="35">
        <v>24195.0</v>
      </c>
      <c r="D471" s="35">
        <v>20.0</v>
      </c>
      <c r="E471" s="37">
        <v>79.9</v>
      </c>
      <c r="F471" s="38">
        <f t="shared" si="2"/>
        <v>1598</v>
      </c>
      <c r="G471" s="35" t="s">
        <v>574</v>
      </c>
      <c r="H471" s="35" t="s">
        <v>576</v>
      </c>
      <c r="I471" s="35" t="s">
        <v>41</v>
      </c>
      <c r="J471" s="35" t="s">
        <v>34</v>
      </c>
      <c r="K471" s="35" t="s">
        <v>35</v>
      </c>
      <c r="L471" s="35" t="s">
        <v>96</v>
      </c>
      <c r="M471" s="39">
        <v>31.0</v>
      </c>
      <c r="N471" s="40">
        <v>46225.0</v>
      </c>
      <c r="O471" s="42" t="b">
        <v>0</v>
      </c>
      <c r="P471" s="44"/>
      <c r="Q471" s="34"/>
      <c r="R471" s="34"/>
      <c r="S471" s="34"/>
      <c r="T471" s="34"/>
    </row>
    <row r="472" ht="15.75" customHeight="1">
      <c r="B472" s="33">
        <v>46223.0</v>
      </c>
      <c r="C472" s="35">
        <v>24195.0</v>
      </c>
      <c r="D472" s="35">
        <v>30.0</v>
      </c>
      <c r="E472" s="37">
        <v>109.9</v>
      </c>
      <c r="F472" s="38">
        <f t="shared" si="2"/>
        <v>3297</v>
      </c>
      <c r="G472" s="35" t="s">
        <v>416</v>
      </c>
      <c r="H472" s="35" t="s">
        <v>417</v>
      </c>
      <c r="I472" s="35" t="s">
        <v>41</v>
      </c>
      <c r="J472" s="35" t="s">
        <v>34</v>
      </c>
      <c r="K472" s="35" t="s">
        <v>35</v>
      </c>
      <c r="L472" s="35" t="s">
        <v>96</v>
      </c>
      <c r="M472" s="39">
        <v>31.0</v>
      </c>
      <c r="N472" s="40">
        <v>46225.0</v>
      </c>
      <c r="O472" s="42" t="b">
        <v>0</v>
      </c>
      <c r="P472" s="44"/>
      <c r="Q472" s="34"/>
      <c r="R472" s="34"/>
      <c r="S472" s="34"/>
      <c r="T472" s="34"/>
    </row>
    <row r="473" ht="15.75" customHeight="1">
      <c r="B473" s="33">
        <v>46223.0</v>
      </c>
      <c r="C473" s="35">
        <v>24195.0</v>
      </c>
      <c r="D473" s="35">
        <v>24.0</v>
      </c>
      <c r="E473" s="37">
        <v>139.9</v>
      </c>
      <c r="F473" s="38">
        <f t="shared" si="2"/>
        <v>3357.6</v>
      </c>
      <c r="G473" s="35" t="s">
        <v>540</v>
      </c>
      <c r="H473" s="35" t="s">
        <v>541</v>
      </c>
      <c r="I473" s="35" t="s">
        <v>41</v>
      </c>
      <c r="J473" s="35" t="s">
        <v>34</v>
      </c>
      <c r="K473" s="35" t="s">
        <v>35</v>
      </c>
      <c r="L473" s="35" t="s">
        <v>96</v>
      </c>
      <c r="M473" s="39">
        <v>31.0</v>
      </c>
      <c r="N473" s="40">
        <v>46225.0</v>
      </c>
      <c r="O473" s="42" t="b">
        <v>0</v>
      </c>
      <c r="P473" s="44"/>
      <c r="Q473" s="34"/>
      <c r="R473" s="34"/>
      <c r="S473" s="34"/>
      <c r="T473" s="34"/>
    </row>
    <row r="474" ht="15.75" customHeight="1">
      <c r="B474" s="33">
        <v>46223.0</v>
      </c>
      <c r="C474" s="35">
        <v>24195.0</v>
      </c>
      <c r="D474" s="35">
        <v>12.0</v>
      </c>
      <c r="E474" s="37">
        <v>139.9</v>
      </c>
      <c r="F474" s="38">
        <f t="shared" si="2"/>
        <v>1678.8</v>
      </c>
      <c r="G474" s="35" t="s">
        <v>544</v>
      </c>
      <c r="H474" s="35" t="s">
        <v>546</v>
      </c>
      <c r="I474" s="35" t="s">
        <v>41</v>
      </c>
      <c r="J474" s="35" t="s">
        <v>34</v>
      </c>
      <c r="K474" s="35" t="s">
        <v>35</v>
      </c>
      <c r="L474" s="35" t="s">
        <v>96</v>
      </c>
      <c r="M474" s="39">
        <v>31.0</v>
      </c>
      <c r="N474" s="40">
        <v>46225.0</v>
      </c>
      <c r="O474" s="42" t="b">
        <v>0</v>
      </c>
      <c r="P474" s="44"/>
      <c r="Q474" s="34"/>
      <c r="R474" s="34"/>
      <c r="S474" s="34"/>
      <c r="T474" s="34"/>
    </row>
    <row r="475" ht="15.75" customHeight="1">
      <c r="B475" s="33">
        <v>46223.0</v>
      </c>
      <c r="C475" s="35">
        <v>24195.0</v>
      </c>
      <c r="D475" s="35">
        <v>18.0</v>
      </c>
      <c r="E475" s="37">
        <v>109.99</v>
      </c>
      <c r="F475" s="38">
        <f t="shared" si="2"/>
        <v>1979.82</v>
      </c>
      <c r="G475" s="35" t="s">
        <v>912</v>
      </c>
      <c r="H475" s="35" t="s">
        <v>914</v>
      </c>
      <c r="I475" s="35" t="s">
        <v>41</v>
      </c>
      <c r="J475" s="35" t="s">
        <v>34</v>
      </c>
      <c r="K475" s="35" t="s">
        <v>35</v>
      </c>
      <c r="L475" s="35" t="s">
        <v>96</v>
      </c>
      <c r="M475" s="39">
        <v>31.0</v>
      </c>
      <c r="N475" s="40">
        <v>46225.0</v>
      </c>
      <c r="O475" s="42" t="b">
        <v>0</v>
      </c>
      <c r="P475" s="44"/>
      <c r="Q475" s="34"/>
      <c r="R475" s="34"/>
      <c r="S475" s="34"/>
      <c r="T475" s="34"/>
    </row>
    <row r="476" ht="15.75" customHeight="1">
      <c r="B476" s="33">
        <v>46223.0</v>
      </c>
      <c r="C476" s="35">
        <v>24195.0</v>
      </c>
      <c r="D476" s="35">
        <v>6.0</v>
      </c>
      <c r="E476" s="37">
        <v>269.9</v>
      </c>
      <c r="F476" s="38">
        <f t="shared" si="2"/>
        <v>1619.4</v>
      </c>
      <c r="G476" s="35" t="s">
        <v>199</v>
      </c>
      <c r="H476" s="35" t="s">
        <v>200</v>
      </c>
      <c r="I476" s="35" t="s">
        <v>41</v>
      </c>
      <c r="J476" s="35" t="s">
        <v>34</v>
      </c>
      <c r="K476" s="35" t="s">
        <v>35</v>
      </c>
      <c r="L476" s="35" t="s">
        <v>96</v>
      </c>
      <c r="M476" s="39">
        <v>31.0</v>
      </c>
      <c r="N476" s="40">
        <v>46225.0</v>
      </c>
      <c r="O476" s="42" t="b">
        <v>0</v>
      </c>
      <c r="P476" s="44"/>
      <c r="Q476" s="34"/>
      <c r="R476" s="34"/>
      <c r="S476" s="34"/>
      <c r="T476" s="34"/>
    </row>
    <row r="477" ht="15.75" customHeight="1">
      <c r="B477" s="33">
        <v>46223.0</v>
      </c>
      <c r="C477" s="35">
        <v>17256.0</v>
      </c>
      <c r="D477" s="35">
        <v>500.0</v>
      </c>
      <c r="E477" s="37">
        <v>14.15</v>
      </c>
      <c r="F477" s="38">
        <f t="shared" si="2"/>
        <v>7075</v>
      </c>
      <c r="G477" s="35" t="s">
        <v>1318</v>
      </c>
      <c r="H477" s="35" t="s">
        <v>35</v>
      </c>
      <c r="I477" s="35" t="s">
        <v>59</v>
      </c>
      <c r="J477" s="35" t="s">
        <v>34</v>
      </c>
      <c r="K477" s="35" t="s">
        <v>35</v>
      </c>
      <c r="L477" s="35" t="s">
        <v>877</v>
      </c>
      <c r="M477" s="39">
        <v>1.0</v>
      </c>
      <c r="N477" s="40">
        <v>46226.0</v>
      </c>
      <c r="O477" s="42" t="b">
        <v>0</v>
      </c>
      <c r="P477" s="44">
        <v>46227.0</v>
      </c>
      <c r="Q477" s="34"/>
      <c r="R477" s="34"/>
      <c r="S477" s="34"/>
      <c r="T477" s="34"/>
    </row>
    <row r="478" ht="15.75" customHeight="1">
      <c r="B478" s="33">
        <v>46223.0</v>
      </c>
      <c r="C478" s="35">
        <v>24144.0</v>
      </c>
      <c r="D478" s="35">
        <v>20.0</v>
      </c>
      <c r="E478" s="37">
        <v>88.8</v>
      </c>
      <c r="F478" s="38">
        <f t="shared" si="2"/>
        <v>1776</v>
      </c>
      <c r="G478" s="35" t="s">
        <v>2414</v>
      </c>
      <c r="H478" s="35" t="s">
        <v>2415</v>
      </c>
      <c r="I478" s="35" t="s">
        <v>32</v>
      </c>
      <c r="J478" s="35" t="s">
        <v>34</v>
      </c>
      <c r="K478" s="35" t="s">
        <v>35</v>
      </c>
      <c r="L478" s="35" t="s">
        <v>96</v>
      </c>
      <c r="M478" s="39">
        <v>31.0</v>
      </c>
      <c r="N478" s="40">
        <v>46225.0</v>
      </c>
      <c r="O478" s="42" t="b">
        <v>1</v>
      </c>
      <c r="P478" s="44">
        <v>46226.0</v>
      </c>
      <c r="Q478" s="34"/>
      <c r="R478" s="34"/>
      <c r="S478" s="34"/>
      <c r="T478" s="34"/>
    </row>
    <row r="479" ht="15.75" customHeight="1">
      <c r="B479" s="33">
        <v>46223.0</v>
      </c>
      <c r="C479" s="35">
        <v>24144.0</v>
      </c>
      <c r="D479" s="35">
        <v>6.0</v>
      </c>
      <c r="E479" s="37">
        <v>57.99</v>
      </c>
      <c r="F479" s="38">
        <f t="shared" si="2"/>
        <v>347.94</v>
      </c>
      <c r="G479" s="35" t="s">
        <v>2418</v>
      </c>
      <c r="H479" s="35" t="s">
        <v>2419</v>
      </c>
      <c r="I479" s="35" t="s">
        <v>32</v>
      </c>
      <c r="J479" s="35" t="s">
        <v>34</v>
      </c>
      <c r="K479" s="35" t="s">
        <v>35</v>
      </c>
      <c r="L479" s="35" t="s">
        <v>96</v>
      </c>
      <c r="M479" s="39">
        <v>31.0</v>
      </c>
      <c r="N479" s="40">
        <v>46225.0</v>
      </c>
      <c r="O479" s="42" t="b">
        <v>1</v>
      </c>
      <c r="P479" s="44">
        <v>46226.0</v>
      </c>
      <c r="Q479" s="34"/>
      <c r="R479" s="34"/>
      <c r="S479" s="34"/>
      <c r="T479" s="34"/>
    </row>
    <row r="480" ht="15.75" customHeight="1">
      <c r="B480" s="33">
        <v>46223.0</v>
      </c>
      <c r="C480" s="35">
        <v>24144.0</v>
      </c>
      <c r="D480" s="35">
        <v>10.0</v>
      </c>
      <c r="E480" s="37">
        <v>99.9</v>
      </c>
      <c r="F480" s="38">
        <f t="shared" si="2"/>
        <v>999</v>
      </c>
      <c r="G480" s="35" t="s">
        <v>1603</v>
      </c>
      <c r="H480" s="35" t="s">
        <v>1605</v>
      </c>
      <c r="I480" s="35" t="s">
        <v>32</v>
      </c>
      <c r="J480" s="35" t="s">
        <v>34</v>
      </c>
      <c r="K480" s="35" t="s">
        <v>35</v>
      </c>
      <c r="L480" s="35" t="s">
        <v>96</v>
      </c>
      <c r="M480" s="39">
        <v>31.0</v>
      </c>
      <c r="N480" s="40">
        <v>46225.0</v>
      </c>
      <c r="O480" s="42" t="b">
        <v>1</v>
      </c>
      <c r="P480" s="44">
        <v>46226.0</v>
      </c>
      <c r="Q480" s="34"/>
      <c r="R480" s="34"/>
      <c r="S480" s="34"/>
      <c r="T480" s="34"/>
    </row>
    <row r="481" ht="15.75" customHeight="1">
      <c r="B481" s="33">
        <v>46223.0</v>
      </c>
      <c r="C481" s="35">
        <v>24144.0</v>
      </c>
      <c r="D481" s="35">
        <v>2.0</v>
      </c>
      <c r="E481" s="37">
        <v>599.9</v>
      </c>
      <c r="F481" s="38">
        <f t="shared" si="2"/>
        <v>1199.8</v>
      </c>
      <c r="G481" s="35" t="s">
        <v>2166</v>
      </c>
      <c r="H481" s="35" t="s">
        <v>2426</v>
      </c>
      <c r="I481" s="35" t="s">
        <v>32</v>
      </c>
      <c r="J481" s="35" t="s">
        <v>34</v>
      </c>
      <c r="K481" s="35" t="s">
        <v>35</v>
      </c>
      <c r="L481" s="35" t="s">
        <v>96</v>
      </c>
      <c r="M481" s="39">
        <v>31.0</v>
      </c>
      <c r="N481" s="40">
        <v>46225.0</v>
      </c>
      <c r="O481" s="42" t="b">
        <v>1</v>
      </c>
      <c r="P481" s="44">
        <v>46226.0</v>
      </c>
      <c r="Q481" s="34"/>
      <c r="R481" s="34"/>
      <c r="S481" s="34"/>
      <c r="T481" s="34"/>
    </row>
    <row r="482" ht="15.75" customHeight="1">
      <c r="B482" s="33">
        <v>46223.0</v>
      </c>
      <c r="C482" s="35">
        <v>24144.0</v>
      </c>
      <c r="D482" s="35">
        <v>12.0</v>
      </c>
      <c r="E482" s="37">
        <v>59.9</v>
      </c>
      <c r="F482" s="38">
        <f t="shared" si="2"/>
        <v>718.8</v>
      </c>
      <c r="G482" s="35" t="s">
        <v>2431</v>
      </c>
      <c r="H482" s="35" t="s">
        <v>2432</v>
      </c>
      <c r="I482" s="35" t="s">
        <v>32</v>
      </c>
      <c r="J482" s="35" t="s">
        <v>34</v>
      </c>
      <c r="K482" s="35" t="s">
        <v>35</v>
      </c>
      <c r="L482" s="35" t="s">
        <v>96</v>
      </c>
      <c r="M482" s="39">
        <v>31.0</v>
      </c>
      <c r="N482" s="40">
        <v>46225.0</v>
      </c>
      <c r="O482" s="42" t="b">
        <v>1</v>
      </c>
      <c r="P482" s="44">
        <v>46226.0</v>
      </c>
      <c r="Q482" s="34"/>
      <c r="R482" s="34"/>
      <c r="S482" s="34"/>
      <c r="T482" s="34"/>
    </row>
    <row r="483" ht="15.75" customHeight="1">
      <c r="B483" s="33">
        <v>46223.0</v>
      </c>
      <c r="C483" s="35" t="s">
        <v>35</v>
      </c>
      <c r="D483" s="35">
        <v>3.0</v>
      </c>
      <c r="E483" s="37">
        <v>2699.9</v>
      </c>
      <c r="F483" s="38">
        <f t="shared" si="2"/>
        <v>8099.7</v>
      </c>
      <c r="G483" s="35" t="s">
        <v>2435</v>
      </c>
      <c r="H483" s="35" t="s">
        <v>35</v>
      </c>
      <c r="I483" s="35" t="s">
        <v>174</v>
      </c>
      <c r="J483" s="35" t="s">
        <v>175</v>
      </c>
      <c r="K483" s="35" t="s">
        <v>35</v>
      </c>
      <c r="L483" s="35" t="s">
        <v>1265</v>
      </c>
      <c r="M483" s="39">
        <v>1.0</v>
      </c>
      <c r="N483" s="40">
        <v>46225.0</v>
      </c>
      <c r="O483" s="42" t="b">
        <v>1</v>
      </c>
      <c r="P483" s="44">
        <v>46225.0</v>
      </c>
      <c r="Q483" s="34"/>
      <c r="R483" s="34"/>
      <c r="S483" s="34"/>
      <c r="T483" s="34"/>
    </row>
    <row r="484" ht="15.75" customHeight="1">
      <c r="B484" s="33">
        <v>46223.0</v>
      </c>
      <c r="C484" s="35">
        <v>1482.0</v>
      </c>
      <c r="D484" s="35">
        <v>92.0</v>
      </c>
      <c r="E484" s="37">
        <v>330.0</v>
      </c>
      <c r="F484" s="38">
        <f t="shared" si="2"/>
        <v>30360</v>
      </c>
      <c r="G484" s="35" t="s">
        <v>2440</v>
      </c>
      <c r="H484" s="35" t="s">
        <v>2441</v>
      </c>
      <c r="I484" s="35" t="s">
        <v>39</v>
      </c>
      <c r="J484" s="35" t="s">
        <v>40</v>
      </c>
      <c r="K484" s="35" t="s">
        <v>35</v>
      </c>
      <c r="L484" s="35" t="s">
        <v>2442</v>
      </c>
      <c r="M484" s="39">
        <v>1.0</v>
      </c>
      <c r="N484" s="40">
        <v>46226.0</v>
      </c>
      <c r="O484" s="42" t="b">
        <v>1</v>
      </c>
      <c r="P484" s="44">
        <v>46226.0</v>
      </c>
      <c r="Q484" s="34"/>
      <c r="R484" s="34"/>
      <c r="S484" s="34"/>
      <c r="T484" s="34"/>
    </row>
    <row r="485" ht="15.75" customHeight="1">
      <c r="B485" s="33">
        <v>46223.0</v>
      </c>
      <c r="C485" s="35">
        <v>1482.0</v>
      </c>
      <c r="D485" s="35">
        <v>18.0</v>
      </c>
      <c r="E485" s="37">
        <v>779.4</v>
      </c>
      <c r="F485" s="38">
        <f t="shared" si="2"/>
        <v>14029.2</v>
      </c>
      <c r="G485" s="35" t="s">
        <v>2446</v>
      </c>
      <c r="H485" s="35" t="s">
        <v>2447</v>
      </c>
      <c r="I485" s="35" t="s">
        <v>39</v>
      </c>
      <c r="J485" s="35" t="s">
        <v>40</v>
      </c>
      <c r="K485" s="35" t="s">
        <v>2448</v>
      </c>
      <c r="L485" s="35" t="s">
        <v>2442</v>
      </c>
      <c r="M485" s="39">
        <v>1.0</v>
      </c>
      <c r="N485" s="40">
        <v>46226.0</v>
      </c>
      <c r="O485" s="42" t="b">
        <v>1</v>
      </c>
      <c r="P485" s="44">
        <v>46226.0</v>
      </c>
      <c r="Q485" s="34"/>
      <c r="R485" s="34"/>
      <c r="S485" s="34"/>
      <c r="T485" s="34"/>
    </row>
    <row r="486" ht="15.75" customHeight="1">
      <c r="B486" s="33">
        <v>46223.0</v>
      </c>
      <c r="C486" s="35">
        <v>1482.0</v>
      </c>
      <c r="D486" s="35" t="s">
        <v>2451</v>
      </c>
      <c r="E486" s="37">
        <v>1390.8</v>
      </c>
      <c r="F486" s="38" t="str">
        <f t="shared" si="2"/>
        <v>#VALUE!</v>
      </c>
      <c r="G486" s="35" t="s">
        <v>2453</v>
      </c>
      <c r="H486" s="35" t="s">
        <v>2455</v>
      </c>
      <c r="I486" s="35" t="s">
        <v>39</v>
      </c>
      <c r="J486" s="35" t="s">
        <v>40</v>
      </c>
      <c r="K486" s="35" t="s">
        <v>2458</v>
      </c>
      <c r="L486" s="35" t="s">
        <v>2442</v>
      </c>
      <c r="M486" s="39">
        <v>1.0</v>
      </c>
      <c r="N486" s="40">
        <v>46226.0</v>
      </c>
      <c r="O486" s="42" t="b">
        <v>1</v>
      </c>
      <c r="P486" s="44">
        <v>46226.0</v>
      </c>
      <c r="Q486" s="34"/>
      <c r="R486" s="34"/>
      <c r="S486" s="34"/>
      <c r="T486" s="34"/>
    </row>
    <row r="487" ht="15.75" customHeight="1">
      <c r="B487" s="33">
        <v>46223.0</v>
      </c>
      <c r="C487" s="35">
        <v>1482.0</v>
      </c>
      <c r="D487" s="35">
        <v>5.0</v>
      </c>
      <c r="E487" s="37">
        <v>757.8</v>
      </c>
      <c r="F487" s="38">
        <f t="shared" si="2"/>
        <v>3789</v>
      </c>
      <c r="G487" s="35" t="s">
        <v>2459</v>
      </c>
      <c r="H487" s="35" t="s">
        <v>2460</v>
      </c>
      <c r="I487" s="35" t="s">
        <v>39</v>
      </c>
      <c r="J487" s="35" t="s">
        <v>40</v>
      </c>
      <c r="K487" s="35" t="s">
        <v>2461</v>
      </c>
      <c r="L487" s="35" t="s">
        <v>2442</v>
      </c>
      <c r="M487" s="39">
        <v>1.0</v>
      </c>
      <c r="N487" s="40">
        <v>46226.0</v>
      </c>
      <c r="O487" s="42" t="b">
        <v>1</v>
      </c>
      <c r="P487" s="44">
        <v>46226.0</v>
      </c>
      <c r="Q487" s="34"/>
      <c r="R487" s="34"/>
      <c r="S487" s="34"/>
      <c r="T487" s="34"/>
    </row>
    <row r="488" ht="15.75" customHeight="1">
      <c r="B488" s="33">
        <v>46223.0</v>
      </c>
      <c r="C488" s="35">
        <v>1482.0</v>
      </c>
      <c r="D488" s="35">
        <v>8.0</v>
      </c>
      <c r="E488" s="37">
        <v>60.0</v>
      </c>
      <c r="F488" s="38">
        <f t="shared" si="2"/>
        <v>480</v>
      </c>
      <c r="G488" s="35" t="s">
        <v>2463</v>
      </c>
      <c r="H488" s="35" t="s">
        <v>2464</v>
      </c>
      <c r="I488" s="35" t="s">
        <v>39</v>
      </c>
      <c r="J488" s="35" t="s">
        <v>40</v>
      </c>
      <c r="K488" s="35" t="s">
        <v>35</v>
      </c>
      <c r="L488" s="35" t="s">
        <v>2442</v>
      </c>
      <c r="M488" s="39">
        <v>1.0</v>
      </c>
      <c r="N488" s="40">
        <v>46226.0</v>
      </c>
      <c r="O488" s="42" t="b">
        <v>1</v>
      </c>
      <c r="P488" s="44">
        <v>46226.0</v>
      </c>
      <c r="Q488" s="34"/>
      <c r="R488" s="34"/>
      <c r="S488" s="34"/>
      <c r="T488" s="34"/>
    </row>
    <row r="489" ht="15.75" customHeight="1">
      <c r="B489" s="33">
        <v>46223.0</v>
      </c>
      <c r="C489" s="35">
        <v>1482.0</v>
      </c>
      <c r="D489" s="35">
        <v>2.0</v>
      </c>
      <c r="E489" s="37">
        <v>1439.4</v>
      </c>
      <c r="F489" s="38">
        <f t="shared" si="2"/>
        <v>2878.8</v>
      </c>
      <c r="G489" s="35" t="s">
        <v>2469</v>
      </c>
      <c r="H489" s="35" t="s">
        <v>2470</v>
      </c>
      <c r="I489" s="35" t="s">
        <v>39</v>
      </c>
      <c r="J489" s="35" t="s">
        <v>40</v>
      </c>
      <c r="K489" s="35" t="s">
        <v>2471</v>
      </c>
      <c r="L489" s="35" t="s">
        <v>2442</v>
      </c>
      <c r="M489" s="39">
        <v>1.0</v>
      </c>
      <c r="N489" s="40">
        <v>46226.0</v>
      </c>
      <c r="O489" s="42" t="b">
        <v>1</v>
      </c>
      <c r="P489" s="44">
        <v>46226.0</v>
      </c>
      <c r="Q489" s="34"/>
      <c r="R489" s="34"/>
      <c r="S489" s="34"/>
      <c r="T489" s="34"/>
    </row>
    <row r="490" ht="15.75" customHeight="1">
      <c r="B490" s="33">
        <v>46223.0</v>
      </c>
      <c r="C490" s="35">
        <v>1483.0</v>
      </c>
      <c r="D490" s="35">
        <v>92.0</v>
      </c>
      <c r="E490" s="37">
        <v>330.0</v>
      </c>
      <c r="F490" s="38">
        <f t="shared" si="2"/>
        <v>30360</v>
      </c>
      <c r="G490" s="35" t="s">
        <v>2440</v>
      </c>
      <c r="H490" s="35" t="s">
        <v>2441</v>
      </c>
      <c r="I490" s="35" t="s">
        <v>39</v>
      </c>
      <c r="J490" s="35" t="s">
        <v>40</v>
      </c>
      <c r="K490" s="35" t="s">
        <v>35</v>
      </c>
      <c r="L490" s="35" t="s">
        <v>2442</v>
      </c>
      <c r="M490" s="39">
        <v>1.0</v>
      </c>
      <c r="N490" s="40">
        <v>46196.0</v>
      </c>
      <c r="O490" s="42" t="b">
        <v>1</v>
      </c>
      <c r="P490" s="44">
        <v>46226.0</v>
      </c>
      <c r="Q490" s="34"/>
      <c r="R490" s="34"/>
      <c r="S490" s="34"/>
      <c r="T490" s="34"/>
    </row>
    <row r="491" ht="15.75" customHeight="1">
      <c r="B491" s="33">
        <v>46223.0</v>
      </c>
      <c r="C491" s="35">
        <v>1483.0</v>
      </c>
      <c r="D491" s="35">
        <v>18.0</v>
      </c>
      <c r="E491" s="37">
        <v>779.4</v>
      </c>
      <c r="F491" s="38">
        <f t="shared" si="2"/>
        <v>14029.2</v>
      </c>
      <c r="G491" s="35" t="s">
        <v>2446</v>
      </c>
      <c r="H491" s="35" t="s">
        <v>2447</v>
      </c>
      <c r="I491" s="35" t="s">
        <v>39</v>
      </c>
      <c r="J491" s="35" t="s">
        <v>40</v>
      </c>
      <c r="K491" s="35" t="s">
        <v>2477</v>
      </c>
      <c r="L491" s="35" t="s">
        <v>2442</v>
      </c>
      <c r="M491" s="39">
        <v>1.0</v>
      </c>
      <c r="N491" s="40">
        <v>46226.0</v>
      </c>
      <c r="O491" s="42" t="b">
        <v>1</v>
      </c>
      <c r="P491" s="44">
        <v>46226.0</v>
      </c>
      <c r="Q491" s="34"/>
      <c r="R491" s="34"/>
      <c r="S491" s="34"/>
      <c r="T491" s="34"/>
    </row>
    <row r="492" ht="15.75" customHeight="1">
      <c r="B492" s="33">
        <v>46223.0</v>
      </c>
      <c r="C492" s="35">
        <v>1483.0</v>
      </c>
      <c r="D492" s="35">
        <v>30.0</v>
      </c>
      <c r="E492" s="37">
        <v>1390.8</v>
      </c>
      <c r="F492" s="38">
        <f t="shared" si="2"/>
        <v>41724</v>
      </c>
      <c r="G492" s="35" t="s">
        <v>2453</v>
      </c>
      <c r="H492" s="35" t="s">
        <v>2455</v>
      </c>
      <c r="I492" s="35" t="s">
        <v>39</v>
      </c>
      <c r="J492" s="35" t="s">
        <v>40</v>
      </c>
      <c r="K492" s="35" t="s">
        <v>2481</v>
      </c>
      <c r="L492" s="35" t="s">
        <v>2442</v>
      </c>
      <c r="M492" s="39">
        <v>1.0</v>
      </c>
      <c r="N492" s="40">
        <v>46226.0</v>
      </c>
      <c r="O492" s="42" t="b">
        <v>1</v>
      </c>
      <c r="P492" s="44">
        <v>46226.0</v>
      </c>
      <c r="Q492" s="34"/>
      <c r="R492" s="34"/>
      <c r="S492" s="34"/>
      <c r="T492" s="34"/>
    </row>
    <row r="493" ht="15.75" customHeight="1">
      <c r="B493" s="33">
        <v>46223.0</v>
      </c>
      <c r="C493" s="35">
        <v>1483.0</v>
      </c>
      <c r="D493" s="35">
        <v>5.0</v>
      </c>
      <c r="E493" s="37">
        <v>757.8</v>
      </c>
      <c r="F493" s="38">
        <f t="shared" si="2"/>
        <v>3789</v>
      </c>
      <c r="G493" s="35" t="s">
        <v>2459</v>
      </c>
      <c r="H493" s="35" t="s">
        <v>2460</v>
      </c>
      <c r="I493" s="35" t="s">
        <v>39</v>
      </c>
      <c r="J493" s="35" t="s">
        <v>40</v>
      </c>
      <c r="K493" s="35" t="s">
        <v>35</v>
      </c>
      <c r="L493" s="35" t="s">
        <v>2442</v>
      </c>
      <c r="M493" s="39">
        <v>1.0</v>
      </c>
      <c r="N493" s="40">
        <v>46226.0</v>
      </c>
      <c r="O493" s="42" t="b">
        <v>1</v>
      </c>
      <c r="P493" s="44">
        <v>46226.0</v>
      </c>
      <c r="Q493" s="34"/>
      <c r="R493" s="34"/>
      <c r="S493" s="34"/>
      <c r="T493" s="34"/>
    </row>
    <row r="494" ht="15.75" customHeight="1">
      <c r="B494" s="33">
        <v>46223.0</v>
      </c>
      <c r="C494" s="35">
        <v>1483.0</v>
      </c>
      <c r="D494" s="35">
        <v>8.0</v>
      </c>
      <c r="E494" s="37">
        <v>60.0</v>
      </c>
      <c r="F494" s="38">
        <f t="shared" si="2"/>
        <v>480</v>
      </c>
      <c r="G494" s="35" t="s">
        <v>2463</v>
      </c>
      <c r="H494" s="35" t="s">
        <v>2464</v>
      </c>
      <c r="I494" s="35" t="s">
        <v>39</v>
      </c>
      <c r="J494" s="35" t="s">
        <v>40</v>
      </c>
      <c r="K494" s="35" t="s">
        <v>35</v>
      </c>
      <c r="L494" s="35" t="s">
        <v>2442</v>
      </c>
      <c r="M494" s="39">
        <v>1.0</v>
      </c>
      <c r="N494" s="40">
        <v>46226.0</v>
      </c>
      <c r="O494" s="42" t="b">
        <v>1</v>
      </c>
      <c r="P494" s="44">
        <v>46226.0</v>
      </c>
      <c r="Q494" s="34"/>
      <c r="R494" s="34"/>
      <c r="S494" s="34"/>
      <c r="T494" s="34"/>
    </row>
    <row r="495" ht="15.0" customHeight="1">
      <c r="B495" s="33">
        <v>46223.0</v>
      </c>
      <c r="C495" s="35">
        <v>1483.0</v>
      </c>
      <c r="D495" s="35">
        <v>2.0</v>
      </c>
      <c r="E495" s="37">
        <v>1439.4</v>
      </c>
      <c r="F495" s="38">
        <f t="shared" si="2"/>
        <v>2878.8</v>
      </c>
      <c r="G495" s="35" t="s">
        <v>2469</v>
      </c>
      <c r="H495" s="35" t="s">
        <v>2470</v>
      </c>
      <c r="I495" s="35" t="s">
        <v>39</v>
      </c>
      <c r="J495" s="35" t="s">
        <v>40</v>
      </c>
      <c r="K495" s="35" t="s">
        <v>35</v>
      </c>
      <c r="L495" s="35" t="s">
        <v>2442</v>
      </c>
      <c r="M495" s="39">
        <v>1.0</v>
      </c>
      <c r="N495" s="40">
        <v>46226.0</v>
      </c>
      <c r="O495" s="42" t="b">
        <v>1</v>
      </c>
      <c r="P495" s="44">
        <v>46226.0</v>
      </c>
      <c r="Q495" s="34"/>
      <c r="R495" s="34"/>
      <c r="S495" s="34"/>
      <c r="T495" s="34"/>
    </row>
    <row r="496" ht="15.75" customHeight="1">
      <c r="B496" s="33">
        <v>46223.0</v>
      </c>
      <c r="C496" s="35">
        <v>1484.0</v>
      </c>
      <c r="D496" s="35">
        <v>92.0</v>
      </c>
      <c r="E496" s="37">
        <v>330.0</v>
      </c>
      <c r="F496" s="38">
        <f t="shared" si="2"/>
        <v>30360</v>
      </c>
      <c r="G496" s="35" t="s">
        <v>2440</v>
      </c>
      <c r="H496" s="35" t="s">
        <v>2441</v>
      </c>
      <c r="I496" s="35" t="s">
        <v>39</v>
      </c>
      <c r="J496" s="35" t="s">
        <v>40</v>
      </c>
      <c r="K496" s="35" t="s">
        <v>35</v>
      </c>
      <c r="L496" s="35" t="s">
        <v>2442</v>
      </c>
      <c r="M496" s="39">
        <v>1.0</v>
      </c>
      <c r="N496" s="40">
        <v>46226.0</v>
      </c>
      <c r="O496" s="42" t="b">
        <v>1</v>
      </c>
      <c r="P496" s="44">
        <v>46226.0</v>
      </c>
      <c r="Q496" s="34"/>
      <c r="R496" s="34"/>
      <c r="S496" s="34"/>
      <c r="T496" s="34"/>
    </row>
    <row r="497" ht="15.75" customHeight="1">
      <c r="B497" s="33">
        <v>46223.0</v>
      </c>
      <c r="C497" s="35">
        <v>1484.0</v>
      </c>
      <c r="D497" s="35">
        <v>18.0</v>
      </c>
      <c r="E497" s="37">
        <v>779.4</v>
      </c>
      <c r="F497" s="38">
        <f t="shared" si="2"/>
        <v>14029.2</v>
      </c>
      <c r="G497" s="35" t="s">
        <v>2499</v>
      </c>
      <c r="H497" s="35" t="s">
        <v>2447</v>
      </c>
      <c r="I497" s="35" t="s">
        <v>39</v>
      </c>
      <c r="J497" s="35" t="s">
        <v>40</v>
      </c>
      <c r="K497" s="35" t="s">
        <v>2500</v>
      </c>
      <c r="L497" s="35" t="s">
        <v>2442</v>
      </c>
      <c r="M497" s="39">
        <v>1.0</v>
      </c>
      <c r="N497" s="40">
        <v>46223.0</v>
      </c>
      <c r="O497" s="42" t="b">
        <v>1</v>
      </c>
      <c r="P497" s="44">
        <v>46224.0</v>
      </c>
      <c r="Q497" s="34"/>
      <c r="R497" s="35"/>
      <c r="S497" s="34"/>
      <c r="T497" s="34"/>
    </row>
    <row r="498" ht="15.75" customHeight="1">
      <c r="B498" s="33">
        <v>46223.0</v>
      </c>
      <c r="C498" s="35">
        <v>1484.0</v>
      </c>
      <c r="D498" s="35">
        <v>30.0</v>
      </c>
      <c r="E498" s="37">
        <v>1390.8</v>
      </c>
      <c r="F498" s="38">
        <f t="shared" si="2"/>
        <v>41724</v>
      </c>
      <c r="G498" s="35" t="s">
        <v>2453</v>
      </c>
      <c r="H498" s="35" t="s">
        <v>2455</v>
      </c>
      <c r="I498" s="35" t="s">
        <v>39</v>
      </c>
      <c r="J498" s="35" t="s">
        <v>40</v>
      </c>
      <c r="K498" s="35" t="s">
        <v>2506</v>
      </c>
      <c r="L498" s="35" t="s">
        <v>2442</v>
      </c>
      <c r="M498" s="39">
        <v>1.0</v>
      </c>
      <c r="N498" s="40">
        <v>46223.0</v>
      </c>
      <c r="O498" s="42" t="b">
        <v>1</v>
      </c>
      <c r="P498" s="44">
        <v>46224.0</v>
      </c>
      <c r="Q498" s="34"/>
      <c r="R498" s="33"/>
      <c r="S498" s="34"/>
      <c r="T498" s="34"/>
    </row>
    <row r="499" ht="15.75" customHeight="1">
      <c r="B499" s="33">
        <v>46223.0</v>
      </c>
      <c r="C499" s="35">
        <v>1484.0</v>
      </c>
      <c r="D499" s="35">
        <v>7.0</v>
      </c>
      <c r="E499" s="37">
        <v>757.8</v>
      </c>
      <c r="F499" s="38">
        <f t="shared" si="2"/>
        <v>5304.6</v>
      </c>
      <c r="G499" s="35" t="s">
        <v>2459</v>
      </c>
      <c r="H499" s="35" t="s">
        <v>2460</v>
      </c>
      <c r="I499" s="35" t="s">
        <v>39</v>
      </c>
      <c r="J499" s="35" t="s">
        <v>40</v>
      </c>
      <c r="K499" s="35" t="s">
        <v>35</v>
      </c>
      <c r="L499" s="35" t="s">
        <v>2442</v>
      </c>
      <c r="M499" s="39">
        <v>1.0</v>
      </c>
      <c r="N499" s="40">
        <v>46226.0</v>
      </c>
      <c r="O499" s="42" t="b">
        <v>1</v>
      </c>
      <c r="P499" s="44">
        <v>46226.0</v>
      </c>
      <c r="Q499" s="34"/>
      <c r="R499" s="33"/>
      <c r="S499" s="34"/>
      <c r="T499" s="34"/>
    </row>
    <row r="500" ht="15.75" customHeight="1">
      <c r="B500" s="33">
        <v>46223.0</v>
      </c>
      <c r="C500" s="35">
        <v>1484.0</v>
      </c>
      <c r="D500" s="35">
        <v>8.0</v>
      </c>
      <c r="E500" s="37">
        <v>60.0</v>
      </c>
      <c r="F500" s="38">
        <f t="shared" si="2"/>
        <v>480</v>
      </c>
      <c r="G500" s="35" t="s">
        <v>2463</v>
      </c>
      <c r="H500" s="35" t="s">
        <v>2464</v>
      </c>
      <c r="I500" s="35" t="s">
        <v>39</v>
      </c>
      <c r="J500" s="35" t="s">
        <v>40</v>
      </c>
      <c r="K500" s="35" t="s">
        <v>35</v>
      </c>
      <c r="L500" s="35" t="s">
        <v>2442</v>
      </c>
      <c r="M500" s="39">
        <v>1.0</v>
      </c>
      <c r="N500" s="40">
        <v>46226.0</v>
      </c>
      <c r="O500" s="42" t="b">
        <v>1</v>
      </c>
      <c r="P500" s="44">
        <v>46226.0</v>
      </c>
      <c r="Q500" s="34"/>
      <c r="R500" s="33"/>
      <c r="S500" s="34"/>
      <c r="T500" s="34"/>
    </row>
    <row r="501" ht="15.75" customHeight="1">
      <c r="B501" s="33">
        <v>46223.0</v>
      </c>
      <c r="C501" s="35">
        <v>1484.0</v>
      </c>
      <c r="D501" s="35">
        <v>2.0</v>
      </c>
      <c r="E501" s="37">
        <v>1439.4</v>
      </c>
      <c r="F501" s="38">
        <f t="shared" si="2"/>
        <v>2878.8</v>
      </c>
      <c r="G501" s="35" t="s">
        <v>2469</v>
      </c>
      <c r="H501" s="35" t="s">
        <v>2470</v>
      </c>
      <c r="I501" s="35" t="s">
        <v>39</v>
      </c>
      <c r="J501" s="35" t="s">
        <v>40</v>
      </c>
      <c r="K501" s="35" t="s">
        <v>35</v>
      </c>
      <c r="L501" s="35" t="s">
        <v>2442</v>
      </c>
      <c r="M501" s="39">
        <v>1.0</v>
      </c>
      <c r="N501" s="40">
        <v>46226.0</v>
      </c>
      <c r="O501" s="42" t="b">
        <v>1</v>
      </c>
      <c r="P501" s="44">
        <v>46226.0</v>
      </c>
      <c r="Q501" s="34"/>
      <c r="R501" s="34"/>
      <c r="S501" s="34"/>
      <c r="T501" s="34"/>
    </row>
    <row r="502" ht="15.75" customHeight="1">
      <c r="B502" s="33">
        <v>46223.0</v>
      </c>
      <c r="C502" s="58">
        <v>796919.0</v>
      </c>
      <c r="D502" s="35">
        <v>20.0</v>
      </c>
      <c r="E502" s="37">
        <v>666.3897</v>
      </c>
      <c r="F502" s="38">
        <f t="shared" si="2"/>
        <v>13327.794</v>
      </c>
      <c r="G502" s="35" t="s">
        <v>2518</v>
      </c>
      <c r="H502" s="35">
        <v>41120.0</v>
      </c>
      <c r="I502" s="35" t="s">
        <v>59</v>
      </c>
      <c r="J502" s="35" t="s">
        <v>34</v>
      </c>
      <c r="K502" s="35" t="s">
        <v>345</v>
      </c>
      <c r="L502" s="35" t="s">
        <v>68</v>
      </c>
      <c r="M502" s="39">
        <v>1.0</v>
      </c>
      <c r="N502" s="40">
        <v>46237.0</v>
      </c>
      <c r="O502" s="42" t="b">
        <v>0</v>
      </c>
      <c r="P502" s="44">
        <v>46238.0</v>
      </c>
      <c r="Q502" s="34"/>
      <c r="R502" s="34"/>
      <c r="S502" s="34"/>
      <c r="T502" s="34"/>
    </row>
    <row r="503" ht="15.75" customHeight="1">
      <c r="B503" s="33">
        <v>46223.0</v>
      </c>
      <c r="C503" s="58">
        <v>796919.0</v>
      </c>
      <c r="D503" s="35">
        <v>15.0</v>
      </c>
      <c r="E503" s="37">
        <v>389.9015</v>
      </c>
      <c r="F503" s="38">
        <f t="shared" si="2"/>
        <v>5848.5225</v>
      </c>
      <c r="G503" s="35" t="s">
        <v>2520</v>
      </c>
      <c r="H503" s="35">
        <v>40143.0</v>
      </c>
      <c r="I503" s="35" t="s">
        <v>59</v>
      </c>
      <c r="J503" s="35" t="s">
        <v>34</v>
      </c>
      <c r="K503" s="35" t="s">
        <v>345</v>
      </c>
      <c r="L503" s="35" t="s">
        <v>68</v>
      </c>
      <c r="M503" s="39">
        <v>1.0</v>
      </c>
      <c r="N503" s="40">
        <v>46237.0</v>
      </c>
      <c r="O503" s="42" t="b">
        <v>0</v>
      </c>
      <c r="P503" s="44">
        <v>46238.0</v>
      </c>
      <c r="Q503" s="34"/>
      <c r="R503" s="34"/>
      <c r="S503" s="34"/>
      <c r="T503" s="34"/>
    </row>
    <row r="504" ht="15.75" customHeight="1">
      <c r="B504" s="33">
        <v>46223.0</v>
      </c>
      <c r="C504" s="58">
        <v>796919.0</v>
      </c>
      <c r="D504" s="35">
        <v>25.0</v>
      </c>
      <c r="E504" s="37">
        <v>269.8984</v>
      </c>
      <c r="F504" s="38">
        <f t="shared" si="2"/>
        <v>6747.46</v>
      </c>
      <c r="G504" s="35" t="s">
        <v>2526</v>
      </c>
      <c r="H504" s="35">
        <v>31621.0</v>
      </c>
      <c r="I504" s="35" t="s">
        <v>59</v>
      </c>
      <c r="J504" s="35" t="s">
        <v>34</v>
      </c>
      <c r="K504" s="35" t="s">
        <v>345</v>
      </c>
      <c r="L504" s="35" t="s">
        <v>68</v>
      </c>
      <c r="M504" s="39">
        <v>1.0</v>
      </c>
      <c r="N504" s="40">
        <v>46237.0</v>
      </c>
      <c r="O504" s="42" t="b">
        <v>0</v>
      </c>
      <c r="P504" s="44">
        <v>46238.0</v>
      </c>
      <c r="Q504" s="34"/>
      <c r="R504" s="34"/>
      <c r="S504" s="34"/>
      <c r="T504" s="34"/>
    </row>
    <row r="505" ht="15.75" customHeight="1">
      <c r="B505" s="33">
        <v>46223.0</v>
      </c>
      <c r="C505" s="58">
        <v>796919.0</v>
      </c>
      <c r="D505" s="35">
        <v>10.0</v>
      </c>
      <c r="E505" s="37">
        <v>489.9001</v>
      </c>
      <c r="F505" s="38">
        <f t="shared" si="2"/>
        <v>4899.001</v>
      </c>
      <c r="G505" s="35" t="s">
        <v>2531</v>
      </c>
      <c r="H505" s="35">
        <v>36689.0</v>
      </c>
      <c r="I505" s="35" t="s">
        <v>59</v>
      </c>
      <c r="J505" s="35" t="s">
        <v>34</v>
      </c>
      <c r="K505" s="35" t="s">
        <v>345</v>
      </c>
      <c r="L505" s="35" t="s">
        <v>68</v>
      </c>
      <c r="M505" s="39">
        <v>1.0</v>
      </c>
      <c r="N505" s="40">
        <v>46237.0</v>
      </c>
      <c r="O505" s="42" t="b">
        <v>0</v>
      </c>
      <c r="P505" s="44">
        <v>46238.0</v>
      </c>
      <c r="Q505" s="34"/>
      <c r="R505" s="34"/>
      <c r="S505" s="34"/>
      <c r="T505" s="34"/>
    </row>
    <row r="506" ht="15.75" customHeight="1">
      <c r="B506" s="33">
        <v>46223.0</v>
      </c>
      <c r="C506" s="58">
        <v>796919.0</v>
      </c>
      <c r="D506" s="35">
        <v>5.0</v>
      </c>
      <c r="E506" s="37">
        <v>1249.9037</v>
      </c>
      <c r="F506" s="38">
        <f t="shared" si="2"/>
        <v>6249.5185</v>
      </c>
      <c r="G506" s="35" t="s">
        <v>2535</v>
      </c>
      <c r="H506" s="35">
        <v>36692.0</v>
      </c>
      <c r="I506" s="35" t="s">
        <v>59</v>
      </c>
      <c r="J506" s="35" t="s">
        <v>34</v>
      </c>
      <c r="K506" s="35" t="s">
        <v>345</v>
      </c>
      <c r="L506" s="35" t="s">
        <v>68</v>
      </c>
      <c r="M506" s="39">
        <v>1.0</v>
      </c>
      <c r="N506" s="40">
        <v>46237.0</v>
      </c>
      <c r="O506" s="42" t="b">
        <v>0</v>
      </c>
      <c r="P506" s="44">
        <v>46238.0</v>
      </c>
      <c r="Q506" s="34"/>
      <c r="R506" s="34"/>
      <c r="S506" s="34"/>
      <c r="T506" s="34"/>
    </row>
    <row r="507" ht="15.75" customHeight="1">
      <c r="B507" s="33">
        <v>46224.0</v>
      </c>
      <c r="C507" s="35">
        <v>17265.0</v>
      </c>
      <c r="D507" s="35">
        <v>200.0</v>
      </c>
      <c r="E507" s="37">
        <v>12.2</v>
      </c>
      <c r="F507" s="38">
        <f t="shared" si="2"/>
        <v>2440</v>
      </c>
      <c r="G507" s="35" t="s">
        <v>2541</v>
      </c>
      <c r="H507" s="35" t="s">
        <v>35</v>
      </c>
      <c r="I507" s="35" t="s">
        <v>41</v>
      </c>
      <c r="J507" s="35" t="s">
        <v>34</v>
      </c>
      <c r="K507" s="35" t="s">
        <v>35</v>
      </c>
      <c r="L507" s="35" t="s">
        <v>877</v>
      </c>
      <c r="M507" s="39">
        <v>1.0</v>
      </c>
      <c r="N507" s="40">
        <v>46231.0</v>
      </c>
      <c r="O507" s="42" t="b">
        <v>1</v>
      </c>
      <c r="P507" s="44">
        <v>46231.0</v>
      </c>
      <c r="Q507" s="34"/>
      <c r="R507" s="34"/>
      <c r="S507" s="34"/>
      <c r="T507" s="34"/>
    </row>
    <row r="508" ht="15.75" customHeight="1">
      <c r="B508" s="33">
        <v>46224.0</v>
      </c>
      <c r="C508" s="35">
        <v>17265.0</v>
      </c>
      <c r="D508" s="35">
        <v>200.0</v>
      </c>
      <c r="E508" s="37">
        <v>13.75</v>
      </c>
      <c r="F508" s="38">
        <f t="shared" si="2"/>
        <v>2750</v>
      </c>
      <c r="G508" s="35" t="s">
        <v>2546</v>
      </c>
      <c r="H508" s="35" t="s">
        <v>35</v>
      </c>
      <c r="I508" s="35" t="s">
        <v>41</v>
      </c>
      <c r="J508" s="35" t="s">
        <v>34</v>
      </c>
      <c r="K508" s="35" t="s">
        <v>35</v>
      </c>
      <c r="L508" s="35" t="s">
        <v>877</v>
      </c>
      <c r="M508" s="39">
        <v>1.0</v>
      </c>
      <c r="N508" s="40">
        <v>46231.0</v>
      </c>
      <c r="O508" s="42" t="b">
        <v>1</v>
      </c>
      <c r="P508" s="44">
        <v>46231.0</v>
      </c>
      <c r="Q508" s="34"/>
      <c r="R508" s="34"/>
      <c r="S508" s="34"/>
      <c r="T508" s="34"/>
    </row>
    <row r="509" ht="15.75" customHeight="1">
      <c r="B509" s="33">
        <v>46224.0</v>
      </c>
      <c r="C509" s="35">
        <v>17265.0</v>
      </c>
      <c r="D509" s="35">
        <v>100.0</v>
      </c>
      <c r="E509" s="37">
        <v>20.2</v>
      </c>
      <c r="F509" s="38">
        <f t="shared" si="2"/>
        <v>2020</v>
      </c>
      <c r="G509" s="35" t="s">
        <v>2549</v>
      </c>
      <c r="H509" s="35" t="s">
        <v>35</v>
      </c>
      <c r="I509" s="35" t="s">
        <v>41</v>
      </c>
      <c r="J509" s="35" t="s">
        <v>34</v>
      </c>
      <c r="K509" s="35" t="s">
        <v>35</v>
      </c>
      <c r="L509" s="35" t="s">
        <v>877</v>
      </c>
      <c r="M509" s="39">
        <v>1.0</v>
      </c>
      <c r="N509" s="40">
        <v>46231.0</v>
      </c>
      <c r="O509" s="42" t="b">
        <v>1</v>
      </c>
      <c r="P509" s="44">
        <v>46231.0</v>
      </c>
      <c r="Q509" s="34"/>
      <c r="R509" s="34"/>
      <c r="S509" s="34"/>
      <c r="T509" s="34"/>
    </row>
    <row r="510" ht="15.75" customHeight="1">
      <c r="B510" s="33">
        <v>46224.0</v>
      </c>
      <c r="C510" s="35">
        <v>1047.0</v>
      </c>
      <c r="D510" s="35">
        <v>50.0</v>
      </c>
      <c r="E510" s="37">
        <v>152.0</v>
      </c>
      <c r="F510" s="38">
        <f t="shared" si="2"/>
        <v>7600</v>
      </c>
      <c r="G510" s="35" t="s">
        <v>659</v>
      </c>
      <c r="H510" s="35" t="s">
        <v>660</v>
      </c>
      <c r="I510" s="35" t="s">
        <v>59</v>
      </c>
      <c r="J510" s="35" t="s">
        <v>34</v>
      </c>
      <c r="K510" s="35" t="s">
        <v>35</v>
      </c>
      <c r="L510" s="35" t="s">
        <v>132</v>
      </c>
      <c r="M510" s="39">
        <v>31.0</v>
      </c>
      <c r="N510" s="40">
        <v>46223.0</v>
      </c>
      <c r="O510" s="42" t="b">
        <v>1</v>
      </c>
      <c r="P510" s="44">
        <v>46224.0</v>
      </c>
      <c r="Q510" s="34"/>
      <c r="R510" s="34"/>
      <c r="S510" s="34"/>
      <c r="T510" s="34"/>
    </row>
    <row r="511" ht="15.75" customHeight="1">
      <c r="B511" s="33">
        <v>46224.0</v>
      </c>
      <c r="C511" s="46" t="s">
        <v>2554</v>
      </c>
      <c r="D511" s="35">
        <v>10.0</v>
      </c>
      <c r="E511" s="37">
        <v>85.5</v>
      </c>
      <c r="F511" s="38">
        <f t="shared" si="2"/>
        <v>855</v>
      </c>
      <c r="G511" s="35" t="s">
        <v>163</v>
      </c>
      <c r="H511" s="35" t="s">
        <v>164</v>
      </c>
      <c r="I511" s="35" t="s">
        <v>32</v>
      </c>
      <c r="J511" s="35" t="s">
        <v>34</v>
      </c>
      <c r="K511" s="35" t="s">
        <v>35</v>
      </c>
      <c r="L511" s="35" t="s">
        <v>46</v>
      </c>
      <c r="M511" s="39">
        <v>1.0</v>
      </c>
      <c r="N511" s="40">
        <v>46225.0</v>
      </c>
      <c r="O511" s="42" t="b">
        <v>1</v>
      </c>
      <c r="P511" s="44">
        <v>46226.0</v>
      </c>
      <c r="Q511" s="34"/>
      <c r="R511" s="35"/>
      <c r="S511" s="34"/>
      <c r="T511" s="34"/>
    </row>
    <row r="512" ht="15.75" customHeight="1">
      <c r="B512" s="33">
        <v>46224.0</v>
      </c>
      <c r="C512" s="46" t="s">
        <v>2560</v>
      </c>
      <c r="D512" s="35">
        <v>1.0</v>
      </c>
      <c r="E512" s="37">
        <v>1080.0</v>
      </c>
      <c r="F512" s="38">
        <f t="shared" si="2"/>
        <v>1080</v>
      </c>
      <c r="G512" s="35" t="s">
        <v>2564</v>
      </c>
      <c r="H512" s="35" t="s">
        <v>2565</v>
      </c>
      <c r="I512" s="35" t="s">
        <v>39</v>
      </c>
      <c r="J512" s="35" t="s">
        <v>183</v>
      </c>
      <c r="K512" s="35" t="s">
        <v>35</v>
      </c>
      <c r="L512" s="35" t="s">
        <v>62</v>
      </c>
      <c r="M512" s="39">
        <v>1.0</v>
      </c>
      <c r="N512" s="40">
        <v>46227.0</v>
      </c>
      <c r="O512" s="42" t="b">
        <v>1</v>
      </c>
      <c r="P512" s="44">
        <v>46231.0</v>
      </c>
      <c r="Q512" s="34"/>
      <c r="R512" s="35"/>
      <c r="S512" s="34"/>
      <c r="T512" s="34"/>
    </row>
    <row r="513" ht="15.75" customHeight="1">
      <c r="B513" s="33">
        <v>46224.0</v>
      </c>
      <c r="C513" s="46" t="s">
        <v>2560</v>
      </c>
      <c r="D513" s="35">
        <v>1.0</v>
      </c>
      <c r="E513" s="37">
        <v>1350.0</v>
      </c>
      <c r="F513" s="38">
        <f t="shared" si="2"/>
        <v>1350</v>
      </c>
      <c r="G513" s="35" t="s">
        <v>2568</v>
      </c>
      <c r="H513" s="35" t="s">
        <v>2569</v>
      </c>
      <c r="I513" s="35" t="s">
        <v>39</v>
      </c>
      <c r="J513" s="35" t="s">
        <v>183</v>
      </c>
      <c r="K513" s="35" t="s">
        <v>35</v>
      </c>
      <c r="L513" s="35" t="s">
        <v>62</v>
      </c>
      <c r="M513" s="39">
        <v>1.0</v>
      </c>
      <c r="N513" s="40">
        <v>46227.0</v>
      </c>
      <c r="O513" s="42" t="b">
        <v>1</v>
      </c>
      <c r="P513" s="44">
        <v>46231.0</v>
      </c>
      <c r="Q513" s="34"/>
      <c r="R513" s="34"/>
      <c r="S513" s="34"/>
      <c r="T513" s="34"/>
    </row>
    <row r="514" ht="15.75" customHeight="1">
      <c r="B514" s="33">
        <v>46224.0</v>
      </c>
      <c r="C514" s="46" t="s">
        <v>2571</v>
      </c>
      <c r="D514" s="35">
        <v>1.0</v>
      </c>
      <c r="E514" s="37">
        <v>7300.0</v>
      </c>
      <c r="F514" s="38">
        <f t="shared" si="2"/>
        <v>7300</v>
      </c>
      <c r="G514" s="35" t="s">
        <v>2572</v>
      </c>
      <c r="H514" s="35" t="s">
        <v>2573</v>
      </c>
      <c r="I514" s="35" t="s">
        <v>39</v>
      </c>
      <c r="J514" s="35" t="s">
        <v>183</v>
      </c>
      <c r="K514" s="35" t="s">
        <v>35</v>
      </c>
      <c r="L514" s="35" t="s">
        <v>151</v>
      </c>
      <c r="M514" s="39">
        <v>1.0</v>
      </c>
      <c r="N514" s="40">
        <v>46224.0</v>
      </c>
      <c r="O514" s="42" t="b">
        <v>1</v>
      </c>
      <c r="P514" s="44">
        <v>46226.0</v>
      </c>
      <c r="Q514" s="34"/>
      <c r="R514" s="34"/>
      <c r="S514" s="34"/>
      <c r="T514" s="34"/>
    </row>
    <row r="515" ht="15.75" customHeight="1">
      <c r="B515" s="33">
        <v>46224.0</v>
      </c>
      <c r="C515" s="46" t="s">
        <v>2571</v>
      </c>
      <c r="D515" s="35">
        <v>1.0</v>
      </c>
      <c r="E515" s="37">
        <v>350.0</v>
      </c>
      <c r="F515" s="38">
        <f t="shared" si="2"/>
        <v>350</v>
      </c>
      <c r="G515" s="35" t="s">
        <v>2576</v>
      </c>
      <c r="H515" s="35" t="s">
        <v>2577</v>
      </c>
      <c r="I515" s="35" t="s">
        <v>39</v>
      </c>
      <c r="J515" s="35" t="s">
        <v>183</v>
      </c>
      <c r="K515" s="35" t="s">
        <v>35</v>
      </c>
      <c r="L515" s="35" t="s">
        <v>151</v>
      </c>
      <c r="M515" s="39">
        <v>1.0</v>
      </c>
      <c r="N515" s="40">
        <v>46224.0</v>
      </c>
      <c r="O515" s="42" t="b">
        <v>1</v>
      </c>
      <c r="P515" s="44">
        <v>46226.0</v>
      </c>
      <c r="Q515" s="34"/>
      <c r="R515" s="34"/>
      <c r="S515" s="34"/>
      <c r="T515" s="34"/>
    </row>
    <row r="516" ht="15.75" customHeight="1">
      <c r="B516" s="33">
        <v>46224.0</v>
      </c>
      <c r="C516" s="35">
        <v>24333.0</v>
      </c>
      <c r="D516" s="35">
        <v>200.0</v>
      </c>
      <c r="E516" s="37">
        <v>4.9</v>
      </c>
      <c r="F516" s="38">
        <f t="shared" si="2"/>
        <v>980</v>
      </c>
      <c r="G516" s="35" t="s">
        <v>2580</v>
      </c>
      <c r="H516" s="35" t="s">
        <v>2581</v>
      </c>
      <c r="I516" s="35" t="s">
        <v>41</v>
      </c>
      <c r="J516" s="35" t="s">
        <v>34</v>
      </c>
      <c r="K516" s="35" t="s">
        <v>35</v>
      </c>
      <c r="L516" s="35" t="s">
        <v>96</v>
      </c>
      <c r="M516" s="39">
        <v>31.0</v>
      </c>
      <c r="N516" s="40">
        <v>46225.0</v>
      </c>
      <c r="O516" s="42" t="b">
        <v>0</v>
      </c>
      <c r="P516" s="44"/>
      <c r="Q516" s="34"/>
      <c r="R516" s="34"/>
      <c r="S516" s="34"/>
      <c r="T516" s="34"/>
    </row>
    <row r="517" ht="15.75" customHeight="1">
      <c r="B517" s="33">
        <v>46224.0</v>
      </c>
      <c r="C517" s="35">
        <v>24333.0</v>
      </c>
      <c r="D517" s="35">
        <v>50.0</v>
      </c>
      <c r="E517" s="37">
        <v>4.9</v>
      </c>
      <c r="F517" s="38">
        <f t="shared" si="2"/>
        <v>245</v>
      </c>
      <c r="G517" s="35" t="s">
        <v>2585</v>
      </c>
      <c r="H517" s="35" t="s">
        <v>2586</v>
      </c>
      <c r="I517" s="35" t="s">
        <v>41</v>
      </c>
      <c r="J517" s="35" t="s">
        <v>34</v>
      </c>
      <c r="K517" s="35" t="s">
        <v>35</v>
      </c>
      <c r="L517" s="35" t="s">
        <v>96</v>
      </c>
      <c r="M517" s="39">
        <v>31.0</v>
      </c>
      <c r="N517" s="40">
        <v>46225.0</v>
      </c>
      <c r="O517" s="42" t="b">
        <v>0</v>
      </c>
      <c r="P517" s="44"/>
      <c r="Q517" s="34"/>
      <c r="R517" s="34"/>
      <c r="S517" s="34"/>
      <c r="T517" s="34"/>
    </row>
    <row r="518" ht="15.75" customHeight="1">
      <c r="B518" s="33">
        <v>46224.0</v>
      </c>
      <c r="C518" s="35">
        <v>24333.0</v>
      </c>
      <c r="D518" s="35">
        <v>48.0</v>
      </c>
      <c r="E518" s="37">
        <v>15.9</v>
      </c>
      <c r="F518" s="38">
        <f t="shared" si="2"/>
        <v>763.2</v>
      </c>
      <c r="G518" s="35" t="s">
        <v>2590</v>
      </c>
      <c r="H518" s="35" t="s">
        <v>2366</v>
      </c>
      <c r="I518" s="35" t="s">
        <v>41</v>
      </c>
      <c r="J518" s="35" t="s">
        <v>34</v>
      </c>
      <c r="K518" s="35" t="s">
        <v>35</v>
      </c>
      <c r="L518" s="35" t="s">
        <v>96</v>
      </c>
      <c r="M518" s="39">
        <v>31.0</v>
      </c>
      <c r="N518" s="40">
        <v>46225.0</v>
      </c>
      <c r="O518" s="42" t="b">
        <v>0</v>
      </c>
      <c r="P518" s="44"/>
      <c r="Q518" s="34"/>
      <c r="R518" s="34"/>
      <c r="S518" s="34"/>
      <c r="T518" s="34"/>
    </row>
    <row r="519" ht="15.75" customHeight="1">
      <c r="B519" s="33">
        <v>46224.0</v>
      </c>
      <c r="C519" s="35">
        <v>24333.0</v>
      </c>
      <c r="D519" s="35">
        <v>96.0</v>
      </c>
      <c r="E519" s="37">
        <v>8.99</v>
      </c>
      <c r="F519" s="38">
        <f t="shared" si="2"/>
        <v>863.04</v>
      </c>
      <c r="G519" s="35" t="s">
        <v>2593</v>
      </c>
      <c r="H519" s="35" t="s">
        <v>1062</v>
      </c>
      <c r="I519" s="35" t="s">
        <v>41</v>
      </c>
      <c r="J519" s="35" t="s">
        <v>34</v>
      </c>
      <c r="K519" s="35" t="s">
        <v>35</v>
      </c>
      <c r="L519" s="35" t="s">
        <v>96</v>
      </c>
      <c r="M519" s="39">
        <v>31.0</v>
      </c>
      <c r="N519" s="40">
        <v>46225.0</v>
      </c>
      <c r="O519" s="42" t="b">
        <v>0</v>
      </c>
      <c r="P519" s="44"/>
      <c r="Q519" s="34"/>
      <c r="R519" s="34"/>
      <c r="S519" s="34"/>
      <c r="T519" s="34"/>
    </row>
    <row r="520" ht="15.75" customHeight="1">
      <c r="B520" s="33">
        <v>46224.0</v>
      </c>
      <c r="C520" s="35">
        <v>24333.0</v>
      </c>
      <c r="D520" s="35">
        <v>120.0</v>
      </c>
      <c r="E520" s="37">
        <v>17.9</v>
      </c>
      <c r="F520" s="38">
        <f t="shared" si="2"/>
        <v>2148</v>
      </c>
      <c r="G520" s="35" t="s">
        <v>2596</v>
      </c>
      <c r="H520" s="35" t="s">
        <v>1470</v>
      </c>
      <c r="I520" s="35" t="s">
        <v>41</v>
      </c>
      <c r="J520" s="35" t="s">
        <v>34</v>
      </c>
      <c r="K520" s="35" t="s">
        <v>35</v>
      </c>
      <c r="L520" s="35" t="s">
        <v>96</v>
      </c>
      <c r="M520" s="39">
        <v>31.0</v>
      </c>
      <c r="N520" s="40">
        <v>46225.0</v>
      </c>
      <c r="O520" s="42" t="b">
        <v>0</v>
      </c>
      <c r="P520" s="44"/>
      <c r="Q520" s="34"/>
      <c r="R520" s="34"/>
      <c r="S520" s="34"/>
      <c r="T520" s="34"/>
    </row>
    <row r="521" ht="15.75" customHeight="1">
      <c r="B521" s="33">
        <v>46224.0</v>
      </c>
      <c r="C521" s="35">
        <v>24333.0</v>
      </c>
      <c r="D521" s="35">
        <v>10.0</v>
      </c>
      <c r="E521" s="37">
        <v>109.9</v>
      </c>
      <c r="F521" s="38">
        <f t="shared" si="2"/>
        <v>1099</v>
      </c>
      <c r="G521" s="35" t="s">
        <v>416</v>
      </c>
      <c r="H521" s="35" t="s">
        <v>417</v>
      </c>
      <c r="I521" s="35" t="s">
        <v>41</v>
      </c>
      <c r="J521" s="35" t="s">
        <v>34</v>
      </c>
      <c r="K521" s="35" t="s">
        <v>35</v>
      </c>
      <c r="L521" s="35" t="s">
        <v>96</v>
      </c>
      <c r="M521" s="39">
        <v>31.0</v>
      </c>
      <c r="N521" s="40">
        <v>46225.0</v>
      </c>
      <c r="O521" s="42" t="b">
        <v>0</v>
      </c>
      <c r="P521" s="44"/>
      <c r="Q521" s="34"/>
      <c r="R521" s="34"/>
      <c r="S521" s="34"/>
      <c r="T521" s="34"/>
    </row>
    <row r="522" ht="15.75" customHeight="1">
      <c r="B522" s="33">
        <v>46224.0</v>
      </c>
      <c r="C522" s="35">
        <v>24333.0</v>
      </c>
      <c r="D522" s="35">
        <v>10.0</v>
      </c>
      <c r="E522" s="37">
        <v>89.9</v>
      </c>
      <c r="F522" s="38">
        <f t="shared" si="2"/>
        <v>899</v>
      </c>
      <c r="G522" s="35" t="s">
        <v>207</v>
      </c>
      <c r="H522" s="35" t="s">
        <v>208</v>
      </c>
      <c r="I522" s="35" t="s">
        <v>41</v>
      </c>
      <c r="J522" s="35" t="s">
        <v>34</v>
      </c>
      <c r="K522" s="35" t="s">
        <v>35</v>
      </c>
      <c r="L522" s="35" t="s">
        <v>96</v>
      </c>
      <c r="M522" s="39">
        <v>31.0</v>
      </c>
      <c r="N522" s="40">
        <v>46225.0</v>
      </c>
      <c r="O522" s="42" t="b">
        <v>0</v>
      </c>
      <c r="P522" s="44"/>
      <c r="Q522" s="34"/>
      <c r="R522" s="34"/>
      <c r="S522" s="34"/>
      <c r="T522" s="34"/>
    </row>
    <row r="523" ht="15.75" customHeight="1">
      <c r="B523" s="33">
        <v>46224.0</v>
      </c>
      <c r="C523" s="35">
        <v>24333.0</v>
      </c>
      <c r="D523" s="35">
        <v>24.0</v>
      </c>
      <c r="E523" s="37">
        <v>8.8</v>
      </c>
      <c r="F523" s="38">
        <f t="shared" si="2"/>
        <v>211.2</v>
      </c>
      <c r="G523" s="35" t="s">
        <v>1627</v>
      </c>
      <c r="H523" s="35" t="s">
        <v>1629</v>
      </c>
      <c r="I523" s="35" t="s">
        <v>41</v>
      </c>
      <c r="J523" s="35" t="s">
        <v>34</v>
      </c>
      <c r="K523" s="35" t="s">
        <v>35</v>
      </c>
      <c r="L523" s="35" t="s">
        <v>96</v>
      </c>
      <c r="M523" s="39">
        <v>31.0</v>
      </c>
      <c r="N523" s="40">
        <v>46225.0</v>
      </c>
      <c r="O523" s="42" t="b">
        <v>0</v>
      </c>
      <c r="P523" s="44"/>
      <c r="Q523" s="34"/>
      <c r="R523" s="34"/>
      <c r="S523" s="34"/>
      <c r="T523" s="34"/>
    </row>
    <row r="524" ht="15.75" customHeight="1">
      <c r="B524" s="33">
        <v>46224.0</v>
      </c>
      <c r="C524" s="35" t="s">
        <v>35</v>
      </c>
      <c r="D524" s="35">
        <v>25.0</v>
      </c>
      <c r="E524" s="37">
        <v>230.0</v>
      </c>
      <c r="F524" s="38">
        <f t="shared" si="2"/>
        <v>5750</v>
      </c>
      <c r="G524" s="35" t="s">
        <v>2602</v>
      </c>
      <c r="H524" s="35" t="s">
        <v>35</v>
      </c>
      <c r="I524" s="35" t="s">
        <v>240</v>
      </c>
      <c r="J524" s="35" t="s">
        <v>34</v>
      </c>
      <c r="K524" s="35" t="s">
        <v>35</v>
      </c>
      <c r="L524" s="35" t="s">
        <v>314</v>
      </c>
      <c r="M524" s="39">
        <v>31.0</v>
      </c>
      <c r="N524" s="40">
        <v>46227.0</v>
      </c>
      <c r="O524" s="42" t="b">
        <v>1</v>
      </c>
      <c r="P524" s="44">
        <v>46230.0</v>
      </c>
      <c r="Q524" s="34"/>
      <c r="R524" s="33">
        <v>46225.0</v>
      </c>
      <c r="S524" s="34"/>
      <c r="T524" s="34"/>
    </row>
    <row r="525" ht="15.75" customHeight="1">
      <c r="B525" s="33">
        <v>46224.0</v>
      </c>
      <c r="C525" s="46" t="s">
        <v>2605</v>
      </c>
      <c r="D525" s="35">
        <v>5.0</v>
      </c>
      <c r="E525" s="37">
        <v>324.0</v>
      </c>
      <c r="F525" s="38">
        <f t="shared" si="2"/>
        <v>1620</v>
      </c>
      <c r="G525" s="35" t="s">
        <v>2606</v>
      </c>
      <c r="H525" s="35" t="s">
        <v>2607</v>
      </c>
      <c r="I525" s="35" t="s">
        <v>59</v>
      </c>
      <c r="J525" s="35" t="s">
        <v>34</v>
      </c>
      <c r="K525" s="35" t="s">
        <v>35</v>
      </c>
      <c r="L525" s="35" t="s">
        <v>46</v>
      </c>
      <c r="M525" s="39">
        <v>1.0</v>
      </c>
      <c r="N525" s="40">
        <v>46224.0</v>
      </c>
      <c r="O525" s="42" t="b">
        <v>1</v>
      </c>
      <c r="P525" s="44">
        <v>46225.0</v>
      </c>
      <c r="Q525" s="34"/>
      <c r="R525" s="34"/>
      <c r="S525" s="34"/>
      <c r="T525" s="34"/>
    </row>
    <row r="526" ht="15.75" customHeight="1">
      <c r="B526" s="33">
        <v>46224.0</v>
      </c>
      <c r="C526" s="35">
        <v>24403.0</v>
      </c>
      <c r="D526" s="35">
        <v>240.0</v>
      </c>
      <c r="E526" s="37">
        <v>4.5</v>
      </c>
      <c r="F526" s="38">
        <f t="shared" si="2"/>
        <v>1080</v>
      </c>
      <c r="G526" s="35" t="s">
        <v>2612</v>
      </c>
      <c r="H526" s="35" t="s">
        <v>2613</v>
      </c>
      <c r="I526" s="35" t="s">
        <v>77</v>
      </c>
      <c r="J526" s="35" t="s">
        <v>79</v>
      </c>
      <c r="K526" s="35" t="s">
        <v>35</v>
      </c>
      <c r="L526" s="35" t="s">
        <v>96</v>
      </c>
      <c r="M526" s="39">
        <v>1.0</v>
      </c>
      <c r="N526" s="40">
        <v>46225.0</v>
      </c>
      <c r="O526" s="42" t="b">
        <v>1</v>
      </c>
      <c r="P526" s="35" t="s">
        <v>84</v>
      </c>
      <c r="Q526" s="34"/>
      <c r="R526" s="34"/>
      <c r="S526" s="34"/>
      <c r="T526" s="34"/>
    </row>
    <row r="527" ht="15.75" customHeight="1">
      <c r="B527" s="33">
        <v>46224.0</v>
      </c>
      <c r="C527" s="35">
        <v>24403.0</v>
      </c>
      <c r="D527" s="35">
        <v>200.0</v>
      </c>
      <c r="E527" s="37">
        <v>15.9</v>
      </c>
      <c r="F527" s="38">
        <f t="shared" si="2"/>
        <v>3180</v>
      </c>
      <c r="G527" s="35" t="s">
        <v>2618</v>
      </c>
      <c r="H527" s="35" t="s">
        <v>2619</v>
      </c>
      <c r="I527" s="35" t="s">
        <v>77</v>
      </c>
      <c r="J527" s="35" t="s">
        <v>79</v>
      </c>
      <c r="K527" s="35" t="s">
        <v>35</v>
      </c>
      <c r="L527" s="35" t="s">
        <v>96</v>
      </c>
      <c r="M527" s="39">
        <v>1.0</v>
      </c>
      <c r="N527" s="40">
        <v>46225.0</v>
      </c>
      <c r="O527" s="42" t="b">
        <v>1</v>
      </c>
      <c r="P527" s="35" t="s">
        <v>84</v>
      </c>
      <c r="Q527" s="34"/>
      <c r="R527" s="34"/>
      <c r="S527" s="34"/>
      <c r="T527" s="34"/>
    </row>
    <row r="528" ht="15.75" customHeight="1">
      <c r="B528" s="33">
        <v>46224.0</v>
      </c>
      <c r="C528" s="35">
        <v>24403.0</v>
      </c>
      <c r="D528" s="35">
        <v>50.0</v>
      </c>
      <c r="E528" s="37">
        <v>14.8</v>
      </c>
      <c r="F528" s="38">
        <f t="shared" si="2"/>
        <v>740</v>
      </c>
      <c r="G528" s="35" t="s">
        <v>2620</v>
      </c>
      <c r="H528" s="35" t="s">
        <v>2621</v>
      </c>
      <c r="I528" s="35" t="s">
        <v>77</v>
      </c>
      <c r="J528" s="35" t="s">
        <v>79</v>
      </c>
      <c r="K528" s="35" t="s">
        <v>35</v>
      </c>
      <c r="L528" s="35" t="s">
        <v>96</v>
      </c>
      <c r="M528" s="39">
        <v>1.0</v>
      </c>
      <c r="N528" s="40">
        <v>46225.0</v>
      </c>
      <c r="O528" s="42" t="b">
        <v>1</v>
      </c>
      <c r="P528" s="35" t="s">
        <v>84</v>
      </c>
      <c r="Q528" s="34"/>
      <c r="R528" s="34"/>
      <c r="S528" s="34"/>
      <c r="T528" s="34"/>
    </row>
    <row r="529" ht="15.75" customHeight="1">
      <c r="B529" s="33">
        <v>46224.0</v>
      </c>
      <c r="C529" s="35">
        <v>24403.0</v>
      </c>
      <c r="D529" s="35">
        <v>50.0</v>
      </c>
      <c r="E529" s="37">
        <v>13.8</v>
      </c>
      <c r="F529" s="38">
        <f t="shared" si="2"/>
        <v>690</v>
      </c>
      <c r="G529" s="35" t="s">
        <v>2626</v>
      </c>
      <c r="H529" s="35" t="s">
        <v>1267</v>
      </c>
      <c r="I529" s="35" t="s">
        <v>77</v>
      </c>
      <c r="J529" s="35" t="s">
        <v>79</v>
      </c>
      <c r="K529" s="35" t="s">
        <v>35</v>
      </c>
      <c r="L529" s="35" t="s">
        <v>96</v>
      </c>
      <c r="M529" s="39">
        <v>1.0</v>
      </c>
      <c r="N529" s="40">
        <v>46225.0</v>
      </c>
      <c r="O529" s="42" t="b">
        <v>1</v>
      </c>
      <c r="P529" s="35" t="s">
        <v>84</v>
      </c>
      <c r="Q529" s="34"/>
      <c r="R529" s="34"/>
      <c r="S529" s="34"/>
      <c r="T529" s="34"/>
    </row>
    <row r="530" ht="15.75" customHeight="1">
      <c r="B530" s="33">
        <v>46224.0</v>
      </c>
      <c r="C530" s="35">
        <v>24403.0</v>
      </c>
      <c r="D530" s="35">
        <v>150.0</v>
      </c>
      <c r="E530" s="37">
        <v>3.3</v>
      </c>
      <c r="F530" s="38">
        <f t="shared" si="2"/>
        <v>495</v>
      </c>
      <c r="G530" s="35" t="s">
        <v>2631</v>
      </c>
      <c r="H530" s="35" t="s">
        <v>2632</v>
      </c>
      <c r="I530" s="35" t="s">
        <v>77</v>
      </c>
      <c r="J530" s="35" t="s">
        <v>79</v>
      </c>
      <c r="K530" s="35" t="s">
        <v>35</v>
      </c>
      <c r="L530" s="35" t="s">
        <v>96</v>
      </c>
      <c r="M530" s="39">
        <v>1.0</v>
      </c>
      <c r="N530" s="40">
        <v>46225.0</v>
      </c>
      <c r="O530" s="42" t="b">
        <v>1</v>
      </c>
      <c r="P530" s="35" t="s">
        <v>84</v>
      </c>
      <c r="Q530" s="34"/>
      <c r="R530" s="34"/>
      <c r="S530" s="34"/>
      <c r="T530" s="34"/>
    </row>
    <row r="531" ht="15.75" customHeight="1">
      <c r="B531" s="33">
        <v>46224.0</v>
      </c>
      <c r="C531" s="35">
        <v>24403.0</v>
      </c>
      <c r="D531" s="35">
        <v>350.0</v>
      </c>
      <c r="E531" s="37">
        <v>1.2</v>
      </c>
      <c r="F531" s="38">
        <f t="shared" si="2"/>
        <v>420</v>
      </c>
      <c r="G531" s="35" t="s">
        <v>2635</v>
      </c>
      <c r="H531" s="35" t="s">
        <v>2636</v>
      </c>
      <c r="I531" s="35" t="s">
        <v>77</v>
      </c>
      <c r="J531" s="35" t="s">
        <v>79</v>
      </c>
      <c r="K531" s="35" t="s">
        <v>35</v>
      </c>
      <c r="L531" s="35" t="s">
        <v>96</v>
      </c>
      <c r="M531" s="39">
        <v>1.0</v>
      </c>
      <c r="N531" s="40">
        <v>46225.0</v>
      </c>
      <c r="O531" s="42" t="b">
        <v>1</v>
      </c>
      <c r="P531" s="35" t="s">
        <v>84</v>
      </c>
      <c r="Q531" s="34"/>
      <c r="R531" s="34"/>
      <c r="S531" s="34"/>
      <c r="T531" s="34"/>
    </row>
    <row r="532" ht="15.75" customHeight="1">
      <c r="B532" s="33">
        <v>46224.0</v>
      </c>
      <c r="C532" s="35">
        <v>24403.0</v>
      </c>
      <c r="D532" s="35">
        <v>100.0</v>
      </c>
      <c r="E532" s="37">
        <v>8.99</v>
      </c>
      <c r="F532" s="38">
        <f t="shared" si="2"/>
        <v>899</v>
      </c>
      <c r="G532" s="35" t="s">
        <v>2640</v>
      </c>
      <c r="H532" s="35" t="s">
        <v>2641</v>
      </c>
      <c r="I532" s="35" t="s">
        <v>77</v>
      </c>
      <c r="J532" s="35" t="s">
        <v>79</v>
      </c>
      <c r="K532" s="35" t="s">
        <v>35</v>
      </c>
      <c r="L532" s="35" t="s">
        <v>96</v>
      </c>
      <c r="M532" s="39">
        <v>1.0</v>
      </c>
      <c r="N532" s="40">
        <v>46225.0</v>
      </c>
      <c r="O532" s="42" t="b">
        <v>1</v>
      </c>
      <c r="P532" s="35" t="s">
        <v>84</v>
      </c>
      <c r="Q532" s="34"/>
      <c r="R532" s="34"/>
      <c r="S532" s="34"/>
      <c r="T532" s="34"/>
    </row>
    <row r="533" ht="15.75" customHeight="1">
      <c r="B533" s="33">
        <v>46224.0</v>
      </c>
      <c r="C533" s="35">
        <v>24403.0</v>
      </c>
      <c r="D533" s="35">
        <v>120.0</v>
      </c>
      <c r="E533" s="37">
        <v>8.9</v>
      </c>
      <c r="F533" s="38">
        <f t="shared" si="2"/>
        <v>1068</v>
      </c>
      <c r="G533" s="35" t="s">
        <v>2646</v>
      </c>
      <c r="H533" s="35" t="s">
        <v>2412</v>
      </c>
      <c r="I533" s="35" t="s">
        <v>77</v>
      </c>
      <c r="J533" s="35" t="s">
        <v>79</v>
      </c>
      <c r="K533" s="35" t="s">
        <v>35</v>
      </c>
      <c r="L533" s="35" t="s">
        <v>96</v>
      </c>
      <c r="M533" s="39">
        <v>1.0</v>
      </c>
      <c r="N533" s="40">
        <v>46225.0</v>
      </c>
      <c r="O533" s="42" t="b">
        <v>1</v>
      </c>
      <c r="P533" s="35" t="s">
        <v>84</v>
      </c>
      <c r="Q533" s="34"/>
      <c r="R533" s="34"/>
      <c r="S533" s="34"/>
      <c r="T533" s="34"/>
    </row>
    <row r="534" ht="15.75" customHeight="1">
      <c r="B534" s="33">
        <v>46224.0</v>
      </c>
      <c r="C534" s="35">
        <v>24420.0</v>
      </c>
      <c r="D534" s="35">
        <v>16.0</v>
      </c>
      <c r="E534" s="37">
        <v>159.9</v>
      </c>
      <c r="F534" s="38">
        <f t="shared" si="2"/>
        <v>2558.4</v>
      </c>
      <c r="G534" s="35" t="s">
        <v>2650</v>
      </c>
      <c r="H534" s="35" t="s">
        <v>1010</v>
      </c>
      <c r="I534" s="35" t="s">
        <v>32</v>
      </c>
      <c r="J534" s="35" t="s">
        <v>34</v>
      </c>
      <c r="K534" s="35" t="s">
        <v>35</v>
      </c>
      <c r="L534" s="35" t="s">
        <v>96</v>
      </c>
      <c r="M534" s="39">
        <v>1.0</v>
      </c>
      <c r="N534" s="40">
        <v>46225.0</v>
      </c>
      <c r="O534" s="42" t="b">
        <v>1</v>
      </c>
      <c r="P534" s="44">
        <v>46227.0</v>
      </c>
      <c r="Q534" s="34"/>
      <c r="R534" s="34"/>
      <c r="S534" s="34"/>
      <c r="T534" s="34"/>
    </row>
    <row r="535" ht="15.75" customHeight="1">
      <c r="B535" s="33">
        <v>46224.0</v>
      </c>
      <c r="C535" s="35">
        <v>1.458385E7</v>
      </c>
      <c r="D535" s="35">
        <v>3.0</v>
      </c>
      <c r="E535" s="37">
        <v>464.57</v>
      </c>
      <c r="F535" s="38">
        <f t="shared" si="2"/>
        <v>1393.71</v>
      </c>
      <c r="G535" s="35" t="s">
        <v>2653</v>
      </c>
      <c r="H535" s="35">
        <v>48366.0</v>
      </c>
      <c r="I535" s="35" t="s">
        <v>237</v>
      </c>
      <c r="J535" s="35" t="s">
        <v>2655</v>
      </c>
      <c r="K535" s="35" t="s">
        <v>35</v>
      </c>
      <c r="L535" s="35" t="s">
        <v>2109</v>
      </c>
      <c r="M535" s="39">
        <v>1.0</v>
      </c>
      <c r="N535" s="40">
        <v>46227.0</v>
      </c>
      <c r="O535" s="42" t="b">
        <v>1</v>
      </c>
      <c r="P535" s="44">
        <v>46232.0</v>
      </c>
      <c r="Q535" s="34"/>
      <c r="R535" s="34"/>
      <c r="S535" s="34"/>
      <c r="T535" s="34"/>
    </row>
    <row r="536" ht="15.75" customHeight="1">
      <c r="B536" s="33">
        <v>46224.0</v>
      </c>
      <c r="C536" s="35">
        <v>926891.0</v>
      </c>
      <c r="D536" s="35">
        <v>100.0</v>
      </c>
      <c r="E536" s="37">
        <v>149.9</v>
      </c>
      <c r="F536" s="38">
        <f t="shared" si="2"/>
        <v>14990</v>
      </c>
      <c r="G536" s="35" t="s">
        <v>2285</v>
      </c>
      <c r="H536" s="35">
        <v>61152.0</v>
      </c>
      <c r="I536" s="35" t="s">
        <v>41</v>
      </c>
      <c r="J536" s="35" t="s">
        <v>34</v>
      </c>
      <c r="K536" s="35" t="s">
        <v>35</v>
      </c>
      <c r="L536" s="35" t="s">
        <v>43</v>
      </c>
      <c r="M536" s="39">
        <v>1.0</v>
      </c>
      <c r="N536" s="40">
        <v>46224.0</v>
      </c>
      <c r="O536" s="42" t="b">
        <v>1</v>
      </c>
      <c r="P536" s="44">
        <v>46225.0</v>
      </c>
      <c r="Q536" s="34"/>
      <c r="R536" s="34"/>
      <c r="S536" s="34"/>
      <c r="T536" s="34"/>
    </row>
    <row r="537" ht="15.75" customHeight="1">
      <c r="B537" s="33">
        <v>46224.0</v>
      </c>
      <c r="C537" s="35">
        <v>230173.0</v>
      </c>
      <c r="D537" s="35">
        <v>1500.0</v>
      </c>
      <c r="E537" s="37">
        <v>78.0</v>
      </c>
      <c r="F537" s="38">
        <f t="shared" si="2"/>
        <v>117000</v>
      </c>
      <c r="G537" s="35" t="s">
        <v>1752</v>
      </c>
      <c r="H537" s="35" t="s">
        <v>123</v>
      </c>
      <c r="I537" s="35" t="s">
        <v>59</v>
      </c>
      <c r="J537" s="35" t="s">
        <v>34</v>
      </c>
      <c r="K537" s="35" t="s">
        <v>345</v>
      </c>
      <c r="L537" s="35" t="s">
        <v>193</v>
      </c>
      <c r="M537" s="39">
        <v>1.0</v>
      </c>
      <c r="N537" s="40">
        <v>46230.0</v>
      </c>
      <c r="O537" s="42" t="b">
        <v>1</v>
      </c>
      <c r="P537" s="44">
        <v>46232.0</v>
      </c>
      <c r="Q537" s="34"/>
      <c r="R537" s="34"/>
      <c r="S537" s="34"/>
      <c r="T537" s="34"/>
    </row>
    <row r="538" ht="15.75" customHeight="1">
      <c r="B538" s="33">
        <v>46224.0</v>
      </c>
      <c r="C538" s="35" t="s">
        <v>35</v>
      </c>
      <c r="D538" s="35">
        <v>11.0</v>
      </c>
      <c r="E538" s="37">
        <v>1491.3</v>
      </c>
      <c r="F538" s="38">
        <f t="shared" si="2"/>
        <v>16404.3</v>
      </c>
      <c r="G538" s="35" t="s">
        <v>2665</v>
      </c>
      <c r="H538" s="35">
        <v>55582.0</v>
      </c>
      <c r="I538" s="35" t="s">
        <v>237</v>
      </c>
      <c r="J538" s="35" t="s">
        <v>175</v>
      </c>
      <c r="K538" s="35" t="s">
        <v>2666</v>
      </c>
      <c r="L538" s="35" t="s">
        <v>2667</v>
      </c>
      <c r="M538" s="39">
        <v>1.0</v>
      </c>
      <c r="N538" s="40">
        <v>46229.0</v>
      </c>
      <c r="O538" s="42" t="b">
        <v>0</v>
      </c>
      <c r="P538" s="44">
        <v>46230.0</v>
      </c>
      <c r="Q538" s="34"/>
      <c r="R538" s="33">
        <v>46224.0</v>
      </c>
      <c r="S538" s="34"/>
      <c r="T538" s="34"/>
    </row>
    <row r="539" ht="15.75" customHeight="1">
      <c r="B539" s="33">
        <v>46224.0</v>
      </c>
      <c r="C539" s="35" t="s">
        <v>35</v>
      </c>
      <c r="D539" s="35">
        <v>9.0</v>
      </c>
      <c r="E539" s="37">
        <v>1491.3</v>
      </c>
      <c r="F539" s="38">
        <f t="shared" si="2"/>
        <v>13421.7</v>
      </c>
      <c r="G539" s="35" t="s">
        <v>2665</v>
      </c>
      <c r="H539" s="35">
        <v>55273.0</v>
      </c>
      <c r="I539" s="35" t="s">
        <v>237</v>
      </c>
      <c r="J539" s="35" t="s">
        <v>175</v>
      </c>
      <c r="K539" s="35" t="s">
        <v>2666</v>
      </c>
      <c r="L539" s="35" t="s">
        <v>2667</v>
      </c>
      <c r="M539" s="39">
        <v>1.0</v>
      </c>
      <c r="N539" s="40">
        <v>46229.0</v>
      </c>
      <c r="O539" s="42" t="b">
        <v>0</v>
      </c>
      <c r="P539" s="44">
        <v>46230.0</v>
      </c>
      <c r="Q539" s="34"/>
      <c r="R539" s="33">
        <v>46224.0</v>
      </c>
      <c r="S539" s="34"/>
      <c r="T539" s="34"/>
    </row>
    <row r="540" ht="15.75" customHeight="1">
      <c r="B540" s="33">
        <v>46224.0</v>
      </c>
      <c r="C540" s="35" t="s">
        <v>35</v>
      </c>
      <c r="D540" s="35">
        <v>3.0</v>
      </c>
      <c r="E540" s="37">
        <v>1491.3</v>
      </c>
      <c r="F540" s="38">
        <f t="shared" si="2"/>
        <v>4473.9</v>
      </c>
      <c r="G540" s="35" t="s">
        <v>2671</v>
      </c>
      <c r="H540" s="35">
        <v>55392.0</v>
      </c>
      <c r="I540" s="35" t="s">
        <v>237</v>
      </c>
      <c r="J540" s="35" t="s">
        <v>175</v>
      </c>
      <c r="K540" s="35" t="s">
        <v>2666</v>
      </c>
      <c r="L540" s="35" t="s">
        <v>2667</v>
      </c>
      <c r="M540" s="39">
        <v>1.0</v>
      </c>
      <c r="N540" s="40">
        <v>46229.0</v>
      </c>
      <c r="O540" s="42" t="b">
        <v>0</v>
      </c>
      <c r="P540" s="44">
        <v>46230.0</v>
      </c>
      <c r="Q540" s="34"/>
      <c r="R540" s="33">
        <v>46224.0</v>
      </c>
      <c r="S540" s="34"/>
      <c r="T540" s="34"/>
    </row>
    <row r="541" ht="15.75" customHeight="1">
      <c r="B541" s="33">
        <v>46224.0</v>
      </c>
      <c r="C541" s="35" t="s">
        <v>35</v>
      </c>
      <c r="D541" s="35">
        <v>46.0</v>
      </c>
      <c r="E541" s="37">
        <v>367.5</v>
      </c>
      <c r="F541" s="38">
        <f t="shared" si="2"/>
        <v>16905</v>
      </c>
      <c r="G541" s="35" t="s">
        <v>2675</v>
      </c>
      <c r="H541" s="35">
        <v>48683.0</v>
      </c>
      <c r="I541" s="35" t="s">
        <v>237</v>
      </c>
      <c r="J541" s="35" t="s">
        <v>175</v>
      </c>
      <c r="K541" s="35" t="s">
        <v>2666</v>
      </c>
      <c r="L541" s="35" t="s">
        <v>2667</v>
      </c>
      <c r="M541" s="39">
        <v>1.0</v>
      </c>
      <c r="N541" s="40">
        <v>46229.0</v>
      </c>
      <c r="O541" s="42" t="b">
        <v>0</v>
      </c>
      <c r="P541" s="44">
        <v>46230.0</v>
      </c>
      <c r="Q541" s="34"/>
      <c r="R541" s="33">
        <v>46224.0</v>
      </c>
      <c r="S541" s="34"/>
      <c r="T541" s="34"/>
    </row>
    <row r="542" ht="15.75" customHeight="1">
      <c r="B542" s="33">
        <v>46224.0</v>
      </c>
      <c r="C542" s="35" t="s">
        <v>35</v>
      </c>
      <c r="D542" s="35">
        <v>120.0</v>
      </c>
      <c r="E542" s="37">
        <v>15.28</v>
      </c>
      <c r="F542" s="38">
        <f t="shared" si="2"/>
        <v>1833.6</v>
      </c>
      <c r="G542" s="35" t="s">
        <v>2677</v>
      </c>
      <c r="H542" s="35" t="s">
        <v>2678</v>
      </c>
      <c r="I542" s="35" t="s">
        <v>32</v>
      </c>
      <c r="J542" s="35" t="s">
        <v>40</v>
      </c>
      <c r="K542" s="35" t="s">
        <v>35</v>
      </c>
      <c r="L542" s="36" t="s">
        <v>1622</v>
      </c>
      <c r="M542" s="39">
        <v>1.0</v>
      </c>
      <c r="N542" s="40">
        <v>46224.0</v>
      </c>
      <c r="O542" s="42" t="b">
        <v>0</v>
      </c>
      <c r="P542" s="44">
        <v>46226.0</v>
      </c>
      <c r="Q542" s="34"/>
      <c r="R542" s="33"/>
      <c r="S542" s="34"/>
      <c r="T542" s="34"/>
    </row>
    <row r="543" ht="15.75" customHeight="1">
      <c r="B543" s="33">
        <v>46225.0</v>
      </c>
      <c r="C543" s="35">
        <v>725348.0</v>
      </c>
      <c r="D543" s="35">
        <v>200.0</v>
      </c>
      <c r="E543" s="37">
        <v>20.4</v>
      </c>
      <c r="F543" s="38">
        <f t="shared" si="2"/>
        <v>4080</v>
      </c>
      <c r="G543" s="35" t="s">
        <v>2680</v>
      </c>
      <c r="H543" s="35" t="s">
        <v>2681</v>
      </c>
      <c r="I543" s="35" t="s">
        <v>59</v>
      </c>
      <c r="J543" s="35" t="s">
        <v>34</v>
      </c>
      <c r="K543" s="35" t="s">
        <v>35</v>
      </c>
      <c r="L543" s="35" t="s">
        <v>160</v>
      </c>
      <c r="M543" s="39">
        <v>31.0</v>
      </c>
      <c r="N543" s="40">
        <v>46225.0</v>
      </c>
      <c r="O543" s="42" t="b">
        <v>1</v>
      </c>
      <c r="P543" s="44">
        <v>46225.0</v>
      </c>
      <c r="Q543" s="34"/>
      <c r="R543" s="34"/>
      <c r="S543" s="34"/>
      <c r="T543" s="34"/>
    </row>
    <row r="544" ht="15.75" customHeight="1">
      <c r="B544" s="33">
        <v>46225.0</v>
      </c>
      <c r="C544" s="35">
        <v>51288.0</v>
      </c>
      <c r="D544" s="35">
        <v>8.0</v>
      </c>
      <c r="E544" s="37">
        <v>580.0</v>
      </c>
      <c r="F544" s="38">
        <f t="shared" si="2"/>
        <v>4640</v>
      </c>
      <c r="G544" s="35" t="s">
        <v>2687</v>
      </c>
      <c r="H544" s="35" t="s">
        <v>2688</v>
      </c>
      <c r="I544" s="35" t="s">
        <v>59</v>
      </c>
      <c r="J544" s="35" t="s">
        <v>34</v>
      </c>
      <c r="K544" s="35" t="s">
        <v>35</v>
      </c>
      <c r="L544" s="35" t="s">
        <v>868</v>
      </c>
      <c r="M544" s="39">
        <v>31.0</v>
      </c>
      <c r="N544" s="40">
        <v>46225.0</v>
      </c>
      <c r="O544" s="42" t="b">
        <v>1</v>
      </c>
      <c r="P544" s="44">
        <v>46225.0</v>
      </c>
      <c r="Q544" s="34"/>
      <c r="R544" s="34"/>
      <c r="S544" s="34"/>
      <c r="T544" s="34"/>
    </row>
    <row r="545" ht="15.75" customHeight="1">
      <c r="B545" s="33">
        <v>46225.0</v>
      </c>
      <c r="C545" s="35">
        <v>51297.0</v>
      </c>
      <c r="D545" s="35">
        <v>30.0</v>
      </c>
      <c r="E545" s="37">
        <v>600.0</v>
      </c>
      <c r="F545" s="38">
        <f t="shared" si="2"/>
        <v>18000</v>
      </c>
      <c r="G545" s="35" t="s">
        <v>2692</v>
      </c>
      <c r="H545" s="35" t="s">
        <v>2688</v>
      </c>
      <c r="I545" s="35" t="s">
        <v>59</v>
      </c>
      <c r="J545" s="35" t="s">
        <v>34</v>
      </c>
      <c r="K545" s="35" t="s">
        <v>35</v>
      </c>
      <c r="L545" s="35" t="s">
        <v>868</v>
      </c>
      <c r="M545" s="39">
        <v>31.0</v>
      </c>
      <c r="N545" s="40">
        <v>46225.0</v>
      </c>
      <c r="O545" s="42" t="b">
        <v>1</v>
      </c>
      <c r="P545" s="44">
        <v>46225.0</v>
      </c>
      <c r="Q545" s="34"/>
      <c r="R545" s="34"/>
      <c r="S545" s="34"/>
      <c r="T545" s="34"/>
    </row>
    <row r="546" ht="15.75" customHeight="1">
      <c r="B546" s="33">
        <v>46225.0</v>
      </c>
      <c r="C546" s="35">
        <v>251411.0</v>
      </c>
      <c r="D546" s="35">
        <v>200.0</v>
      </c>
      <c r="E546" s="37">
        <v>40.0</v>
      </c>
      <c r="F546" s="38">
        <f t="shared" si="2"/>
        <v>8000</v>
      </c>
      <c r="G546" s="35" t="s">
        <v>2697</v>
      </c>
      <c r="H546" s="35" t="s">
        <v>35</v>
      </c>
      <c r="I546" s="35" t="s">
        <v>174</v>
      </c>
      <c r="J546" s="35" t="s">
        <v>175</v>
      </c>
      <c r="K546" s="35" t="s">
        <v>35</v>
      </c>
      <c r="L546" s="35" t="s">
        <v>446</v>
      </c>
      <c r="M546" s="39">
        <v>1.0</v>
      </c>
      <c r="N546" s="44">
        <v>46230.0</v>
      </c>
      <c r="O546" s="42" t="b">
        <v>0</v>
      </c>
      <c r="P546" s="44">
        <v>46230.0</v>
      </c>
      <c r="Q546" s="34"/>
      <c r="R546" s="33">
        <v>46225.0</v>
      </c>
      <c r="S546" s="34"/>
      <c r="T546" s="34"/>
    </row>
    <row r="547" ht="15.75" customHeight="1">
      <c r="B547" s="33">
        <v>46225.0</v>
      </c>
      <c r="C547" s="35" t="s">
        <v>35</v>
      </c>
      <c r="D547" s="35">
        <v>1.0</v>
      </c>
      <c r="E547" s="37">
        <v>65.47</v>
      </c>
      <c r="F547" s="38">
        <f t="shared" si="2"/>
        <v>65.47</v>
      </c>
      <c r="G547" s="35" t="s">
        <v>2704</v>
      </c>
      <c r="H547" s="35" t="s">
        <v>35</v>
      </c>
      <c r="I547" s="35" t="s">
        <v>237</v>
      </c>
      <c r="J547" s="35" t="s">
        <v>2655</v>
      </c>
      <c r="K547" s="35" t="s">
        <v>35</v>
      </c>
      <c r="L547" s="35" t="s">
        <v>1265</v>
      </c>
      <c r="M547" s="39">
        <v>1.0</v>
      </c>
      <c r="N547" s="51" t="str">
        <f>IF(B547&lt;TODAY()-2,"ATRASADO","EM DIA")</f>
        <v>ATRASADO</v>
      </c>
      <c r="O547" s="42" t="b">
        <v>0</v>
      </c>
      <c r="P547" s="44"/>
      <c r="Q547" s="34"/>
      <c r="R547" s="34"/>
      <c r="S547" s="34"/>
      <c r="T547" s="34"/>
    </row>
    <row r="548" ht="15.75" customHeight="1">
      <c r="B548" s="33">
        <v>46225.0</v>
      </c>
      <c r="C548" s="58">
        <v>132247.0</v>
      </c>
      <c r="D548" s="35">
        <v>3.0</v>
      </c>
      <c r="E548" s="37">
        <v>1106.94</v>
      </c>
      <c r="F548" s="38">
        <f t="shared" si="2"/>
        <v>3320.82</v>
      </c>
      <c r="G548" s="35" t="s">
        <v>2710</v>
      </c>
      <c r="H548" s="35">
        <v>40402.0</v>
      </c>
      <c r="I548" s="35" t="s">
        <v>237</v>
      </c>
      <c r="J548" s="35" t="s">
        <v>175</v>
      </c>
      <c r="K548" s="35" t="s">
        <v>35</v>
      </c>
      <c r="L548" s="35" t="s">
        <v>2109</v>
      </c>
      <c r="M548" s="39">
        <v>1.0</v>
      </c>
      <c r="N548" s="40">
        <v>46230.0</v>
      </c>
      <c r="O548" s="42" t="b">
        <v>0</v>
      </c>
      <c r="P548" s="44">
        <v>46226.0</v>
      </c>
      <c r="Q548" s="34"/>
      <c r="R548" s="33"/>
      <c r="S548" s="34"/>
      <c r="T548" s="34"/>
    </row>
    <row r="549" ht="15.75" customHeight="1">
      <c r="B549" s="33">
        <v>46226.0</v>
      </c>
      <c r="C549" s="35">
        <v>15262.0</v>
      </c>
      <c r="D549" s="35">
        <v>1500.0</v>
      </c>
      <c r="E549" s="37">
        <v>2.16</v>
      </c>
      <c r="F549" s="38">
        <f t="shared" si="2"/>
        <v>3240</v>
      </c>
      <c r="G549" s="35" t="s">
        <v>1831</v>
      </c>
      <c r="H549" s="35" t="s">
        <v>2334</v>
      </c>
      <c r="I549" s="35" t="s">
        <v>59</v>
      </c>
      <c r="J549" s="35" t="s">
        <v>34</v>
      </c>
      <c r="K549" s="35" t="s">
        <v>35</v>
      </c>
      <c r="L549" s="35" t="s">
        <v>87</v>
      </c>
      <c r="M549" s="39">
        <v>31.0</v>
      </c>
      <c r="N549" s="40">
        <v>46225.0</v>
      </c>
      <c r="O549" s="42" t="b">
        <v>1</v>
      </c>
      <c r="P549" s="44">
        <v>46226.0</v>
      </c>
      <c r="Q549" s="34"/>
      <c r="R549" s="34"/>
      <c r="S549" s="34"/>
      <c r="T549" s="34"/>
    </row>
    <row r="550" ht="15.75" customHeight="1">
      <c r="B550" s="33">
        <v>46226.0</v>
      </c>
      <c r="C550" s="35">
        <v>15262.0</v>
      </c>
      <c r="D550" s="35">
        <v>900.0</v>
      </c>
      <c r="E550" s="37">
        <v>1.8</v>
      </c>
      <c r="F550" s="38">
        <f t="shared" si="2"/>
        <v>1620</v>
      </c>
      <c r="G550" s="35" t="s">
        <v>1834</v>
      </c>
      <c r="H550" s="35" t="s">
        <v>2329</v>
      </c>
      <c r="I550" s="35" t="s">
        <v>59</v>
      </c>
      <c r="J550" s="35" t="s">
        <v>34</v>
      </c>
      <c r="K550" s="35" t="s">
        <v>35</v>
      </c>
      <c r="L550" s="35" t="s">
        <v>87</v>
      </c>
      <c r="M550" s="39">
        <v>1.0</v>
      </c>
      <c r="N550" s="40">
        <v>46225.0</v>
      </c>
      <c r="O550" s="42" t="b">
        <v>1</v>
      </c>
      <c r="P550" s="44">
        <v>46226.0</v>
      </c>
      <c r="Q550" s="34"/>
      <c r="R550" s="34"/>
      <c r="S550" s="34"/>
      <c r="T550" s="34"/>
    </row>
    <row r="551" ht="15.75" customHeight="1">
      <c r="B551" s="33">
        <v>46226.0</v>
      </c>
      <c r="C551" s="35">
        <v>1048.0</v>
      </c>
      <c r="D551" s="35">
        <v>30.0</v>
      </c>
      <c r="E551" s="37">
        <v>152.0</v>
      </c>
      <c r="F551" s="38">
        <f t="shared" si="2"/>
        <v>4560</v>
      </c>
      <c r="G551" s="35" t="s">
        <v>659</v>
      </c>
      <c r="H551" s="35" t="s">
        <v>660</v>
      </c>
      <c r="I551" s="35" t="s">
        <v>59</v>
      </c>
      <c r="J551" s="35" t="s">
        <v>34</v>
      </c>
      <c r="K551" s="35" t="s">
        <v>35</v>
      </c>
      <c r="L551" s="35" t="s">
        <v>132</v>
      </c>
      <c r="M551" s="39">
        <v>31.0</v>
      </c>
      <c r="N551" s="40">
        <v>46226.0</v>
      </c>
      <c r="O551" s="42" t="b">
        <v>1</v>
      </c>
      <c r="P551" s="44">
        <v>46226.0</v>
      </c>
      <c r="Q551" s="34"/>
      <c r="R551" s="34"/>
      <c r="S551" s="34"/>
      <c r="T551" s="34"/>
    </row>
    <row r="552" ht="15.75" customHeight="1">
      <c r="B552" s="33">
        <v>46226.0</v>
      </c>
      <c r="C552" s="46" t="s">
        <v>2718</v>
      </c>
      <c r="D552" s="35">
        <v>1.0</v>
      </c>
      <c r="E552" s="37">
        <v>204.0</v>
      </c>
      <c r="F552" s="38">
        <f t="shared" si="2"/>
        <v>204</v>
      </c>
      <c r="G552" s="35" t="s">
        <v>2015</v>
      </c>
      <c r="H552" s="35" t="s">
        <v>2719</v>
      </c>
      <c r="I552" s="35" t="s">
        <v>240</v>
      </c>
      <c r="J552" s="35" t="s">
        <v>34</v>
      </c>
      <c r="K552" s="35" t="s">
        <v>35</v>
      </c>
      <c r="L552" s="35" t="s">
        <v>2017</v>
      </c>
      <c r="M552" s="39">
        <v>31.0</v>
      </c>
      <c r="N552" s="40">
        <v>46227.0</v>
      </c>
      <c r="O552" s="42" t="b">
        <v>1</v>
      </c>
      <c r="P552" s="44">
        <v>46230.0</v>
      </c>
      <c r="Q552" s="34"/>
      <c r="R552" s="34"/>
      <c r="S552" s="34"/>
      <c r="T552" s="34"/>
    </row>
    <row r="553" ht="15.75" customHeight="1">
      <c r="B553" s="33">
        <v>46226.0</v>
      </c>
      <c r="C553" s="46" t="s">
        <v>2718</v>
      </c>
      <c r="D553" s="35">
        <v>1.0</v>
      </c>
      <c r="E553" s="37">
        <v>204.0</v>
      </c>
      <c r="F553" s="38">
        <f t="shared" si="2"/>
        <v>204</v>
      </c>
      <c r="G553" s="35" t="s">
        <v>2015</v>
      </c>
      <c r="H553" s="35" t="s">
        <v>2723</v>
      </c>
      <c r="I553" s="35" t="s">
        <v>240</v>
      </c>
      <c r="J553" s="35" t="s">
        <v>34</v>
      </c>
      <c r="K553" s="35" t="s">
        <v>35</v>
      </c>
      <c r="L553" s="35" t="s">
        <v>2017</v>
      </c>
      <c r="M553" s="39">
        <v>31.0</v>
      </c>
      <c r="N553" s="40">
        <v>46227.0</v>
      </c>
      <c r="O553" s="42" t="b">
        <v>1</v>
      </c>
      <c r="P553" s="44">
        <v>46231.0</v>
      </c>
      <c r="Q553" s="34"/>
      <c r="R553" s="34"/>
      <c r="S553" s="34"/>
      <c r="T553" s="34"/>
    </row>
    <row r="554" ht="15.75" customHeight="1">
      <c r="B554" s="33">
        <v>46226.0</v>
      </c>
      <c r="C554" s="46" t="s">
        <v>2718</v>
      </c>
      <c r="D554" s="35">
        <v>4.0</v>
      </c>
      <c r="E554" s="37">
        <v>204.0</v>
      </c>
      <c r="F554" s="38">
        <f t="shared" si="2"/>
        <v>816</v>
      </c>
      <c r="G554" s="35" t="s">
        <v>2015</v>
      </c>
      <c r="H554" s="35" t="s">
        <v>2719</v>
      </c>
      <c r="I554" s="35" t="s">
        <v>77</v>
      </c>
      <c r="J554" s="35" t="s">
        <v>79</v>
      </c>
      <c r="K554" s="35" t="s">
        <v>35</v>
      </c>
      <c r="L554" s="35" t="s">
        <v>2017</v>
      </c>
      <c r="M554" s="39">
        <v>31.0</v>
      </c>
      <c r="N554" s="44">
        <v>46227.0</v>
      </c>
      <c r="O554" s="42" t="b">
        <v>1</v>
      </c>
      <c r="P554" s="44">
        <v>46230.0</v>
      </c>
      <c r="Q554" s="34"/>
      <c r="R554" s="33"/>
      <c r="S554" s="34"/>
      <c r="T554" s="34"/>
    </row>
    <row r="555" ht="15.75" customHeight="1">
      <c r="B555" s="33">
        <v>46226.0</v>
      </c>
      <c r="C555" s="46" t="s">
        <v>2718</v>
      </c>
      <c r="D555" s="35">
        <v>4.0</v>
      </c>
      <c r="E555" s="37">
        <v>204.0</v>
      </c>
      <c r="F555" s="38">
        <f t="shared" si="2"/>
        <v>816</v>
      </c>
      <c r="G555" s="35" t="s">
        <v>2015</v>
      </c>
      <c r="H555" s="35" t="s">
        <v>2723</v>
      </c>
      <c r="I555" s="35" t="s">
        <v>77</v>
      </c>
      <c r="J555" s="35" t="s">
        <v>79</v>
      </c>
      <c r="K555" s="35" t="s">
        <v>35</v>
      </c>
      <c r="L555" s="35" t="s">
        <v>2017</v>
      </c>
      <c r="M555" s="39">
        <v>31.0</v>
      </c>
      <c r="N555" s="40">
        <v>46227.0</v>
      </c>
      <c r="O555" s="42" t="b">
        <v>1</v>
      </c>
      <c r="P555" s="44">
        <v>46231.0</v>
      </c>
      <c r="Q555" s="34"/>
      <c r="R555" s="33"/>
      <c r="S555" s="34"/>
      <c r="T555" s="34"/>
    </row>
    <row r="556" ht="15.75" customHeight="1">
      <c r="B556" s="33">
        <v>46226.0</v>
      </c>
      <c r="C556" s="46" t="s">
        <v>2730</v>
      </c>
      <c r="D556" s="35">
        <v>6.0</v>
      </c>
      <c r="E556" s="37">
        <v>112.5</v>
      </c>
      <c r="F556" s="38">
        <f t="shared" si="2"/>
        <v>675</v>
      </c>
      <c r="G556" s="35" t="s">
        <v>217</v>
      </c>
      <c r="H556" s="35" t="s">
        <v>457</v>
      </c>
      <c r="I556" s="35" t="s">
        <v>59</v>
      </c>
      <c r="J556" s="35" t="s">
        <v>34</v>
      </c>
      <c r="K556" s="35" t="s">
        <v>35</v>
      </c>
      <c r="L556" s="35" t="s">
        <v>46</v>
      </c>
      <c r="M556" s="39">
        <v>1.0</v>
      </c>
      <c r="N556" s="40">
        <v>46226.0</v>
      </c>
      <c r="O556" s="42" t="b">
        <v>1</v>
      </c>
      <c r="P556" s="44">
        <v>46226.0</v>
      </c>
      <c r="Q556" s="34"/>
      <c r="R556" s="33"/>
      <c r="S556" s="34"/>
      <c r="T556" s="34"/>
    </row>
    <row r="557" ht="15.75" customHeight="1">
      <c r="B557" s="33">
        <v>46226.0</v>
      </c>
      <c r="C557" s="35">
        <v>1049.0</v>
      </c>
      <c r="D557" s="35">
        <v>12.0</v>
      </c>
      <c r="E557" s="37">
        <v>180.0</v>
      </c>
      <c r="F557" s="38">
        <f t="shared" si="2"/>
        <v>2160</v>
      </c>
      <c r="G557" s="35" t="s">
        <v>665</v>
      </c>
      <c r="H557" s="35" t="s">
        <v>666</v>
      </c>
      <c r="I557" s="35" t="s">
        <v>59</v>
      </c>
      <c r="J557" s="35" t="s">
        <v>34</v>
      </c>
      <c r="K557" s="35" t="s">
        <v>35</v>
      </c>
      <c r="L557" s="35" t="s">
        <v>132</v>
      </c>
      <c r="M557" s="39">
        <v>31.0</v>
      </c>
      <c r="N557" s="40">
        <v>46226.0</v>
      </c>
      <c r="O557" s="42" t="b">
        <v>1</v>
      </c>
      <c r="P557" s="44">
        <v>46226.0</v>
      </c>
      <c r="Q557" s="34"/>
      <c r="R557" s="34"/>
      <c r="S557" s="34"/>
      <c r="T557" s="34"/>
    </row>
    <row r="558" ht="15.75" customHeight="1">
      <c r="B558" s="33">
        <v>46226.0</v>
      </c>
      <c r="C558" s="35">
        <v>1049.0</v>
      </c>
      <c r="D558" s="35">
        <v>50.0</v>
      </c>
      <c r="E558" s="37">
        <v>180.0</v>
      </c>
      <c r="F558" s="38">
        <f t="shared" si="2"/>
        <v>9000</v>
      </c>
      <c r="G558" s="35" t="s">
        <v>665</v>
      </c>
      <c r="H558" s="35" t="s">
        <v>666</v>
      </c>
      <c r="I558" s="35" t="s">
        <v>174</v>
      </c>
      <c r="J558" s="35" t="s">
        <v>175</v>
      </c>
      <c r="K558" s="35" t="s">
        <v>35</v>
      </c>
      <c r="L558" s="35" t="s">
        <v>132</v>
      </c>
      <c r="M558" s="39">
        <v>31.0</v>
      </c>
      <c r="N558" s="40">
        <v>46230.0</v>
      </c>
      <c r="O558" s="42" t="b">
        <v>1</v>
      </c>
      <c r="P558" s="44">
        <v>46230.0</v>
      </c>
      <c r="Q558" s="34"/>
      <c r="R558" s="33"/>
      <c r="S558" s="34"/>
      <c r="T558" s="34"/>
    </row>
    <row r="559" ht="15.75" customHeight="1">
      <c r="B559" s="33">
        <v>46226.0</v>
      </c>
      <c r="C559" s="35">
        <v>24654.0</v>
      </c>
      <c r="D559" s="35">
        <v>24.0</v>
      </c>
      <c r="E559" s="37">
        <v>13.9</v>
      </c>
      <c r="F559" s="38">
        <f t="shared" si="2"/>
        <v>333.6</v>
      </c>
      <c r="G559" s="35" t="s">
        <v>2742</v>
      </c>
      <c r="H559" s="35" t="s">
        <v>2743</v>
      </c>
      <c r="I559" s="35" t="s">
        <v>77</v>
      </c>
      <c r="J559" s="35" t="s">
        <v>79</v>
      </c>
      <c r="K559" s="35" t="s">
        <v>35</v>
      </c>
      <c r="L559" s="35" t="s">
        <v>96</v>
      </c>
      <c r="M559" s="39">
        <v>1.0</v>
      </c>
      <c r="N559" s="40">
        <v>46227.0</v>
      </c>
      <c r="O559" s="42" t="b">
        <v>1</v>
      </c>
      <c r="P559" s="44">
        <v>46231.0</v>
      </c>
      <c r="Q559" s="34"/>
      <c r="R559" s="34"/>
      <c r="S559" s="34"/>
      <c r="T559" s="34"/>
    </row>
    <row r="560" ht="15.75" customHeight="1">
      <c r="B560" s="33">
        <v>46226.0</v>
      </c>
      <c r="C560" s="35">
        <v>24654.0</v>
      </c>
      <c r="D560" s="35">
        <v>20.0</v>
      </c>
      <c r="E560" s="37">
        <v>53.9</v>
      </c>
      <c r="F560" s="38">
        <f t="shared" si="2"/>
        <v>1078</v>
      </c>
      <c r="G560" s="35" t="s">
        <v>2748</v>
      </c>
      <c r="H560" s="35" t="s">
        <v>2749</v>
      </c>
      <c r="I560" s="35" t="s">
        <v>77</v>
      </c>
      <c r="J560" s="35" t="s">
        <v>79</v>
      </c>
      <c r="K560" s="35" t="s">
        <v>35</v>
      </c>
      <c r="L560" s="35" t="s">
        <v>96</v>
      </c>
      <c r="M560" s="39">
        <v>1.0</v>
      </c>
      <c r="N560" s="40">
        <v>46227.0</v>
      </c>
      <c r="O560" s="42" t="b">
        <v>1</v>
      </c>
      <c r="P560" s="44">
        <v>46231.0</v>
      </c>
      <c r="Q560" s="34"/>
      <c r="R560" s="34"/>
      <c r="S560" s="34"/>
      <c r="T560" s="34"/>
    </row>
    <row r="561" ht="15.75" customHeight="1">
      <c r="B561" s="33">
        <v>46226.0</v>
      </c>
      <c r="C561" s="35">
        <v>24615.0</v>
      </c>
      <c r="D561" s="35">
        <v>200.0</v>
      </c>
      <c r="E561" s="37">
        <v>12.9</v>
      </c>
      <c r="F561" s="38">
        <f t="shared" si="2"/>
        <v>2580</v>
      </c>
      <c r="G561" s="35" t="s">
        <v>2753</v>
      </c>
      <c r="H561" s="35" t="s">
        <v>2754</v>
      </c>
      <c r="I561" s="35" t="s">
        <v>240</v>
      </c>
      <c r="J561" s="35" t="s">
        <v>34</v>
      </c>
      <c r="K561" s="35" t="s">
        <v>35</v>
      </c>
      <c r="L561" s="35" t="s">
        <v>96</v>
      </c>
      <c r="M561" s="39">
        <v>1.0</v>
      </c>
      <c r="N561" s="40">
        <v>46227.0</v>
      </c>
      <c r="O561" s="42" t="b">
        <v>1</v>
      </c>
      <c r="P561" s="44">
        <v>46231.0</v>
      </c>
      <c r="Q561" s="34"/>
      <c r="R561" s="33"/>
      <c r="S561" s="34"/>
      <c r="T561" s="34"/>
    </row>
    <row r="562" ht="15.75" customHeight="1">
      <c r="B562" s="33">
        <v>46226.0</v>
      </c>
      <c r="C562" s="35">
        <v>24598.0</v>
      </c>
      <c r="D562" s="35">
        <v>50.0</v>
      </c>
      <c r="E562" s="37">
        <v>5.99</v>
      </c>
      <c r="F562" s="38">
        <f t="shared" si="2"/>
        <v>299.5</v>
      </c>
      <c r="G562" s="35" t="s">
        <v>2757</v>
      </c>
      <c r="H562" s="35" t="s">
        <v>2758</v>
      </c>
      <c r="I562" s="35" t="s">
        <v>240</v>
      </c>
      <c r="J562" s="35" t="s">
        <v>1036</v>
      </c>
      <c r="K562" s="35" t="s">
        <v>1037</v>
      </c>
      <c r="L562" s="35" t="s">
        <v>96</v>
      </c>
      <c r="M562" s="39">
        <v>1.0</v>
      </c>
      <c r="N562" s="40">
        <v>46227.0</v>
      </c>
      <c r="O562" s="42" t="b">
        <v>1</v>
      </c>
      <c r="P562" s="44">
        <v>46230.0</v>
      </c>
      <c r="Q562" s="34"/>
      <c r="R562" s="33"/>
      <c r="S562" s="34"/>
      <c r="T562" s="34"/>
    </row>
    <row r="563" ht="15.75" customHeight="1">
      <c r="B563" s="33">
        <v>46226.0</v>
      </c>
      <c r="C563" s="35">
        <v>24598.0</v>
      </c>
      <c r="D563" s="35">
        <v>100.0</v>
      </c>
      <c r="E563" s="37">
        <v>8.99</v>
      </c>
      <c r="F563" s="38">
        <f t="shared" si="2"/>
        <v>899</v>
      </c>
      <c r="G563" s="35" t="s">
        <v>670</v>
      </c>
      <c r="H563" s="35" t="s">
        <v>671</v>
      </c>
      <c r="I563" s="35" t="s">
        <v>240</v>
      </c>
      <c r="J563" s="35" t="s">
        <v>1036</v>
      </c>
      <c r="K563" s="35" t="s">
        <v>1037</v>
      </c>
      <c r="L563" s="35" t="s">
        <v>96</v>
      </c>
      <c r="M563" s="39">
        <v>1.0</v>
      </c>
      <c r="N563" s="40">
        <v>46227.0</v>
      </c>
      <c r="O563" s="42" t="b">
        <v>1</v>
      </c>
      <c r="P563" s="44">
        <v>46230.0</v>
      </c>
      <c r="Q563" s="34"/>
      <c r="R563" s="34"/>
      <c r="S563" s="34"/>
      <c r="T563" s="34"/>
    </row>
    <row r="564" ht="15.75" customHeight="1">
      <c r="B564" s="33">
        <v>46226.0</v>
      </c>
      <c r="C564" s="35">
        <v>24598.0</v>
      </c>
      <c r="D564" s="35">
        <v>10.0</v>
      </c>
      <c r="E564" s="37">
        <v>43.9</v>
      </c>
      <c r="F564" s="38">
        <f t="shared" si="2"/>
        <v>439</v>
      </c>
      <c r="G564" s="35" t="s">
        <v>2766</v>
      </c>
      <c r="H564" s="35" t="s">
        <v>2767</v>
      </c>
      <c r="I564" s="35" t="s">
        <v>240</v>
      </c>
      <c r="J564" s="35" t="s">
        <v>1036</v>
      </c>
      <c r="K564" s="35" t="s">
        <v>1037</v>
      </c>
      <c r="L564" s="35" t="s">
        <v>96</v>
      </c>
      <c r="M564" s="39">
        <v>1.0</v>
      </c>
      <c r="N564" s="40">
        <v>46227.0</v>
      </c>
      <c r="O564" s="42" t="b">
        <v>1</v>
      </c>
      <c r="P564" s="44">
        <v>46230.0</v>
      </c>
      <c r="Q564" s="34"/>
      <c r="R564" s="34"/>
      <c r="S564" s="34"/>
      <c r="T564" s="34"/>
    </row>
    <row r="565" ht="15.75" customHeight="1">
      <c r="B565" s="33">
        <v>46226.0</v>
      </c>
      <c r="C565" s="35">
        <v>24598.0</v>
      </c>
      <c r="D565" s="35">
        <v>50.0</v>
      </c>
      <c r="E565" s="37">
        <v>13.9</v>
      </c>
      <c r="F565" s="38">
        <f t="shared" si="2"/>
        <v>695</v>
      </c>
      <c r="G565" s="35" t="s">
        <v>2769</v>
      </c>
      <c r="H565" s="35" t="s">
        <v>2770</v>
      </c>
      <c r="I565" s="35" t="s">
        <v>240</v>
      </c>
      <c r="J565" s="35" t="s">
        <v>1036</v>
      </c>
      <c r="K565" s="35" t="s">
        <v>1037</v>
      </c>
      <c r="L565" s="35" t="s">
        <v>96</v>
      </c>
      <c r="M565" s="39">
        <v>1.0</v>
      </c>
      <c r="N565" s="40">
        <v>46227.0</v>
      </c>
      <c r="O565" s="42" t="b">
        <v>1</v>
      </c>
      <c r="P565" s="44">
        <v>46230.0</v>
      </c>
      <c r="Q565" s="34"/>
      <c r="R565" s="34"/>
      <c r="S565" s="34"/>
      <c r="T565" s="34"/>
    </row>
    <row r="566" ht="15.75" customHeight="1">
      <c r="B566" s="33">
        <v>46226.0</v>
      </c>
      <c r="C566" s="35">
        <v>24598.0</v>
      </c>
      <c r="D566" s="35">
        <v>20.0</v>
      </c>
      <c r="E566" s="37">
        <v>25.9</v>
      </c>
      <c r="F566" s="38">
        <f t="shared" si="2"/>
        <v>518</v>
      </c>
      <c r="G566" s="35" t="s">
        <v>2773</v>
      </c>
      <c r="H566" s="35" t="s">
        <v>2776</v>
      </c>
      <c r="I566" s="35" t="s">
        <v>240</v>
      </c>
      <c r="J566" s="35" t="s">
        <v>1036</v>
      </c>
      <c r="K566" s="35" t="s">
        <v>1037</v>
      </c>
      <c r="L566" s="35" t="s">
        <v>96</v>
      </c>
      <c r="M566" s="39">
        <v>1.0</v>
      </c>
      <c r="N566" s="40">
        <v>46227.0</v>
      </c>
      <c r="O566" s="42" t="b">
        <v>1</v>
      </c>
      <c r="P566" s="44">
        <v>46230.0</v>
      </c>
      <c r="Q566" s="34"/>
      <c r="R566" s="34"/>
      <c r="S566" s="34"/>
      <c r="T566" s="34"/>
    </row>
    <row r="567" ht="15.75" customHeight="1">
      <c r="B567" s="33">
        <v>46226.0</v>
      </c>
      <c r="C567" s="35">
        <v>24598.0</v>
      </c>
      <c r="D567" s="35">
        <v>100.0</v>
      </c>
      <c r="E567" s="37">
        <v>6.99</v>
      </c>
      <c r="F567" s="38">
        <f t="shared" si="2"/>
        <v>699</v>
      </c>
      <c r="G567" s="35" t="s">
        <v>2778</v>
      </c>
      <c r="H567" s="35" t="s">
        <v>2782</v>
      </c>
      <c r="I567" s="35" t="s">
        <v>240</v>
      </c>
      <c r="J567" s="35" t="s">
        <v>1036</v>
      </c>
      <c r="K567" s="35" t="s">
        <v>1037</v>
      </c>
      <c r="L567" s="35" t="s">
        <v>96</v>
      </c>
      <c r="M567" s="39">
        <v>1.0</v>
      </c>
      <c r="N567" s="40">
        <v>46227.0</v>
      </c>
      <c r="O567" s="42" t="b">
        <v>1</v>
      </c>
      <c r="P567" s="44">
        <v>46230.0</v>
      </c>
      <c r="Q567" s="34"/>
      <c r="R567" s="34"/>
      <c r="S567" s="34"/>
      <c r="T567" s="34"/>
    </row>
    <row r="568" ht="15.75" customHeight="1">
      <c r="B568" s="33">
        <v>46226.0</v>
      </c>
      <c r="C568" s="35">
        <v>24598.0</v>
      </c>
      <c r="D568" s="35">
        <v>10.0</v>
      </c>
      <c r="E568" s="37">
        <v>129.9</v>
      </c>
      <c r="F568" s="38">
        <f t="shared" si="2"/>
        <v>1299</v>
      </c>
      <c r="G568" s="35" t="s">
        <v>2783</v>
      </c>
      <c r="H568" s="35" t="s">
        <v>523</v>
      </c>
      <c r="I568" s="35" t="s">
        <v>240</v>
      </c>
      <c r="J568" s="35" t="s">
        <v>1036</v>
      </c>
      <c r="K568" s="35" t="s">
        <v>1037</v>
      </c>
      <c r="L568" s="35" t="s">
        <v>96</v>
      </c>
      <c r="M568" s="39">
        <v>1.0</v>
      </c>
      <c r="N568" s="40">
        <v>46227.0</v>
      </c>
      <c r="O568" s="42" t="b">
        <v>1</v>
      </c>
      <c r="P568" s="44">
        <v>46230.0</v>
      </c>
      <c r="Q568" s="34"/>
      <c r="R568" s="34"/>
      <c r="S568" s="34"/>
      <c r="T568" s="34"/>
    </row>
    <row r="569" ht="15.75" customHeight="1">
      <c r="B569" s="33">
        <v>46226.0</v>
      </c>
      <c r="C569" s="35">
        <v>17314.0</v>
      </c>
      <c r="D569" s="35">
        <v>2000.0</v>
      </c>
      <c r="E569" s="37">
        <v>159.0</v>
      </c>
      <c r="F569" s="38">
        <f t="shared" si="2"/>
        <v>318000</v>
      </c>
      <c r="G569" s="35" t="s">
        <v>883</v>
      </c>
      <c r="H569" s="35" t="s">
        <v>883</v>
      </c>
      <c r="I569" s="35" t="s">
        <v>41</v>
      </c>
      <c r="J569" s="35" t="s">
        <v>40</v>
      </c>
      <c r="K569" s="35" t="s">
        <v>35</v>
      </c>
      <c r="L569" s="35" t="s">
        <v>877</v>
      </c>
      <c r="M569" s="39">
        <v>1.0</v>
      </c>
      <c r="N569" s="40">
        <v>46222.0</v>
      </c>
      <c r="O569" s="42" t="b">
        <v>0</v>
      </c>
      <c r="P569" s="44">
        <v>46223.0</v>
      </c>
      <c r="Q569" s="34"/>
      <c r="R569" s="34"/>
      <c r="S569" s="34"/>
      <c r="T569" s="34"/>
    </row>
    <row r="570" ht="15.75" customHeight="1">
      <c r="B570" s="33">
        <v>46226.0</v>
      </c>
      <c r="C570" s="35">
        <v>15285.0</v>
      </c>
      <c r="D570" s="35">
        <v>120.0</v>
      </c>
      <c r="E570" s="37">
        <v>243.0</v>
      </c>
      <c r="F570" s="38">
        <f t="shared" si="2"/>
        <v>29160</v>
      </c>
      <c r="G570" s="35" t="s">
        <v>2788</v>
      </c>
      <c r="H570" s="35" t="s">
        <v>2789</v>
      </c>
      <c r="I570" s="35" t="s">
        <v>237</v>
      </c>
      <c r="J570" s="35" t="s">
        <v>175</v>
      </c>
      <c r="K570" s="35" t="s">
        <v>35</v>
      </c>
      <c r="L570" s="35" t="s">
        <v>87</v>
      </c>
      <c r="M570" s="39">
        <v>1.0</v>
      </c>
      <c r="N570" s="40">
        <v>46226.0</v>
      </c>
      <c r="O570" s="42" t="b">
        <v>1</v>
      </c>
      <c r="P570" s="44">
        <v>46227.0</v>
      </c>
      <c r="Q570" s="34"/>
      <c r="R570" s="34"/>
      <c r="S570" s="34"/>
      <c r="T570" s="34"/>
    </row>
    <row r="571" ht="15.75" customHeight="1">
      <c r="B571" s="33">
        <v>46226.0</v>
      </c>
      <c r="C571" s="35" t="s">
        <v>35</v>
      </c>
      <c r="D571" s="35">
        <v>1.0</v>
      </c>
      <c r="E571" s="37">
        <v>310.0</v>
      </c>
      <c r="F571" s="38">
        <f t="shared" si="2"/>
        <v>310</v>
      </c>
      <c r="G571" s="35" t="s">
        <v>2792</v>
      </c>
      <c r="H571" s="35" t="s">
        <v>35</v>
      </c>
      <c r="I571" s="35" t="s">
        <v>221</v>
      </c>
      <c r="J571" s="35" t="s">
        <v>34</v>
      </c>
      <c r="K571" s="35" t="s">
        <v>35</v>
      </c>
      <c r="L571" s="35" t="s">
        <v>2794</v>
      </c>
      <c r="M571" s="39">
        <v>31.0</v>
      </c>
      <c r="N571" s="40">
        <v>46226.0</v>
      </c>
      <c r="O571" s="42" t="b">
        <v>1</v>
      </c>
      <c r="P571" s="44">
        <v>46227.0</v>
      </c>
      <c r="Q571" s="34"/>
      <c r="R571" s="34"/>
      <c r="S571" s="34"/>
      <c r="T571" s="34"/>
    </row>
    <row r="572" ht="15.75" customHeight="1">
      <c r="B572" s="33">
        <v>46226.0</v>
      </c>
      <c r="C572" s="35" t="s">
        <v>35</v>
      </c>
      <c r="D572" s="35">
        <v>10.0</v>
      </c>
      <c r="E572" s="37">
        <v>290.0</v>
      </c>
      <c r="F572" s="38">
        <f t="shared" si="2"/>
        <v>2900</v>
      </c>
      <c r="G572" s="35" t="s">
        <v>2798</v>
      </c>
      <c r="H572" s="35" t="s">
        <v>35</v>
      </c>
      <c r="I572" s="35" t="s">
        <v>41</v>
      </c>
      <c r="J572" s="35" t="s">
        <v>34</v>
      </c>
      <c r="K572" s="35" t="s">
        <v>35</v>
      </c>
      <c r="L572" s="35" t="s">
        <v>2794</v>
      </c>
      <c r="M572" s="39">
        <v>31.0</v>
      </c>
      <c r="N572" s="40">
        <v>46226.0</v>
      </c>
      <c r="O572" s="42" t="b">
        <v>0</v>
      </c>
      <c r="P572" s="44">
        <v>46227.0</v>
      </c>
      <c r="Q572" s="34"/>
      <c r="R572" s="34"/>
      <c r="S572" s="34"/>
      <c r="T572" s="34"/>
    </row>
    <row r="573" ht="15.75" customHeight="1">
      <c r="B573" s="33">
        <v>46226.0</v>
      </c>
      <c r="C573" s="35" t="s">
        <v>35</v>
      </c>
      <c r="D573" s="35">
        <v>1.0</v>
      </c>
      <c r="E573" s="37">
        <v>1000.0</v>
      </c>
      <c r="F573" s="38">
        <f t="shared" si="2"/>
        <v>1000</v>
      </c>
      <c r="G573" s="35" t="s">
        <v>2803</v>
      </c>
      <c r="H573" s="35" t="s">
        <v>35</v>
      </c>
      <c r="I573" s="35" t="s">
        <v>41</v>
      </c>
      <c r="J573" s="35" t="s">
        <v>34</v>
      </c>
      <c r="K573" s="35" t="s">
        <v>35</v>
      </c>
      <c r="L573" s="35" t="s">
        <v>2794</v>
      </c>
      <c r="M573" s="39">
        <v>31.0</v>
      </c>
      <c r="N573" s="40">
        <v>46226.0</v>
      </c>
      <c r="O573" s="42" t="b">
        <v>0</v>
      </c>
      <c r="P573" s="44">
        <v>46227.0</v>
      </c>
      <c r="Q573" s="34"/>
      <c r="R573" s="34"/>
      <c r="S573" s="34"/>
      <c r="T573" s="34"/>
    </row>
    <row r="574" ht="15.75" customHeight="1">
      <c r="B574" s="33">
        <v>46226.0</v>
      </c>
      <c r="C574" s="35" t="s">
        <v>35</v>
      </c>
      <c r="D574" s="35">
        <v>60.0</v>
      </c>
      <c r="E574" s="37">
        <v>440.44</v>
      </c>
      <c r="F574" s="38">
        <f t="shared" si="2"/>
        <v>26426.4</v>
      </c>
      <c r="G574" s="35" t="s">
        <v>2806</v>
      </c>
      <c r="H574" s="35" t="s">
        <v>35</v>
      </c>
      <c r="I574" s="35" t="s">
        <v>32</v>
      </c>
      <c r="J574" s="35" t="s">
        <v>34</v>
      </c>
      <c r="K574" s="35" t="s">
        <v>35</v>
      </c>
      <c r="L574" s="35" t="s">
        <v>711</v>
      </c>
      <c r="M574" s="39">
        <v>31.0</v>
      </c>
      <c r="N574" s="51" t="str">
        <f t="shared" ref="N574:N575" si="3">IF(B574&lt;TODAY()-2,"ATRASADO","EM DIA")</f>
        <v>ATRASADO</v>
      </c>
      <c r="O574" s="42" t="b">
        <v>0</v>
      </c>
      <c r="P574" s="44">
        <v>46247.0</v>
      </c>
      <c r="Q574" s="34"/>
      <c r="R574" s="33">
        <v>46227.0</v>
      </c>
      <c r="S574" s="34"/>
      <c r="T574" s="34"/>
    </row>
    <row r="575" ht="15.75" customHeight="1">
      <c r="B575" s="33">
        <v>46226.0</v>
      </c>
      <c r="C575" s="35" t="s">
        <v>35</v>
      </c>
      <c r="D575" s="35">
        <v>40.0</v>
      </c>
      <c r="E575" s="37">
        <v>440.44</v>
      </c>
      <c r="F575" s="38">
        <f t="shared" si="2"/>
        <v>17617.6</v>
      </c>
      <c r="G575" s="35" t="s">
        <v>2806</v>
      </c>
      <c r="H575" s="35" t="s">
        <v>35</v>
      </c>
      <c r="I575" s="35" t="s">
        <v>41</v>
      </c>
      <c r="J575" s="35" t="s">
        <v>34</v>
      </c>
      <c r="K575" s="35" t="s">
        <v>35</v>
      </c>
      <c r="L575" s="35" t="s">
        <v>711</v>
      </c>
      <c r="M575" s="39">
        <v>31.0</v>
      </c>
      <c r="N575" s="51" t="str">
        <f t="shared" si="3"/>
        <v>ATRASADO</v>
      </c>
      <c r="O575" s="42" t="b">
        <v>0</v>
      </c>
      <c r="P575" s="44">
        <v>46247.0</v>
      </c>
      <c r="Q575" s="34"/>
      <c r="R575" s="33">
        <v>46227.0</v>
      </c>
      <c r="S575" s="34"/>
      <c r="T575" s="34"/>
    </row>
    <row r="576" ht="15.75" customHeight="1">
      <c r="B576" s="33">
        <v>46227.0</v>
      </c>
      <c r="C576" s="35">
        <v>24789.0</v>
      </c>
      <c r="D576" s="35">
        <v>1.0</v>
      </c>
      <c r="E576" s="37">
        <v>17.99</v>
      </c>
      <c r="F576" s="38">
        <f t="shared" si="2"/>
        <v>17.99</v>
      </c>
      <c r="G576" s="35" t="s">
        <v>2815</v>
      </c>
      <c r="H576" s="35" t="s">
        <v>2816</v>
      </c>
      <c r="I576" s="35" t="s">
        <v>240</v>
      </c>
      <c r="J576" s="35" t="s">
        <v>34</v>
      </c>
      <c r="K576" s="35" t="s">
        <v>35</v>
      </c>
      <c r="L576" s="35" t="s">
        <v>96</v>
      </c>
      <c r="M576" s="39">
        <v>31.0</v>
      </c>
      <c r="N576" s="44">
        <v>46227.0</v>
      </c>
      <c r="O576" s="42" t="b">
        <v>1</v>
      </c>
      <c r="P576" s="44">
        <v>46231.0</v>
      </c>
      <c r="Q576" s="34"/>
      <c r="R576" s="34"/>
      <c r="S576" s="34"/>
      <c r="T576" s="34"/>
    </row>
    <row r="577" ht="15.75" customHeight="1">
      <c r="B577" s="33">
        <v>46227.0</v>
      </c>
      <c r="C577" s="35">
        <v>24789.0</v>
      </c>
      <c r="D577" s="35">
        <v>99.0</v>
      </c>
      <c r="E577" s="37">
        <v>17.99</v>
      </c>
      <c r="F577" s="38">
        <f t="shared" si="2"/>
        <v>1781.01</v>
      </c>
      <c r="G577" s="35" t="s">
        <v>2815</v>
      </c>
      <c r="H577" s="35" t="s">
        <v>2816</v>
      </c>
      <c r="I577" s="35" t="s">
        <v>240</v>
      </c>
      <c r="J577" s="35" t="s">
        <v>40</v>
      </c>
      <c r="K577" s="35" t="s">
        <v>35</v>
      </c>
      <c r="L577" s="35" t="s">
        <v>96</v>
      </c>
      <c r="M577" s="39">
        <v>31.0</v>
      </c>
      <c r="N577" s="44">
        <v>46227.0</v>
      </c>
      <c r="O577" s="42" t="b">
        <v>1</v>
      </c>
      <c r="P577" s="44">
        <v>46231.0</v>
      </c>
      <c r="Q577" s="34"/>
      <c r="R577" s="34"/>
      <c r="S577" s="34"/>
      <c r="T577" s="34"/>
    </row>
    <row r="578" ht="15.75" customHeight="1">
      <c r="B578" s="33">
        <v>46227.0</v>
      </c>
      <c r="C578" s="35">
        <v>24788.0</v>
      </c>
      <c r="D578" s="35">
        <v>8.0</v>
      </c>
      <c r="E578" s="37">
        <v>239.9</v>
      </c>
      <c r="F578" s="38">
        <f t="shared" si="2"/>
        <v>1919.2</v>
      </c>
      <c r="G578" s="35" t="s">
        <v>2824</v>
      </c>
      <c r="H578" s="35" t="s">
        <v>2825</v>
      </c>
      <c r="I578" s="35" t="s">
        <v>240</v>
      </c>
      <c r="J578" s="35" t="s">
        <v>40</v>
      </c>
      <c r="K578" s="35" t="s">
        <v>35</v>
      </c>
      <c r="L578" s="35" t="s">
        <v>96</v>
      </c>
      <c r="M578" s="39">
        <v>1.0</v>
      </c>
      <c r="N578" s="40">
        <v>46227.0</v>
      </c>
      <c r="O578" s="42" t="b">
        <v>1</v>
      </c>
      <c r="P578" s="44">
        <v>46231.0</v>
      </c>
      <c r="Q578" s="34"/>
      <c r="R578" s="34"/>
      <c r="S578" s="34"/>
      <c r="T578" s="34"/>
    </row>
    <row r="579" ht="15.75" customHeight="1">
      <c r="B579" s="33">
        <v>46227.0</v>
      </c>
      <c r="C579" s="46" t="s">
        <v>2829</v>
      </c>
      <c r="D579" s="35">
        <v>20.0</v>
      </c>
      <c r="E579" s="37">
        <v>306.0</v>
      </c>
      <c r="F579" s="38">
        <f t="shared" si="2"/>
        <v>6120</v>
      </c>
      <c r="G579" s="35" t="s">
        <v>2830</v>
      </c>
      <c r="H579" s="35" t="s">
        <v>2831</v>
      </c>
      <c r="I579" s="35" t="s">
        <v>59</v>
      </c>
      <c r="J579" s="35" t="s">
        <v>34</v>
      </c>
      <c r="K579" s="35" t="s">
        <v>35</v>
      </c>
      <c r="L579" s="35" t="s">
        <v>46</v>
      </c>
      <c r="M579" s="39">
        <v>1.0</v>
      </c>
      <c r="N579" s="40">
        <v>46227.0</v>
      </c>
      <c r="O579" s="42" t="b">
        <v>1</v>
      </c>
      <c r="P579" s="44">
        <v>46227.0</v>
      </c>
      <c r="Q579" s="34"/>
      <c r="R579" s="34"/>
      <c r="S579" s="34"/>
      <c r="T579" s="34"/>
    </row>
    <row r="580" ht="15.75" customHeight="1">
      <c r="B580" s="33">
        <v>46227.0</v>
      </c>
      <c r="C580" s="46" t="s">
        <v>2834</v>
      </c>
      <c r="D580" s="35">
        <v>8.0</v>
      </c>
      <c r="E580" s="37">
        <v>360.0</v>
      </c>
      <c r="F580" s="38">
        <f t="shared" si="2"/>
        <v>2880</v>
      </c>
      <c r="G580" s="35" t="s">
        <v>449</v>
      </c>
      <c r="H580" s="35" t="s">
        <v>2836</v>
      </c>
      <c r="I580" s="35" t="s">
        <v>59</v>
      </c>
      <c r="J580" s="35" t="s">
        <v>34</v>
      </c>
      <c r="K580" s="35" t="s">
        <v>35</v>
      </c>
      <c r="L580" s="35" t="s">
        <v>151</v>
      </c>
      <c r="M580" s="39">
        <v>31.0</v>
      </c>
      <c r="N580" s="44">
        <v>46227.0</v>
      </c>
      <c r="O580" s="42" t="b">
        <v>1</v>
      </c>
      <c r="P580" s="44">
        <v>46227.0</v>
      </c>
      <c r="Q580" s="34"/>
      <c r="R580" s="34"/>
      <c r="S580" s="34"/>
      <c r="T580" s="34"/>
    </row>
    <row r="581" ht="15.75" customHeight="1">
      <c r="B581" s="33">
        <v>46227.0</v>
      </c>
      <c r="C581" s="46" t="s">
        <v>2834</v>
      </c>
      <c r="D581" s="35">
        <v>4.0</v>
      </c>
      <c r="E581" s="37">
        <v>290.0</v>
      </c>
      <c r="F581" s="38">
        <f t="shared" si="2"/>
        <v>1160</v>
      </c>
      <c r="G581" s="35" t="s">
        <v>449</v>
      </c>
      <c r="H581" s="35" t="s">
        <v>2837</v>
      </c>
      <c r="I581" s="35" t="s">
        <v>59</v>
      </c>
      <c r="J581" s="35" t="s">
        <v>34</v>
      </c>
      <c r="K581" s="35" t="s">
        <v>35</v>
      </c>
      <c r="L581" s="35" t="s">
        <v>151</v>
      </c>
      <c r="M581" s="39">
        <v>31.0</v>
      </c>
      <c r="N581" s="44">
        <v>46227.0</v>
      </c>
      <c r="O581" s="42" t="b">
        <v>1</v>
      </c>
      <c r="P581" s="44">
        <v>46227.0</v>
      </c>
      <c r="Q581" s="34"/>
      <c r="R581" s="34"/>
      <c r="S581" s="34"/>
      <c r="T581" s="34"/>
    </row>
    <row r="582" ht="15.75" customHeight="1">
      <c r="B582" s="33">
        <v>46227.0</v>
      </c>
      <c r="C582" s="35">
        <v>15474.0</v>
      </c>
      <c r="D582" s="35">
        <v>60.0</v>
      </c>
      <c r="E582" s="37">
        <v>285.0</v>
      </c>
      <c r="F582" s="38">
        <f t="shared" si="2"/>
        <v>17100</v>
      </c>
      <c r="G582" s="35" t="s">
        <v>2838</v>
      </c>
      <c r="H582" s="35" t="s">
        <v>1158</v>
      </c>
      <c r="I582" s="35" t="s">
        <v>59</v>
      </c>
      <c r="J582" s="35" t="s">
        <v>40</v>
      </c>
      <c r="K582" s="35" t="s">
        <v>35</v>
      </c>
      <c r="L582" s="35" t="s">
        <v>87</v>
      </c>
      <c r="M582" s="39">
        <v>1.0</v>
      </c>
      <c r="N582" s="40">
        <v>46232.0</v>
      </c>
      <c r="O582" s="42" t="b">
        <v>0</v>
      </c>
      <c r="P582" s="44">
        <v>46233.0</v>
      </c>
      <c r="Q582" s="34"/>
      <c r="R582" s="34"/>
      <c r="S582" s="34"/>
      <c r="T582" s="34"/>
    </row>
    <row r="583" ht="15.75" customHeight="1">
      <c r="B583" s="33">
        <v>46227.0</v>
      </c>
      <c r="C583" s="35">
        <v>15475.0</v>
      </c>
      <c r="D583" s="35">
        <v>50.0</v>
      </c>
      <c r="E583" s="37">
        <v>24.3</v>
      </c>
      <c r="F583" s="38">
        <f t="shared" si="2"/>
        <v>1215</v>
      </c>
      <c r="G583" s="35" t="s">
        <v>2839</v>
      </c>
      <c r="H583" s="35" t="s">
        <v>2840</v>
      </c>
      <c r="I583" s="35" t="s">
        <v>174</v>
      </c>
      <c r="J583" s="35" t="s">
        <v>175</v>
      </c>
      <c r="K583" s="35" t="s">
        <v>35</v>
      </c>
      <c r="L583" s="35" t="s">
        <v>87</v>
      </c>
      <c r="M583" s="39">
        <v>1.0</v>
      </c>
      <c r="N583" s="40">
        <v>46230.0</v>
      </c>
      <c r="O583" s="42" t="b">
        <v>1</v>
      </c>
      <c r="P583" s="44">
        <v>46232.0</v>
      </c>
      <c r="Q583" s="34"/>
      <c r="R583" s="34"/>
      <c r="S583" s="34"/>
      <c r="T583" s="34"/>
    </row>
    <row r="584" ht="15.75" customHeight="1">
      <c r="B584" s="33">
        <v>46227.0</v>
      </c>
      <c r="C584" s="35">
        <v>15476.0</v>
      </c>
      <c r="D584" s="35">
        <v>20.0</v>
      </c>
      <c r="E584" s="37">
        <v>330.0</v>
      </c>
      <c r="F584" s="38">
        <f t="shared" si="2"/>
        <v>6600</v>
      </c>
      <c r="G584" s="35" t="s">
        <v>1822</v>
      </c>
      <c r="H584" s="35" t="s">
        <v>506</v>
      </c>
      <c r="I584" s="35" t="s">
        <v>59</v>
      </c>
      <c r="J584" s="35" t="s">
        <v>34</v>
      </c>
      <c r="K584" s="35" t="s">
        <v>35</v>
      </c>
      <c r="L584" s="35" t="s">
        <v>87</v>
      </c>
      <c r="M584" s="39">
        <v>1.0</v>
      </c>
      <c r="N584" s="40">
        <v>46227.0</v>
      </c>
      <c r="O584" s="42" t="b">
        <v>1</v>
      </c>
      <c r="P584" s="44">
        <v>46227.0</v>
      </c>
      <c r="Q584" s="34"/>
      <c r="R584" s="34"/>
      <c r="S584" s="34"/>
      <c r="T584" s="34"/>
    </row>
    <row r="585" ht="15.75" customHeight="1">
      <c r="B585" s="33">
        <v>46227.0</v>
      </c>
      <c r="C585" s="35">
        <v>15477.0</v>
      </c>
      <c r="D585" s="35">
        <v>40.0</v>
      </c>
      <c r="E585" s="37">
        <v>140.0</v>
      </c>
      <c r="F585" s="38">
        <f t="shared" si="2"/>
        <v>5600</v>
      </c>
      <c r="G585" s="35" t="s">
        <v>2844</v>
      </c>
      <c r="H585" s="35" t="s">
        <v>2845</v>
      </c>
      <c r="I585" s="35" t="s">
        <v>59</v>
      </c>
      <c r="J585" s="35" t="s">
        <v>34</v>
      </c>
      <c r="K585" s="35" t="s">
        <v>35</v>
      </c>
      <c r="L585" s="35" t="s">
        <v>87</v>
      </c>
      <c r="M585" s="39">
        <v>1.0</v>
      </c>
      <c r="N585" s="40">
        <v>46227.0</v>
      </c>
      <c r="O585" s="42" t="b">
        <v>1</v>
      </c>
      <c r="P585" s="44">
        <v>46227.0</v>
      </c>
      <c r="Q585" s="34"/>
      <c r="R585" s="34"/>
      <c r="S585" s="34"/>
      <c r="T585" s="34"/>
    </row>
    <row r="586" ht="15.75" customHeight="1">
      <c r="B586" s="33">
        <v>46227.0</v>
      </c>
      <c r="C586" s="46" t="s">
        <v>2846</v>
      </c>
      <c r="D586" s="35">
        <v>100.0</v>
      </c>
      <c r="E586" s="37">
        <v>85.5</v>
      </c>
      <c r="F586" s="38">
        <f t="shared" si="2"/>
        <v>8550</v>
      </c>
      <c r="G586" s="35" t="s">
        <v>163</v>
      </c>
      <c r="H586" s="35" t="s">
        <v>164</v>
      </c>
      <c r="I586" s="35" t="s">
        <v>32</v>
      </c>
      <c r="J586" s="35" t="s">
        <v>40</v>
      </c>
      <c r="K586" s="35" t="s">
        <v>35</v>
      </c>
      <c r="L586" s="35" t="s">
        <v>46</v>
      </c>
      <c r="M586" s="39">
        <v>1.0</v>
      </c>
      <c r="N586" s="40">
        <v>46232.0</v>
      </c>
      <c r="O586" s="42" t="b">
        <v>0</v>
      </c>
      <c r="P586" s="44">
        <v>46233.0</v>
      </c>
      <c r="Q586" s="34"/>
      <c r="R586" s="33"/>
      <c r="S586" s="34"/>
      <c r="T586" s="34"/>
    </row>
    <row r="587" ht="15.75" customHeight="1">
      <c r="B587" s="33">
        <v>46227.0</v>
      </c>
      <c r="C587" s="35">
        <v>24889.0</v>
      </c>
      <c r="D587" s="35">
        <v>10.0</v>
      </c>
      <c r="E587" s="37">
        <v>79.9</v>
      </c>
      <c r="F587" s="38">
        <f t="shared" si="2"/>
        <v>799</v>
      </c>
      <c r="G587" s="35" t="s">
        <v>2262</v>
      </c>
      <c r="H587" s="35" t="s">
        <v>2263</v>
      </c>
      <c r="I587" s="35" t="s">
        <v>41</v>
      </c>
      <c r="J587" s="35" t="s">
        <v>34</v>
      </c>
      <c r="K587" s="35" t="s">
        <v>35</v>
      </c>
      <c r="L587" s="35" t="s">
        <v>96</v>
      </c>
      <c r="M587" s="39">
        <v>31.0</v>
      </c>
      <c r="N587" s="40">
        <v>46227.0</v>
      </c>
      <c r="O587" s="42" t="b">
        <v>0</v>
      </c>
      <c r="P587" s="44"/>
      <c r="Q587" s="34"/>
      <c r="R587" s="34"/>
      <c r="S587" s="34"/>
      <c r="T587" s="34"/>
    </row>
    <row r="588" ht="15.75" customHeight="1">
      <c r="B588" s="33">
        <v>46227.0</v>
      </c>
      <c r="C588" s="35">
        <v>24889.0</v>
      </c>
      <c r="D588" s="35">
        <v>6.0</v>
      </c>
      <c r="E588" s="37">
        <v>139.9</v>
      </c>
      <c r="F588" s="38">
        <f t="shared" si="2"/>
        <v>839.4</v>
      </c>
      <c r="G588" s="35" t="s">
        <v>540</v>
      </c>
      <c r="H588" s="35" t="s">
        <v>541</v>
      </c>
      <c r="I588" s="35" t="s">
        <v>41</v>
      </c>
      <c r="J588" s="35" t="s">
        <v>34</v>
      </c>
      <c r="K588" s="35" t="s">
        <v>35</v>
      </c>
      <c r="L588" s="35" t="s">
        <v>96</v>
      </c>
      <c r="M588" s="39">
        <v>31.0</v>
      </c>
      <c r="N588" s="40">
        <v>46227.0</v>
      </c>
      <c r="O588" s="42" t="b">
        <v>0</v>
      </c>
      <c r="P588" s="44"/>
      <c r="Q588" s="34"/>
      <c r="R588" s="34"/>
      <c r="S588" s="34"/>
      <c r="T588" s="34"/>
    </row>
    <row r="589" ht="15.75" customHeight="1">
      <c r="B589" s="33">
        <v>46227.0</v>
      </c>
      <c r="C589" s="35">
        <v>24889.0</v>
      </c>
      <c r="D589" s="35">
        <v>10.0</v>
      </c>
      <c r="E589" s="37">
        <v>89.9</v>
      </c>
      <c r="F589" s="38">
        <f t="shared" si="2"/>
        <v>899</v>
      </c>
      <c r="G589" s="35" t="s">
        <v>558</v>
      </c>
      <c r="H589" s="35" t="s">
        <v>559</v>
      </c>
      <c r="I589" s="35" t="s">
        <v>41</v>
      </c>
      <c r="J589" s="35" t="s">
        <v>34</v>
      </c>
      <c r="K589" s="35" t="s">
        <v>35</v>
      </c>
      <c r="L589" s="35" t="s">
        <v>96</v>
      </c>
      <c r="M589" s="39">
        <v>31.0</v>
      </c>
      <c r="N589" s="40">
        <v>46227.0</v>
      </c>
      <c r="O589" s="42" t="b">
        <v>0</v>
      </c>
      <c r="P589" s="44"/>
      <c r="Q589" s="34"/>
      <c r="R589" s="33"/>
      <c r="S589" s="34"/>
      <c r="T589" s="34"/>
    </row>
    <row r="590" ht="15.75" customHeight="1">
      <c r="B590" s="33">
        <v>46227.0</v>
      </c>
      <c r="C590" s="35">
        <v>24889.0</v>
      </c>
      <c r="D590" s="35">
        <v>10.0</v>
      </c>
      <c r="E590" s="37">
        <v>79.9</v>
      </c>
      <c r="F590" s="38">
        <f t="shared" si="2"/>
        <v>799</v>
      </c>
      <c r="G590" s="35" t="s">
        <v>569</v>
      </c>
      <c r="H590" s="35" t="s">
        <v>571</v>
      </c>
      <c r="I590" s="35" t="s">
        <v>41</v>
      </c>
      <c r="J590" s="35" t="s">
        <v>34</v>
      </c>
      <c r="K590" s="35" t="s">
        <v>35</v>
      </c>
      <c r="L590" s="35" t="s">
        <v>96</v>
      </c>
      <c r="M590" s="39">
        <v>31.0</v>
      </c>
      <c r="N590" s="40">
        <v>46227.0</v>
      </c>
      <c r="O590" s="42" t="b">
        <v>0</v>
      </c>
      <c r="P590" s="44"/>
      <c r="Q590" s="34"/>
      <c r="R590" s="33"/>
      <c r="S590" s="34"/>
      <c r="T590" s="34"/>
    </row>
    <row r="591" ht="15.75" customHeight="1">
      <c r="B591" s="33">
        <v>46227.0</v>
      </c>
      <c r="C591" s="35">
        <v>24889.0</v>
      </c>
      <c r="D591" s="35">
        <v>20.0</v>
      </c>
      <c r="E591" s="37">
        <v>119.9</v>
      </c>
      <c r="F591" s="38">
        <f t="shared" si="2"/>
        <v>2398</v>
      </c>
      <c r="G591" s="35" t="s">
        <v>2859</v>
      </c>
      <c r="H591" s="35" t="s">
        <v>701</v>
      </c>
      <c r="I591" s="35" t="s">
        <v>41</v>
      </c>
      <c r="J591" s="35" t="s">
        <v>34</v>
      </c>
      <c r="K591" s="35" t="s">
        <v>35</v>
      </c>
      <c r="L591" s="35" t="s">
        <v>96</v>
      </c>
      <c r="M591" s="39">
        <v>31.0</v>
      </c>
      <c r="N591" s="40">
        <v>46227.0</v>
      </c>
      <c r="O591" s="42" t="b">
        <v>0</v>
      </c>
      <c r="P591" s="44"/>
      <c r="Q591" s="34"/>
      <c r="R591" s="34"/>
      <c r="S591" s="34"/>
      <c r="T591" s="34"/>
    </row>
    <row r="592" ht="15.75" customHeight="1">
      <c r="B592" s="33">
        <v>46227.0</v>
      </c>
      <c r="C592" s="35">
        <v>24889.0</v>
      </c>
      <c r="D592" s="35">
        <v>1.0</v>
      </c>
      <c r="E592" s="37">
        <v>379.9</v>
      </c>
      <c r="F592" s="38">
        <f t="shared" si="2"/>
        <v>379.9</v>
      </c>
      <c r="G592" s="35" t="s">
        <v>1217</v>
      </c>
      <c r="H592" s="35" t="s">
        <v>1218</v>
      </c>
      <c r="I592" s="35" t="s">
        <v>41</v>
      </c>
      <c r="J592" s="35" t="s">
        <v>34</v>
      </c>
      <c r="K592" s="35" t="s">
        <v>35</v>
      </c>
      <c r="L592" s="35" t="s">
        <v>96</v>
      </c>
      <c r="M592" s="39">
        <v>31.0</v>
      </c>
      <c r="N592" s="40">
        <v>46227.0</v>
      </c>
      <c r="O592" s="42" t="b">
        <v>0</v>
      </c>
      <c r="P592" s="44"/>
      <c r="Q592" s="34"/>
      <c r="R592" s="34"/>
      <c r="S592" s="34"/>
      <c r="T592" s="34"/>
    </row>
    <row r="593" ht="15.75" customHeight="1">
      <c r="B593" s="33">
        <v>46227.0</v>
      </c>
      <c r="C593" s="35">
        <v>9072.0</v>
      </c>
      <c r="D593" s="35">
        <v>6.0</v>
      </c>
      <c r="E593" s="37">
        <v>1660.0</v>
      </c>
      <c r="F593" s="38">
        <f t="shared" si="2"/>
        <v>9960</v>
      </c>
      <c r="G593" s="35" t="s">
        <v>2866</v>
      </c>
      <c r="H593" s="35" t="s">
        <v>2867</v>
      </c>
      <c r="I593" s="35" t="s">
        <v>237</v>
      </c>
      <c r="J593" s="35" t="s">
        <v>175</v>
      </c>
      <c r="K593" s="35" t="s">
        <v>35</v>
      </c>
      <c r="L593" s="35" t="s">
        <v>81</v>
      </c>
      <c r="M593" s="39">
        <v>31.0</v>
      </c>
      <c r="N593" s="40">
        <v>46231.0</v>
      </c>
      <c r="O593" s="42" t="b">
        <v>0</v>
      </c>
      <c r="P593" s="44">
        <v>46233.0</v>
      </c>
      <c r="Q593" s="34"/>
      <c r="R593" s="34"/>
      <c r="S593" s="34"/>
      <c r="T593" s="34"/>
    </row>
    <row r="594" ht="15.75" customHeight="1">
      <c r="B594" s="33">
        <v>46227.0</v>
      </c>
      <c r="C594" s="35">
        <v>9072.0</v>
      </c>
      <c r="D594" s="35">
        <v>9.0</v>
      </c>
      <c r="E594" s="37">
        <v>1660.0</v>
      </c>
      <c r="F594" s="38">
        <f t="shared" si="2"/>
        <v>14940</v>
      </c>
      <c r="G594" s="35" t="s">
        <v>2872</v>
      </c>
      <c r="H594" s="35" t="s">
        <v>2873</v>
      </c>
      <c r="I594" s="35" t="s">
        <v>237</v>
      </c>
      <c r="J594" s="35" t="s">
        <v>175</v>
      </c>
      <c r="K594" s="35" t="s">
        <v>35</v>
      </c>
      <c r="L594" s="35" t="s">
        <v>81</v>
      </c>
      <c r="M594" s="39">
        <v>31.0</v>
      </c>
      <c r="N594" s="40">
        <v>46231.0</v>
      </c>
      <c r="O594" s="42" t="b">
        <v>0</v>
      </c>
      <c r="P594" s="44">
        <v>46233.0</v>
      </c>
      <c r="Q594" s="34"/>
      <c r="R594" s="34"/>
      <c r="S594" s="34"/>
      <c r="T594" s="34"/>
    </row>
    <row r="595" ht="15.75" customHeight="1">
      <c r="B595" s="33">
        <v>46227.0</v>
      </c>
      <c r="C595" s="35">
        <v>1.0400636E7</v>
      </c>
      <c r="D595" s="35">
        <v>50.0</v>
      </c>
      <c r="E595" s="37">
        <v>529.9</v>
      </c>
      <c r="F595" s="38">
        <f t="shared" si="2"/>
        <v>26495</v>
      </c>
      <c r="G595" s="35" t="s">
        <v>2876</v>
      </c>
      <c r="H595" s="35">
        <v>79117.0</v>
      </c>
      <c r="I595" s="35" t="s">
        <v>237</v>
      </c>
      <c r="J595" s="35" t="s">
        <v>175</v>
      </c>
      <c r="K595" s="35" t="s">
        <v>35</v>
      </c>
      <c r="L595" s="35" t="s">
        <v>1504</v>
      </c>
      <c r="M595" s="39">
        <v>1.0</v>
      </c>
      <c r="N595" s="40">
        <v>46227.0</v>
      </c>
      <c r="O595" s="42" t="b">
        <v>0</v>
      </c>
      <c r="P595" s="44">
        <v>46237.0</v>
      </c>
      <c r="Q595" s="34"/>
      <c r="R595" s="34"/>
      <c r="S595" s="34"/>
      <c r="T595" s="34"/>
    </row>
    <row r="596" ht="15.75" customHeight="1">
      <c r="B596" s="33">
        <v>46230.0</v>
      </c>
      <c r="C596" s="35">
        <v>1.0416478E7</v>
      </c>
      <c r="D596" s="35">
        <v>50.0</v>
      </c>
      <c r="E596" s="37">
        <v>529.9</v>
      </c>
      <c r="F596" s="38">
        <f t="shared" si="2"/>
        <v>26495</v>
      </c>
      <c r="G596" s="35" t="s">
        <v>2876</v>
      </c>
      <c r="H596" s="35">
        <v>79117.0</v>
      </c>
      <c r="I596" s="35" t="s">
        <v>237</v>
      </c>
      <c r="J596" s="35" t="s">
        <v>175</v>
      </c>
      <c r="K596" s="35" t="s">
        <v>35</v>
      </c>
      <c r="L596" s="35" t="s">
        <v>1504</v>
      </c>
      <c r="M596" s="39">
        <v>1.0</v>
      </c>
      <c r="N596" s="40">
        <v>46230.0</v>
      </c>
      <c r="O596" s="42" t="b">
        <v>0</v>
      </c>
      <c r="P596" s="44">
        <v>46237.0</v>
      </c>
      <c r="Q596" s="34"/>
      <c r="R596" s="34"/>
      <c r="S596" s="34"/>
      <c r="T596" s="34"/>
    </row>
    <row r="597" ht="15.75" customHeight="1">
      <c r="B597" s="33">
        <v>46230.0</v>
      </c>
      <c r="C597" s="35" t="s">
        <v>2877</v>
      </c>
      <c r="D597" s="35">
        <v>3.0</v>
      </c>
      <c r="E597" s="37">
        <v>45.0</v>
      </c>
      <c r="F597" s="38">
        <f t="shared" si="2"/>
        <v>135</v>
      </c>
      <c r="G597" s="35" t="s">
        <v>2878</v>
      </c>
      <c r="H597" s="35" t="s">
        <v>35</v>
      </c>
      <c r="I597" s="35" t="s">
        <v>221</v>
      </c>
      <c r="J597" s="35" t="s">
        <v>34</v>
      </c>
      <c r="K597" s="35" t="s">
        <v>35</v>
      </c>
      <c r="L597" s="35" t="s">
        <v>2879</v>
      </c>
      <c r="M597" s="39">
        <v>31.0</v>
      </c>
      <c r="N597" s="40">
        <v>46237.0</v>
      </c>
      <c r="O597" s="42" t="b">
        <v>0</v>
      </c>
      <c r="P597" s="44">
        <v>46238.0</v>
      </c>
      <c r="Q597" s="34"/>
      <c r="R597" s="34"/>
      <c r="S597" s="34"/>
      <c r="T597" s="34"/>
    </row>
    <row r="598" ht="15.75" customHeight="1">
      <c r="B598" s="33">
        <v>46230.0</v>
      </c>
      <c r="C598" s="35" t="s">
        <v>2877</v>
      </c>
      <c r="D598" s="35">
        <v>1.0</v>
      </c>
      <c r="E598" s="37">
        <v>45.0</v>
      </c>
      <c r="F598" s="38">
        <f t="shared" si="2"/>
        <v>45</v>
      </c>
      <c r="G598" s="35" t="s">
        <v>2878</v>
      </c>
      <c r="H598" s="35" t="s">
        <v>35</v>
      </c>
      <c r="I598" s="35" t="s">
        <v>221</v>
      </c>
      <c r="J598" s="35" t="s">
        <v>183</v>
      </c>
      <c r="K598" s="35" t="s">
        <v>35</v>
      </c>
      <c r="L598" s="35" t="s">
        <v>2879</v>
      </c>
      <c r="M598" s="39">
        <v>31.0</v>
      </c>
      <c r="N598" s="40">
        <v>46237.0</v>
      </c>
      <c r="O598" s="42" t="b">
        <v>0</v>
      </c>
      <c r="P598" s="44">
        <v>46238.0</v>
      </c>
      <c r="Q598" s="34"/>
      <c r="R598" s="34"/>
      <c r="S598" s="34"/>
      <c r="T598" s="34"/>
    </row>
    <row r="599" ht="15.75" customHeight="1">
      <c r="B599" s="33">
        <v>46230.0</v>
      </c>
      <c r="C599" s="35">
        <v>2434.0</v>
      </c>
      <c r="D599" s="35">
        <v>12.0</v>
      </c>
      <c r="E599" s="37">
        <v>73.9</v>
      </c>
      <c r="F599" s="38">
        <f t="shared" si="2"/>
        <v>886.8</v>
      </c>
      <c r="G599" s="35" t="s">
        <v>2883</v>
      </c>
      <c r="H599" s="35" t="s">
        <v>35</v>
      </c>
      <c r="I599" s="35" t="s">
        <v>32</v>
      </c>
      <c r="J599" s="35" t="s">
        <v>34</v>
      </c>
      <c r="K599" s="35" t="s">
        <v>35</v>
      </c>
      <c r="L599" s="35" t="s">
        <v>2884</v>
      </c>
      <c r="M599" s="39">
        <v>31.0</v>
      </c>
      <c r="N599" s="40">
        <v>46237.0</v>
      </c>
      <c r="O599" s="42" t="b">
        <v>0</v>
      </c>
      <c r="P599" s="44">
        <v>46238.0</v>
      </c>
      <c r="Q599" s="34"/>
      <c r="R599" s="34"/>
      <c r="S599" s="34"/>
      <c r="T599" s="34"/>
    </row>
    <row r="600" ht="15.75" customHeight="1">
      <c r="B600" s="33">
        <v>46230.0</v>
      </c>
      <c r="C600" s="35">
        <v>2434.0</v>
      </c>
      <c r="D600" s="35">
        <v>1.0</v>
      </c>
      <c r="E600" s="37">
        <v>225.0</v>
      </c>
      <c r="F600" s="38">
        <f t="shared" si="2"/>
        <v>225</v>
      </c>
      <c r="G600" s="35" t="s">
        <v>2886</v>
      </c>
      <c r="H600" s="35" t="s">
        <v>35</v>
      </c>
      <c r="I600" s="35" t="s">
        <v>32</v>
      </c>
      <c r="J600" s="35" t="s">
        <v>34</v>
      </c>
      <c r="K600" s="35" t="s">
        <v>35</v>
      </c>
      <c r="L600" s="35" t="s">
        <v>2884</v>
      </c>
      <c r="M600" s="39">
        <v>31.0</v>
      </c>
      <c r="N600" s="40">
        <v>46237.0</v>
      </c>
      <c r="O600" s="42" t="b">
        <v>0</v>
      </c>
      <c r="P600" s="44">
        <v>46238.0</v>
      </c>
      <c r="Q600" s="34"/>
      <c r="R600" s="34"/>
      <c r="S600" s="34"/>
      <c r="T600" s="34"/>
    </row>
    <row r="601" ht="15.75" customHeight="1">
      <c r="B601" s="33">
        <v>46230.0</v>
      </c>
      <c r="C601" s="35">
        <v>15682.0</v>
      </c>
      <c r="D601" s="35">
        <v>100.0</v>
      </c>
      <c r="E601" s="37">
        <v>285.0</v>
      </c>
      <c r="F601" s="38">
        <f t="shared" si="2"/>
        <v>28500</v>
      </c>
      <c r="G601" s="35" t="s">
        <v>2838</v>
      </c>
      <c r="H601" s="35" t="s">
        <v>1158</v>
      </c>
      <c r="I601" s="35" t="s">
        <v>41</v>
      </c>
      <c r="J601" s="35" t="s">
        <v>34</v>
      </c>
      <c r="K601" s="35" t="s">
        <v>35</v>
      </c>
      <c r="L601" s="35" t="s">
        <v>87</v>
      </c>
      <c r="M601" s="39">
        <v>31.0</v>
      </c>
      <c r="N601" s="40">
        <v>46231.0</v>
      </c>
      <c r="O601" s="42" t="b">
        <v>0</v>
      </c>
      <c r="P601" s="44">
        <v>46233.0</v>
      </c>
      <c r="Q601" s="34"/>
      <c r="R601" s="34"/>
      <c r="S601" s="34"/>
      <c r="T601" s="34"/>
    </row>
    <row r="602" ht="15.75" customHeight="1">
      <c r="B602" s="33">
        <v>46230.0</v>
      </c>
      <c r="C602" s="35">
        <v>15684.0</v>
      </c>
      <c r="D602" s="35">
        <v>20.0</v>
      </c>
      <c r="E602" s="37">
        <v>330.0</v>
      </c>
      <c r="F602" s="38">
        <f t="shared" si="2"/>
        <v>6600</v>
      </c>
      <c r="G602" s="35" t="s">
        <v>2893</v>
      </c>
      <c r="H602" s="35" t="s">
        <v>2894</v>
      </c>
      <c r="I602" s="35" t="s">
        <v>32</v>
      </c>
      <c r="J602" s="35" t="s">
        <v>34</v>
      </c>
      <c r="K602" s="35" t="s">
        <v>35</v>
      </c>
      <c r="L602" s="35" t="s">
        <v>87</v>
      </c>
      <c r="M602" s="39">
        <v>31.0</v>
      </c>
      <c r="N602" s="40">
        <v>46231.0</v>
      </c>
      <c r="O602" s="42" t="b">
        <v>0</v>
      </c>
      <c r="P602" s="44">
        <v>46233.0</v>
      </c>
      <c r="Q602" s="34"/>
      <c r="R602" s="34"/>
      <c r="S602" s="34"/>
      <c r="T602" s="34"/>
    </row>
    <row r="603" ht="11.25" customHeight="1">
      <c r="B603" s="33">
        <v>46230.0</v>
      </c>
      <c r="C603" s="35">
        <v>25190.0</v>
      </c>
      <c r="D603" s="35">
        <v>10.0</v>
      </c>
      <c r="E603" s="37">
        <v>189.9</v>
      </c>
      <c r="F603" s="38">
        <f t="shared" si="2"/>
        <v>1899</v>
      </c>
      <c r="G603" s="35" t="s">
        <v>2205</v>
      </c>
      <c r="H603" s="35" t="s">
        <v>2207</v>
      </c>
      <c r="I603" s="35" t="s">
        <v>32</v>
      </c>
      <c r="J603" s="35" t="s">
        <v>34</v>
      </c>
      <c r="K603" s="35" t="s">
        <v>35</v>
      </c>
      <c r="L603" s="35" t="s">
        <v>96</v>
      </c>
      <c r="M603" s="39">
        <v>1.0</v>
      </c>
      <c r="N603" s="40">
        <v>46233.0</v>
      </c>
      <c r="O603" s="42" t="b">
        <v>0</v>
      </c>
      <c r="P603" s="44">
        <v>46234.0</v>
      </c>
      <c r="Q603" s="34"/>
      <c r="R603" s="34"/>
      <c r="S603" s="34"/>
      <c r="T603" s="34"/>
    </row>
    <row r="604" ht="15.75" customHeight="1">
      <c r="B604" s="44">
        <v>46231.0</v>
      </c>
      <c r="C604" s="35">
        <v>18718.0</v>
      </c>
      <c r="D604" s="35">
        <v>12.0</v>
      </c>
      <c r="E604" s="37">
        <v>55.8</v>
      </c>
      <c r="F604" s="38">
        <f t="shared" si="2"/>
        <v>669.6</v>
      </c>
      <c r="G604" s="35" t="s">
        <v>2898</v>
      </c>
      <c r="H604" s="35" t="s">
        <v>2473</v>
      </c>
      <c r="I604" s="35" t="s">
        <v>2239</v>
      </c>
      <c r="J604" s="35" t="s">
        <v>183</v>
      </c>
      <c r="K604" s="35" t="s">
        <v>35</v>
      </c>
      <c r="L604" s="35" t="s">
        <v>279</v>
      </c>
      <c r="M604" s="39">
        <v>1.0</v>
      </c>
      <c r="N604" s="40">
        <v>46237.0</v>
      </c>
      <c r="O604" s="42" t="b">
        <v>0</v>
      </c>
      <c r="P604" s="44">
        <v>46238.0</v>
      </c>
      <c r="Q604" s="34"/>
      <c r="R604" s="34"/>
      <c r="S604" s="34"/>
      <c r="T604" s="34"/>
    </row>
    <row r="605" ht="15.75" customHeight="1">
      <c r="B605" s="33">
        <v>46231.0</v>
      </c>
      <c r="C605" s="35">
        <v>15784.0</v>
      </c>
      <c r="D605" s="35">
        <v>100.0</v>
      </c>
      <c r="E605" s="37">
        <v>41.0</v>
      </c>
      <c r="F605" s="38">
        <f t="shared" si="2"/>
        <v>4100</v>
      </c>
      <c r="G605" s="35" t="s">
        <v>2901</v>
      </c>
      <c r="H605" s="35" t="s">
        <v>1818</v>
      </c>
      <c r="I605" s="35" t="s">
        <v>59</v>
      </c>
      <c r="J605" s="35" t="s">
        <v>34</v>
      </c>
      <c r="K605" s="35" t="s">
        <v>35</v>
      </c>
      <c r="L605" s="35" t="s">
        <v>87</v>
      </c>
      <c r="M605" s="39">
        <v>31.0</v>
      </c>
      <c r="N605" s="44">
        <v>46231.0</v>
      </c>
      <c r="O605" s="42" t="b">
        <v>1</v>
      </c>
      <c r="P605" s="44">
        <v>46231.0</v>
      </c>
      <c r="Q605" s="34"/>
      <c r="R605" s="34"/>
      <c r="S605" s="34"/>
      <c r="T605" s="34"/>
    </row>
    <row r="606" ht="15.75" customHeight="1">
      <c r="B606" s="33">
        <v>46231.0</v>
      </c>
      <c r="C606" s="35">
        <v>1050.0</v>
      </c>
      <c r="D606" s="35">
        <v>100.0</v>
      </c>
      <c r="E606" s="37">
        <v>18.0</v>
      </c>
      <c r="F606" s="38">
        <f t="shared" si="2"/>
        <v>1800</v>
      </c>
      <c r="G606" s="35" t="s">
        <v>2904</v>
      </c>
      <c r="H606" s="35" t="s">
        <v>35</v>
      </c>
      <c r="I606" s="35" t="s">
        <v>59</v>
      </c>
      <c r="J606" s="35" t="s">
        <v>34</v>
      </c>
      <c r="K606" s="35" t="s">
        <v>35</v>
      </c>
      <c r="L606" s="35" t="s">
        <v>132</v>
      </c>
      <c r="M606" s="39">
        <v>31.0</v>
      </c>
      <c r="N606" s="44">
        <v>46231.0</v>
      </c>
      <c r="O606" s="42" t="b">
        <v>1</v>
      </c>
      <c r="P606" s="44">
        <v>46231.0</v>
      </c>
      <c r="Q606" s="34"/>
      <c r="R606" s="34"/>
      <c r="S606" s="34"/>
      <c r="T606" s="34"/>
    </row>
    <row r="607" ht="15.75" customHeight="1">
      <c r="B607" s="33">
        <v>46231.0</v>
      </c>
      <c r="C607" s="35" t="s">
        <v>35</v>
      </c>
      <c r="D607" s="35">
        <v>100.0</v>
      </c>
      <c r="E607" s="37">
        <v>31.0</v>
      </c>
      <c r="F607" s="38">
        <f t="shared" si="2"/>
        <v>3100</v>
      </c>
      <c r="G607" s="35" t="s">
        <v>2907</v>
      </c>
      <c r="H607" s="35" t="s">
        <v>35</v>
      </c>
      <c r="I607" s="35" t="s">
        <v>59</v>
      </c>
      <c r="J607" s="35" t="s">
        <v>34</v>
      </c>
      <c r="K607" s="35" t="s">
        <v>35</v>
      </c>
      <c r="L607" s="35" t="s">
        <v>1760</v>
      </c>
      <c r="M607" s="39">
        <v>1.0</v>
      </c>
      <c r="N607" s="40">
        <v>46232.0</v>
      </c>
      <c r="O607" s="42" t="b">
        <v>1</v>
      </c>
      <c r="P607" s="44">
        <v>46233.0</v>
      </c>
      <c r="Q607" s="34"/>
      <c r="R607" s="34"/>
      <c r="S607" s="34"/>
      <c r="T607" s="34"/>
    </row>
    <row r="608" ht="15.75" customHeight="1">
      <c r="B608" s="33">
        <v>46231.0</v>
      </c>
      <c r="C608" s="46" t="s">
        <v>2909</v>
      </c>
      <c r="D608" s="35">
        <v>21.0</v>
      </c>
      <c r="E608" s="37">
        <v>3600.0</v>
      </c>
      <c r="F608" s="38">
        <f t="shared" si="2"/>
        <v>75600</v>
      </c>
      <c r="G608" s="35" t="s">
        <v>2910</v>
      </c>
      <c r="H608" s="35" t="s">
        <v>1193</v>
      </c>
      <c r="I608" s="35" t="s">
        <v>174</v>
      </c>
      <c r="J608" s="35" t="s">
        <v>175</v>
      </c>
      <c r="K608" s="35" t="s">
        <v>35</v>
      </c>
      <c r="L608" s="35" t="s">
        <v>151</v>
      </c>
      <c r="M608" s="39">
        <v>31.0</v>
      </c>
      <c r="N608" s="40">
        <v>46237.0</v>
      </c>
      <c r="O608" s="42" t="b">
        <v>0</v>
      </c>
      <c r="P608" s="44">
        <v>46238.0</v>
      </c>
      <c r="Q608" s="34"/>
      <c r="R608" s="34"/>
      <c r="S608" s="34"/>
      <c r="T608" s="34"/>
    </row>
    <row r="609" ht="15.75" customHeight="1">
      <c r="B609" s="33">
        <v>46231.0</v>
      </c>
      <c r="C609" s="35">
        <v>15815.0</v>
      </c>
      <c r="D609" s="35">
        <v>100.0</v>
      </c>
      <c r="E609" s="37">
        <v>285.0</v>
      </c>
      <c r="F609" s="38">
        <f t="shared" si="2"/>
        <v>28500</v>
      </c>
      <c r="G609" s="35" t="s">
        <v>2838</v>
      </c>
      <c r="H609" s="35" t="s">
        <v>1158</v>
      </c>
      <c r="I609" s="35" t="s">
        <v>32</v>
      </c>
      <c r="J609" s="35" t="s">
        <v>34</v>
      </c>
      <c r="K609" s="35" t="s">
        <v>35</v>
      </c>
      <c r="L609" s="35" t="s">
        <v>87</v>
      </c>
      <c r="M609" s="39">
        <v>31.0</v>
      </c>
      <c r="N609" s="40">
        <v>46233.0</v>
      </c>
      <c r="O609" s="42" t="b">
        <v>0</v>
      </c>
      <c r="P609" s="44">
        <v>46234.0</v>
      </c>
      <c r="Q609" s="34"/>
      <c r="R609" s="34"/>
      <c r="S609" s="34"/>
      <c r="T609" s="34"/>
    </row>
    <row r="610" ht="15.75" customHeight="1">
      <c r="B610" s="33">
        <v>46231.0</v>
      </c>
      <c r="C610" s="35">
        <v>25222.0</v>
      </c>
      <c r="D610" s="35">
        <v>240.0</v>
      </c>
      <c r="E610" s="37">
        <v>9.9</v>
      </c>
      <c r="F610" s="38">
        <f t="shared" si="2"/>
        <v>2376</v>
      </c>
      <c r="G610" s="35" t="s">
        <v>2793</v>
      </c>
      <c r="H610" s="35" t="s">
        <v>2795</v>
      </c>
      <c r="I610" s="35" t="s">
        <v>77</v>
      </c>
      <c r="J610" s="35" t="s">
        <v>79</v>
      </c>
      <c r="K610" s="35" t="s">
        <v>35</v>
      </c>
      <c r="L610" s="35" t="s">
        <v>96</v>
      </c>
      <c r="M610" s="39">
        <v>1.0</v>
      </c>
      <c r="N610" s="40">
        <v>46233.0</v>
      </c>
      <c r="O610" s="42" t="b">
        <v>0</v>
      </c>
      <c r="P610" s="44"/>
      <c r="Q610" s="34"/>
      <c r="R610" s="34"/>
      <c r="S610" s="34"/>
      <c r="T610" s="34"/>
    </row>
    <row r="611" ht="15.75" customHeight="1">
      <c r="B611" s="33">
        <v>46231.0</v>
      </c>
      <c r="C611" s="35">
        <v>25222.0</v>
      </c>
      <c r="D611" s="35">
        <v>100.0</v>
      </c>
      <c r="E611" s="37">
        <v>39.9</v>
      </c>
      <c r="F611" s="38">
        <f t="shared" si="2"/>
        <v>3990</v>
      </c>
      <c r="G611" s="35" t="s">
        <v>2915</v>
      </c>
      <c r="H611" s="35" t="s">
        <v>95</v>
      </c>
      <c r="I611" s="35" t="s">
        <v>77</v>
      </c>
      <c r="J611" s="35" t="s">
        <v>79</v>
      </c>
      <c r="K611" s="35" t="s">
        <v>35</v>
      </c>
      <c r="L611" s="35" t="s">
        <v>96</v>
      </c>
      <c r="M611" s="39">
        <v>1.0</v>
      </c>
      <c r="N611" s="40">
        <v>46233.0</v>
      </c>
      <c r="O611" s="42" t="b">
        <v>0</v>
      </c>
      <c r="P611" s="44"/>
      <c r="Q611" s="34"/>
      <c r="R611" s="34"/>
      <c r="S611" s="34"/>
      <c r="T611" s="34"/>
    </row>
    <row r="612" ht="15.75" customHeight="1">
      <c r="B612" s="33">
        <v>46231.0</v>
      </c>
      <c r="C612" s="35">
        <v>25222.0</v>
      </c>
      <c r="D612" s="35">
        <v>240.0</v>
      </c>
      <c r="E612" s="37">
        <v>7.99</v>
      </c>
      <c r="F612" s="38">
        <f t="shared" si="2"/>
        <v>1917.6</v>
      </c>
      <c r="G612" s="35" t="s">
        <v>2918</v>
      </c>
      <c r="H612" s="35" t="s">
        <v>2919</v>
      </c>
      <c r="I612" s="35" t="s">
        <v>77</v>
      </c>
      <c r="J612" s="35" t="s">
        <v>79</v>
      </c>
      <c r="K612" s="35" t="s">
        <v>35</v>
      </c>
      <c r="L612" s="35" t="s">
        <v>96</v>
      </c>
      <c r="M612" s="39">
        <v>1.0</v>
      </c>
      <c r="N612" s="40">
        <v>46233.0</v>
      </c>
      <c r="O612" s="42" t="b">
        <v>0</v>
      </c>
      <c r="P612" s="44"/>
      <c r="Q612" s="34"/>
      <c r="R612" s="34"/>
      <c r="S612" s="34"/>
      <c r="T612" s="34"/>
    </row>
    <row r="613" ht="15.75" customHeight="1">
      <c r="B613" s="33">
        <v>46231.0</v>
      </c>
      <c r="C613" s="35">
        <v>25222.0</v>
      </c>
      <c r="D613" s="35">
        <v>50.0</v>
      </c>
      <c r="E613" s="37">
        <v>89.9</v>
      </c>
      <c r="F613" s="38">
        <f t="shared" si="2"/>
        <v>4495</v>
      </c>
      <c r="G613" s="35" t="s">
        <v>2923</v>
      </c>
      <c r="H613" s="35" t="s">
        <v>2633</v>
      </c>
      <c r="I613" s="35" t="s">
        <v>77</v>
      </c>
      <c r="J613" s="35" t="s">
        <v>79</v>
      </c>
      <c r="K613" s="35" t="s">
        <v>35</v>
      </c>
      <c r="L613" s="35" t="s">
        <v>96</v>
      </c>
      <c r="M613" s="39">
        <v>1.0</v>
      </c>
      <c r="N613" s="40">
        <v>46233.0</v>
      </c>
      <c r="O613" s="42" t="b">
        <v>0</v>
      </c>
      <c r="P613" s="44"/>
      <c r="Q613" s="34"/>
      <c r="R613" s="34"/>
      <c r="S613" s="34"/>
      <c r="T613" s="34"/>
    </row>
    <row r="614" ht="15.75" customHeight="1">
      <c r="B614" s="33">
        <v>46231.0</v>
      </c>
      <c r="C614" s="35">
        <v>15782.0</v>
      </c>
      <c r="D614" s="35">
        <v>100.0</v>
      </c>
      <c r="E614" s="37">
        <v>36.9</v>
      </c>
      <c r="F614" s="38">
        <f t="shared" si="2"/>
        <v>3690</v>
      </c>
      <c r="G614" s="35" t="s">
        <v>2924</v>
      </c>
      <c r="H614" s="35" t="s">
        <v>2925</v>
      </c>
      <c r="I614" s="35" t="s">
        <v>77</v>
      </c>
      <c r="J614" s="35" t="s">
        <v>79</v>
      </c>
      <c r="K614" s="35" t="s">
        <v>35</v>
      </c>
      <c r="L614" s="35" t="s">
        <v>87</v>
      </c>
      <c r="M614" s="39">
        <v>1.0</v>
      </c>
      <c r="N614" s="40">
        <v>46231.0</v>
      </c>
      <c r="O614" s="42" t="b">
        <v>0</v>
      </c>
      <c r="P614" s="44"/>
      <c r="Q614" s="34"/>
      <c r="R614" s="34"/>
      <c r="S614" s="34"/>
      <c r="T614" s="34"/>
    </row>
    <row r="615" ht="15.75" customHeight="1">
      <c r="B615" s="33">
        <v>46231.0</v>
      </c>
      <c r="C615" s="35">
        <v>15782.0</v>
      </c>
      <c r="D615" s="35">
        <v>60.0</v>
      </c>
      <c r="E615" s="37">
        <v>49.5</v>
      </c>
      <c r="F615" s="38">
        <f t="shared" si="2"/>
        <v>2970</v>
      </c>
      <c r="G615" s="35" t="s">
        <v>2927</v>
      </c>
      <c r="H615" s="35" t="s">
        <v>2928</v>
      </c>
      <c r="I615" s="35" t="s">
        <v>77</v>
      </c>
      <c r="J615" s="35" t="s">
        <v>79</v>
      </c>
      <c r="K615" s="35" t="s">
        <v>35</v>
      </c>
      <c r="L615" s="35" t="s">
        <v>87</v>
      </c>
      <c r="M615" s="39">
        <v>1.0</v>
      </c>
      <c r="N615" s="40">
        <v>46231.0</v>
      </c>
      <c r="O615" s="42" t="b">
        <v>0</v>
      </c>
      <c r="P615" s="44"/>
      <c r="Q615" s="34"/>
      <c r="R615" s="34"/>
      <c r="S615" s="34"/>
      <c r="T615" s="34"/>
    </row>
    <row r="616" ht="15.75" customHeight="1">
      <c r="B616" s="33">
        <v>46231.0</v>
      </c>
      <c r="C616" s="35">
        <v>15782.0</v>
      </c>
      <c r="D616" s="35">
        <v>100.0</v>
      </c>
      <c r="E616" s="37">
        <v>14.4</v>
      </c>
      <c r="F616" s="38">
        <f t="shared" si="2"/>
        <v>1440</v>
      </c>
      <c r="G616" s="35" t="s">
        <v>2929</v>
      </c>
      <c r="H616" s="35" t="s">
        <v>2930</v>
      </c>
      <c r="I616" s="35" t="s">
        <v>77</v>
      </c>
      <c r="J616" s="35" t="s">
        <v>79</v>
      </c>
      <c r="K616" s="35" t="s">
        <v>35</v>
      </c>
      <c r="L616" s="35" t="s">
        <v>87</v>
      </c>
      <c r="M616" s="39">
        <v>1.0</v>
      </c>
      <c r="N616" s="40">
        <v>46231.0</v>
      </c>
      <c r="O616" s="42" t="b">
        <v>0</v>
      </c>
      <c r="P616" s="44"/>
      <c r="Q616" s="34"/>
      <c r="R616" s="34"/>
      <c r="S616" s="34"/>
      <c r="T616" s="34"/>
    </row>
    <row r="617" ht="15.75" customHeight="1">
      <c r="B617" s="33">
        <v>46231.0</v>
      </c>
      <c r="C617" s="46" t="s">
        <v>2936</v>
      </c>
      <c r="D617" s="35">
        <v>20.0</v>
      </c>
      <c r="E617" s="37">
        <v>50.85</v>
      </c>
      <c r="F617" s="38">
        <f t="shared" si="2"/>
        <v>1017</v>
      </c>
      <c r="G617" s="35" t="s">
        <v>2937</v>
      </c>
      <c r="H617" s="35" t="s">
        <v>2938</v>
      </c>
      <c r="I617" s="35" t="s">
        <v>2939</v>
      </c>
      <c r="J617" s="35" t="s">
        <v>40</v>
      </c>
      <c r="K617" s="35" t="s">
        <v>2941</v>
      </c>
      <c r="L617" s="35" t="s">
        <v>2017</v>
      </c>
      <c r="M617" s="39">
        <v>31.0</v>
      </c>
      <c r="N617" s="40">
        <v>46239.0</v>
      </c>
      <c r="O617" s="42" t="b">
        <v>0</v>
      </c>
      <c r="P617" s="44">
        <v>46241.0</v>
      </c>
      <c r="Q617" s="34"/>
      <c r="R617" s="34"/>
      <c r="S617" s="34"/>
      <c r="T617" s="34"/>
    </row>
    <row r="618" ht="15.75" customHeight="1">
      <c r="B618" s="33">
        <v>46231.0</v>
      </c>
      <c r="C618" s="46" t="s">
        <v>2936</v>
      </c>
      <c r="D618" s="35">
        <v>20.0</v>
      </c>
      <c r="E618" s="37">
        <v>55.8</v>
      </c>
      <c r="F618" s="38">
        <f t="shared" si="2"/>
        <v>1116</v>
      </c>
      <c r="G618" s="35" t="s">
        <v>2937</v>
      </c>
      <c r="H618" s="35" t="s">
        <v>2944</v>
      </c>
      <c r="I618" s="35" t="s">
        <v>2939</v>
      </c>
      <c r="J618" s="35" t="s">
        <v>40</v>
      </c>
      <c r="K618" s="35" t="s">
        <v>2941</v>
      </c>
      <c r="L618" s="35" t="s">
        <v>2017</v>
      </c>
      <c r="M618" s="39">
        <v>31.0</v>
      </c>
      <c r="N618" s="40">
        <v>46239.0</v>
      </c>
      <c r="O618" s="42" t="b">
        <v>0</v>
      </c>
      <c r="P618" s="44"/>
      <c r="Q618" s="34"/>
      <c r="R618" s="34"/>
      <c r="S618" s="34"/>
      <c r="T618" s="34"/>
    </row>
    <row r="619" ht="15.75" customHeight="1">
      <c r="B619" s="33">
        <v>46231.0</v>
      </c>
      <c r="C619" s="46" t="s">
        <v>2936</v>
      </c>
      <c r="D619" s="35">
        <v>20.0</v>
      </c>
      <c r="E619" s="37">
        <v>56.7</v>
      </c>
      <c r="F619" s="38">
        <f t="shared" si="2"/>
        <v>1134</v>
      </c>
      <c r="G619" s="35" t="s">
        <v>2937</v>
      </c>
      <c r="H619" s="35" t="s">
        <v>2949</v>
      </c>
      <c r="I619" s="35" t="s">
        <v>2939</v>
      </c>
      <c r="J619" s="35" t="s">
        <v>40</v>
      </c>
      <c r="K619" s="35" t="s">
        <v>2941</v>
      </c>
      <c r="L619" s="35" t="s">
        <v>2017</v>
      </c>
      <c r="M619" s="39">
        <v>31.0</v>
      </c>
      <c r="N619" s="40">
        <v>46239.0</v>
      </c>
      <c r="O619" s="42" t="b">
        <v>0</v>
      </c>
      <c r="P619" s="44"/>
      <c r="Q619" s="34"/>
      <c r="R619" s="34"/>
      <c r="S619" s="34"/>
      <c r="T619" s="34"/>
    </row>
    <row r="620" ht="15.75" customHeight="1">
      <c r="B620" s="33">
        <v>46231.0</v>
      </c>
      <c r="C620" s="46" t="s">
        <v>2936</v>
      </c>
      <c r="D620" s="35">
        <v>30.0</v>
      </c>
      <c r="E620" s="37">
        <v>48.6</v>
      </c>
      <c r="F620" s="38">
        <f t="shared" si="2"/>
        <v>1458</v>
      </c>
      <c r="G620" s="35" t="s">
        <v>2937</v>
      </c>
      <c r="H620" s="35" t="s">
        <v>2954</v>
      </c>
      <c r="I620" s="35" t="s">
        <v>2939</v>
      </c>
      <c r="J620" s="35" t="s">
        <v>40</v>
      </c>
      <c r="K620" s="35" t="s">
        <v>2941</v>
      </c>
      <c r="L620" s="35" t="s">
        <v>2017</v>
      </c>
      <c r="M620" s="39">
        <v>31.0</v>
      </c>
      <c r="N620" s="40">
        <v>46239.0</v>
      </c>
      <c r="O620" s="42" t="b">
        <v>0</v>
      </c>
      <c r="P620" s="44"/>
      <c r="Q620" s="34"/>
      <c r="R620" s="34"/>
      <c r="S620" s="34"/>
      <c r="T620" s="34"/>
    </row>
    <row r="621" ht="15.75" customHeight="1">
      <c r="B621" s="33">
        <v>46231.0</v>
      </c>
      <c r="C621" s="46" t="s">
        <v>2936</v>
      </c>
      <c r="D621" s="35">
        <v>30.0</v>
      </c>
      <c r="E621" s="37">
        <v>49.5</v>
      </c>
      <c r="F621" s="38">
        <f t="shared" si="2"/>
        <v>1485</v>
      </c>
      <c r="G621" s="35" t="s">
        <v>2937</v>
      </c>
      <c r="H621" s="35" t="s">
        <v>2958</v>
      </c>
      <c r="I621" s="35" t="s">
        <v>2939</v>
      </c>
      <c r="J621" s="35" t="s">
        <v>40</v>
      </c>
      <c r="K621" s="35" t="s">
        <v>2941</v>
      </c>
      <c r="L621" s="35" t="s">
        <v>2017</v>
      </c>
      <c r="M621" s="39">
        <v>31.0</v>
      </c>
      <c r="N621" s="40">
        <v>46239.0</v>
      </c>
      <c r="O621" s="42" t="b">
        <v>0</v>
      </c>
      <c r="P621" s="44"/>
      <c r="Q621" s="34"/>
      <c r="R621" s="34"/>
      <c r="S621" s="34"/>
      <c r="T621" s="34"/>
    </row>
    <row r="622" ht="15.75" customHeight="1">
      <c r="B622" s="33">
        <v>46231.0</v>
      </c>
      <c r="C622" s="46" t="s">
        <v>2936</v>
      </c>
      <c r="D622" s="35">
        <v>20.0</v>
      </c>
      <c r="E622" s="37">
        <v>51.3</v>
      </c>
      <c r="F622" s="38">
        <f t="shared" si="2"/>
        <v>1026</v>
      </c>
      <c r="G622" s="35" t="s">
        <v>2937</v>
      </c>
      <c r="H622" s="35" t="s">
        <v>2960</v>
      </c>
      <c r="I622" s="35" t="s">
        <v>2939</v>
      </c>
      <c r="J622" s="35" t="s">
        <v>40</v>
      </c>
      <c r="K622" s="35" t="s">
        <v>2941</v>
      </c>
      <c r="L622" s="35" t="s">
        <v>2017</v>
      </c>
      <c r="M622" s="39">
        <v>31.0</v>
      </c>
      <c r="N622" s="40">
        <v>46239.0</v>
      </c>
      <c r="O622" s="42" t="b">
        <v>0</v>
      </c>
      <c r="P622" s="44"/>
      <c r="Q622" s="34"/>
      <c r="R622" s="34"/>
      <c r="S622" s="34"/>
      <c r="T622" s="34"/>
    </row>
    <row r="623" ht="15.75" customHeight="1">
      <c r="B623" s="33">
        <v>46231.0</v>
      </c>
      <c r="C623" s="46" t="s">
        <v>2936</v>
      </c>
      <c r="D623" s="35">
        <v>20.0</v>
      </c>
      <c r="E623" s="37">
        <v>37.35</v>
      </c>
      <c r="F623" s="38">
        <f t="shared" si="2"/>
        <v>747</v>
      </c>
      <c r="G623" s="35" t="s">
        <v>2937</v>
      </c>
      <c r="H623" s="35" t="s">
        <v>2963</v>
      </c>
      <c r="I623" s="35" t="s">
        <v>2939</v>
      </c>
      <c r="J623" s="35" t="s">
        <v>40</v>
      </c>
      <c r="K623" s="35" t="s">
        <v>2941</v>
      </c>
      <c r="L623" s="35" t="s">
        <v>2017</v>
      </c>
      <c r="M623" s="39">
        <v>31.0</v>
      </c>
      <c r="N623" s="40">
        <v>46239.0</v>
      </c>
      <c r="O623" s="42" t="b">
        <v>0</v>
      </c>
      <c r="P623" s="44"/>
      <c r="Q623" s="34"/>
      <c r="R623" s="34"/>
      <c r="S623" s="34"/>
      <c r="T623" s="34"/>
    </row>
    <row r="624" ht="15.75" customHeight="1">
      <c r="B624" s="33">
        <v>46231.0</v>
      </c>
      <c r="C624" s="35">
        <v>25354.0</v>
      </c>
      <c r="D624" s="35">
        <v>120.0</v>
      </c>
      <c r="E624" s="37">
        <v>6.99</v>
      </c>
      <c r="F624" s="38">
        <f t="shared" si="2"/>
        <v>838.8</v>
      </c>
      <c r="G624" s="35" t="s">
        <v>2968</v>
      </c>
      <c r="H624" s="35" t="s">
        <v>2969</v>
      </c>
      <c r="I624" s="35" t="s">
        <v>240</v>
      </c>
      <c r="J624" s="35" t="s">
        <v>34</v>
      </c>
      <c r="K624" s="35" t="s">
        <v>35</v>
      </c>
      <c r="L624" s="35" t="s">
        <v>96</v>
      </c>
      <c r="M624" s="39">
        <v>1.0</v>
      </c>
      <c r="N624" s="40">
        <v>46232.0</v>
      </c>
      <c r="O624" s="42" t="b">
        <v>0</v>
      </c>
      <c r="P624" s="44">
        <v>46234.0</v>
      </c>
      <c r="Q624" s="34"/>
      <c r="R624" s="34"/>
      <c r="S624" s="34"/>
      <c r="T624" s="34"/>
    </row>
    <row r="625" ht="15.75" customHeight="1">
      <c r="B625" s="33">
        <v>46231.0</v>
      </c>
      <c r="C625" s="35">
        <v>25354.0</v>
      </c>
      <c r="D625" s="35">
        <v>100.0</v>
      </c>
      <c r="E625" s="37">
        <v>13.99</v>
      </c>
      <c r="F625" s="38">
        <f t="shared" si="2"/>
        <v>1399</v>
      </c>
      <c r="G625" s="35" t="s">
        <v>1851</v>
      </c>
      <c r="H625" s="35" t="s">
        <v>1662</v>
      </c>
      <c r="I625" s="35" t="s">
        <v>240</v>
      </c>
      <c r="J625" s="35" t="s">
        <v>34</v>
      </c>
      <c r="K625" s="35" t="s">
        <v>35</v>
      </c>
      <c r="L625" s="35" t="s">
        <v>96</v>
      </c>
      <c r="M625" s="39">
        <v>1.0</v>
      </c>
      <c r="N625" s="40">
        <v>46232.0</v>
      </c>
      <c r="O625" s="42" t="b">
        <v>0</v>
      </c>
      <c r="P625" s="44">
        <v>46234.0</v>
      </c>
      <c r="Q625" s="34"/>
      <c r="R625" s="34"/>
      <c r="S625" s="34"/>
      <c r="T625" s="34"/>
    </row>
    <row r="626" ht="15.75" customHeight="1">
      <c r="B626" s="33">
        <v>46232.0</v>
      </c>
      <c r="C626" s="35">
        <v>15906.0</v>
      </c>
      <c r="D626" s="35">
        <v>20.0</v>
      </c>
      <c r="E626" s="37">
        <v>285.0</v>
      </c>
      <c r="F626" s="38">
        <f t="shared" si="2"/>
        <v>5700</v>
      </c>
      <c r="G626" s="35" t="s">
        <v>2838</v>
      </c>
      <c r="H626" s="35" t="s">
        <v>1158</v>
      </c>
      <c r="I626" s="35" t="s">
        <v>59</v>
      </c>
      <c r="J626" s="35" t="s">
        <v>34</v>
      </c>
      <c r="K626" s="35" t="s">
        <v>35</v>
      </c>
      <c r="L626" s="35" t="s">
        <v>87</v>
      </c>
      <c r="M626" s="39">
        <v>31.0</v>
      </c>
      <c r="N626" s="40">
        <v>46232.0</v>
      </c>
      <c r="O626" s="42" t="b">
        <v>1</v>
      </c>
      <c r="P626" s="44">
        <v>46232.0</v>
      </c>
      <c r="Q626" s="34"/>
      <c r="R626" s="34"/>
      <c r="S626" s="34"/>
      <c r="T626" s="34"/>
    </row>
    <row r="627" ht="15.75" customHeight="1">
      <c r="B627" s="33">
        <v>46231.0</v>
      </c>
      <c r="C627" s="35">
        <v>808014.0</v>
      </c>
      <c r="D627" s="35">
        <v>1000.0</v>
      </c>
      <c r="E627" s="37">
        <v>2.8</v>
      </c>
      <c r="F627" s="38">
        <f t="shared" si="2"/>
        <v>2800</v>
      </c>
      <c r="G627" s="35" t="s">
        <v>2353</v>
      </c>
      <c r="H627" s="35" t="s">
        <v>2574</v>
      </c>
      <c r="I627" s="35" t="s">
        <v>41</v>
      </c>
      <c r="J627" s="35" t="s">
        <v>40</v>
      </c>
      <c r="K627" s="35" t="s">
        <v>35</v>
      </c>
      <c r="L627" s="35" t="s">
        <v>160</v>
      </c>
      <c r="M627" s="39">
        <v>1.0</v>
      </c>
      <c r="N627" s="40">
        <v>46237.0</v>
      </c>
      <c r="O627" s="42" t="b">
        <v>0</v>
      </c>
      <c r="P627" s="44">
        <v>46238.0</v>
      </c>
      <c r="Q627" s="34"/>
      <c r="R627" s="34"/>
      <c r="S627" s="34"/>
      <c r="T627" s="34"/>
    </row>
    <row r="628" ht="15.75" customHeight="1">
      <c r="B628" s="33">
        <v>46232.0</v>
      </c>
      <c r="C628" s="35">
        <v>25471.0</v>
      </c>
      <c r="D628" s="35">
        <v>15.0</v>
      </c>
      <c r="E628" s="37">
        <v>149.99</v>
      </c>
      <c r="F628" s="38">
        <f t="shared" si="2"/>
        <v>2249.85</v>
      </c>
      <c r="G628" s="35" t="s">
        <v>1940</v>
      </c>
      <c r="H628" s="35" t="s">
        <v>1942</v>
      </c>
      <c r="I628" s="35" t="s">
        <v>41</v>
      </c>
      <c r="J628" s="35" t="s">
        <v>34</v>
      </c>
      <c r="K628" s="35" t="s">
        <v>35</v>
      </c>
      <c r="L628" s="35" t="s">
        <v>96</v>
      </c>
      <c r="M628" s="39">
        <v>31.0</v>
      </c>
      <c r="N628" s="40">
        <v>46232.0</v>
      </c>
      <c r="O628" s="42" t="b">
        <v>0</v>
      </c>
      <c r="P628" s="44"/>
      <c r="Q628" s="34"/>
      <c r="R628" s="34"/>
      <c r="S628" s="34"/>
      <c r="T628" s="34"/>
    </row>
    <row r="629" ht="15.75" customHeight="1">
      <c r="B629" s="33">
        <v>46232.0</v>
      </c>
      <c r="C629" s="35">
        <v>1039.0</v>
      </c>
      <c r="D629" s="35">
        <v>200.0</v>
      </c>
      <c r="E629" s="37">
        <v>92.0</v>
      </c>
      <c r="F629" s="38">
        <f t="shared" si="2"/>
        <v>18400</v>
      </c>
      <c r="G629" s="35" t="s">
        <v>950</v>
      </c>
      <c r="H629" s="35" t="s">
        <v>951</v>
      </c>
      <c r="I629" s="35" t="s">
        <v>77</v>
      </c>
      <c r="J629" s="35" t="s">
        <v>79</v>
      </c>
      <c r="K629" s="35" t="s">
        <v>35</v>
      </c>
      <c r="L629" s="35" t="s">
        <v>140</v>
      </c>
      <c r="M629" s="39">
        <v>31.0</v>
      </c>
      <c r="N629" s="44">
        <v>46232.0</v>
      </c>
      <c r="O629" s="42" t="b">
        <v>0</v>
      </c>
      <c r="P629" s="44">
        <v>46233.0</v>
      </c>
      <c r="Q629" s="34"/>
      <c r="R629" s="34"/>
      <c r="S629" s="34"/>
      <c r="T629" s="34"/>
    </row>
    <row r="630" ht="15.75" customHeight="1">
      <c r="B630" s="33">
        <v>46231.0</v>
      </c>
      <c r="C630" s="35">
        <v>25497.0</v>
      </c>
      <c r="D630" s="35">
        <v>4.0</v>
      </c>
      <c r="E630" s="37">
        <v>279.9</v>
      </c>
      <c r="F630" s="38">
        <f t="shared" si="2"/>
        <v>1119.6</v>
      </c>
      <c r="G630" s="35" t="s">
        <v>2983</v>
      </c>
      <c r="H630" s="35" t="s">
        <v>2984</v>
      </c>
      <c r="I630" s="35" t="s">
        <v>2939</v>
      </c>
      <c r="J630" s="35" t="s">
        <v>1036</v>
      </c>
      <c r="K630" s="35" t="s">
        <v>1037</v>
      </c>
      <c r="L630" s="35" t="s">
        <v>96</v>
      </c>
      <c r="M630" s="39">
        <v>1.0</v>
      </c>
      <c r="N630" s="44">
        <v>46232.0</v>
      </c>
      <c r="O630" s="42" t="b">
        <v>0</v>
      </c>
      <c r="P630" s="44">
        <v>46234.0</v>
      </c>
      <c r="Q630" s="34"/>
      <c r="R630" s="34"/>
      <c r="S630" s="34"/>
      <c r="T630" s="34"/>
    </row>
    <row r="631" ht="15.75" customHeight="1">
      <c r="B631" s="33">
        <v>46231.0</v>
      </c>
      <c r="C631" s="35">
        <v>25497.0</v>
      </c>
      <c r="D631" s="35">
        <v>20.0</v>
      </c>
      <c r="E631" s="37">
        <v>159.9</v>
      </c>
      <c r="F631" s="38">
        <f t="shared" si="2"/>
        <v>3198</v>
      </c>
      <c r="G631" s="35" t="s">
        <v>2824</v>
      </c>
      <c r="H631" s="35" t="s">
        <v>2987</v>
      </c>
      <c r="I631" s="35" t="s">
        <v>2939</v>
      </c>
      <c r="J631" s="35" t="s">
        <v>1036</v>
      </c>
      <c r="K631" s="35" t="s">
        <v>1037</v>
      </c>
      <c r="L631" s="35" t="s">
        <v>96</v>
      </c>
      <c r="M631" s="39">
        <v>1.0</v>
      </c>
      <c r="N631" s="40">
        <v>46232.0</v>
      </c>
      <c r="O631" s="42" t="b">
        <v>0</v>
      </c>
      <c r="P631" s="44">
        <v>46234.0</v>
      </c>
      <c r="Q631" s="34"/>
      <c r="R631" s="34"/>
      <c r="S631" s="34"/>
      <c r="T631" s="34"/>
    </row>
    <row r="632" ht="15.75" customHeight="1">
      <c r="B632" s="33">
        <v>46232.0</v>
      </c>
      <c r="C632" s="46" t="s">
        <v>2989</v>
      </c>
      <c r="D632" s="35">
        <v>400.0</v>
      </c>
      <c r="E632" s="37">
        <v>12.6</v>
      </c>
      <c r="F632" s="38">
        <f t="shared" si="2"/>
        <v>5040</v>
      </c>
      <c r="G632" s="35" t="s">
        <v>423</v>
      </c>
      <c r="H632" s="35" t="s">
        <v>424</v>
      </c>
      <c r="I632" s="35" t="s">
        <v>240</v>
      </c>
      <c r="J632" s="35" t="s">
        <v>34</v>
      </c>
      <c r="K632" s="35" t="s">
        <v>35</v>
      </c>
      <c r="L632" s="35" t="s">
        <v>62</v>
      </c>
      <c r="M632" s="39">
        <v>1.0</v>
      </c>
      <c r="N632" s="40">
        <v>46232.0</v>
      </c>
      <c r="O632" s="42" t="b">
        <v>0</v>
      </c>
      <c r="P632" s="44">
        <v>46237.0</v>
      </c>
      <c r="Q632" s="34"/>
      <c r="R632" s="34"/>
      <c r="S632" s="34"/>
      <c r="T632" s="34"/>
    </row>
    <row r="633" ht="15.75" customHeight="1">
      <c r="B633" s="33">
        <v>46232.0</v>
      </c>
      <c r="C633" s="35">
        <v>78.0</v>
      </c>
      <c r="D633" s="35">
        <v>500.0</v>
      </c>
      <c r="E633" s="37">
        <v>230.0</v>
      </c>
      <c r="F633" s="38">
        <f t="shared" si="2"/>
        <v>115000</v>
      </c>
      <c r="G633" s="35" t="s">
        <v>2826</v>
      </c>
      <c r="H633" s="35" t="s">
        <v>227</v>
      </c>
      <c r="I633" s="35" t="s">
        <v>32</v>
      </c>
      <c r="J633" s="35" t="s">
        <v>40</v>
      </c>
      <c r="K633" s="35" t="s">
        <v>35</v>
      </c>
      <c r="L633" s="35" t="s">
        <v>140</v>
      </c>
      <c r="M633" s="39">
        <v>31.0</v>
      </c>
      <c r="N633" s="40">
        <v>46237.0</v>
      </c>
      <c r="O633" s="42" t="b">
        <v>0</v>
      </c>
      <c r="P633" s="44">
        <v>46238.0</v>
      </c>
      <c r="Q633" s="34"/>
      <c r="R633" s="34"/>
      <c r="S633" s="34"/>
      <c r="T633" s="34"/>
    </row>
    <row r="634" ht="15.75" customHeight="1">
      <c r="B634" s="33">
        <v>46231.0</v>
      </c>
      <c r="C634" s="35">
        <v>15964.0</v>
      </c>
      <c r="D634" s="35">
        <v>20.0</v>
      </c>
      <c r="E634" s="37">
        <v>285.0</v>
      </c>
      <c r="F634" s="38">
        <f t="shared" si="2"/>
        <v>5700</v>
      </c>
      <c r="G634" s="35" t="s">
        <v>2838</v>
      </c>
      <c r="H634" s="35" t="s">
        <v>1158</v>
      </c>
      <c r="I634" s="35" t="s">
        <v>59</v>
      </c>
      <c r="J634" s="35" t="s">
        <v>34</v>
      </c>
      <c r="K634" s="35" t="s">
        <v>35</v>
      </c>
      <c r="L634" s="35" t="s">
        <v>87</v>
      </c>
      <c r="M634" s="39">
        <v>31.0</v>
      </c>
      <c r="N634" s="40">
        <v>46233.0</v>
      </c>
      <c r="O634" s="42" t="b">
        <v>1</v>
      </c>
      <c r="P634" s="44">
        <v>46233.0</v>
      </c>
      <c r="Q634" s="34"/>
      <c r="R634" s="34"/>
      <c r="S634" s="34"/>
      <c r="T634" s="34"/>
    </row>
    <row r="635" ht="15.75" customHeight="1">
      <c r="B635" s="33">
        <v>46232.0</v>
      </c>
      <c r="C635" s="35">
        <v>1062.0</v>
      </c>
      <c r="D635" s="35">
        <v>95.0</v>
      </c>
      <c r="E635" s="37">
        <v>30.0</v>
      </c>
      <c r="F635" s="38">
        <f t="shared" si="2"/>
        <v>2850</v>
      </c>
      <c r="G635" s="65" t="s">
        <v>2999</v>
      </c>
      <c r="H635" s="35" t="s">
        <v>3000</v>
      </c>
      <c r="I635" s="35" t="s">
        <v>32</v>
      </c>
      <c r="J635" s="35" t="s">
        <v>34</v>
      </c>
      <c r="K635" s="35" t="s">
        <v>35</v>
      </c>
      <c r="L635" s="35" t="s">
        <v>37</v>
      </c>
      <c r="M635" s="39">
        <v>31.0</v>
      </c>
      <c r="N635" s="40">
        <v>46233.0</v>
      </c>
      <c r="O635" s="42" t="b">
        <v>0</v>
      </c>
      <c r="P635" s="44">
        <v>46238.0</v>
      </c>
      <c r="Q635" s="34"/>
      <c r="R635" s="33">
        <v>46233.0</v>
      </c>
      <c r="S635" s="34"/>
      <c r="T635" s="34"/>
    </row>
    <row r="636" ht="15.75" customHeight="1">
      <c r="B636" s="33">
        <v>46232.0</v>
      </c>
      <c r="C636" s="35">
        <v>1062.0</v>
      </c>
      <c r="D636" s="35">
        <v>23.0</v>
      </c>
      <c r="E636" s="37">
        <v>143.0</v>
      </c>
      <c r="F636" s="38">
        <f t="shared" si="2"/>
        <v>3289</v>
      </c>
      <c r="G636" s="65" t="s">
        <v>3004</v>
      </c>
      <c r="H636" s="35" t="s">
        <v>3005</v>
      </c>
      <c r="I636" s="35" t="s">
        <v>32</v>
      </c>
      <c r="J636" s="35" t="s">
        <v>34</v>
      </c>
      <c r="K636" s="35" t="s">
        <v>35</v>
      </c>
      <c r="L636" s="35" t="s">
        <v>37</v>
      </c>
      <c r="M636" s="39">
        <v>31.0</v>
      </c>
      <c r="N636" s="40">
        <v>46233.0</v>
      </c>
      <c r="O636" s="42" t="b">
        <v>0</v>
      </c>
      <c r="P636" s="44">
        <v>46238.0</v>
      </c>
      <c r="Q636" s="34"/>
      <c r="R636" s="33">
        <v>46233.0</v>
      </c>
      <c r="S636" s="34"/>
      <c r="T636" s="34"/>
    </row>
    <row r="637" ht="15.75" customHeight="1">
      <c r="B637" s="33">
        <v>46232.0</v>
      </c>
      <c r="C637" s="35">
        <v>1062.0</v>
      </c>
      <c r="D637" s="35">
        <v>112.0</v>
      </c>
      <c r="E637" s="37">
        <v>329.0</v>
      </c>
      <c r="F637" s="38">
        <f t="shared" si="2"/>
        <v>36848</v>
      </c>
      <c r="G637" s="65" t="s">
        <v>3010</v>
      </c>
      <c r="H637" s="35" t="s">
        <v>31</v>
      </c>
      <c r="I637" s="35" t="s">
        <v>32</v>
      </c>
      <c r="J637" s="35" t="s">
        <v>34</v>
      </c>
      <c r="K637" s="35" t="s">
        <v>35</v>
      </c>
      <c r="L637" s="35" t="s">
        <v>37</v>
      </c>
      <c r="M637" s="39">
        <v>31.0</v>
      </c>
      <c r="N637" s="40">
        <v>46233.0</v>
      </c>
      <c r="O637" s="42" t="b">
        <v>0</v>
      </c>
      <c r="P637" s="44">
        <v>46238.0</v>
      </c>
      <c r="Q637" s="34"/>
      <c r="R637" s="33">
        <v>46233.0</v>
      </c>
      <c r="S637" s="34"/>
      <c r="T637" s="34"/>
    </row>
    <row r="638" ht="15.75" customHeight="1">
      <c r="B638" s="33">
        <v>46232.0</v>
      </c>
      <c r="C638" s="35">
        <v>1062.0</v>
      </c>
      <c r="D638" s="35">
        <v>44.0</v>
      </c>
      <c r="E638" s="37">
        <v>289.0</v>
      </c>
      <c r="F638" s="38">
        <f t="shared" si="2"/>
        <v>12716</v>
      </c>
      <c r="G638" s="65" t="s">
        <v>3012</v>
      </c>
      <c r="H638" s="35" t="s">
        <v>2076</v>
      </c>
      <c r="I638" s="35" t="s">
        <v>32</v>
      </c>
      <c r="J638" s="35" t="s">
        <v>34</v>
      </c>
      <c r="K638" s="35" t="s">
        <v>35</v>
      </c>
      <c r="L638" s="35" t="s">
        <v>37</v>
      </c>
      <c r="M638" s="39">
        <v>31.0</v>
      </c>
      <c r="N638" s="40">
        <v>46233.0</v>
      </c>
      <c r="O638" s="42" t="b">
        <v>0</v>
      </c>
      <c r="P638" s="44">
        <v>46238.0</v>
      </c>
      <c r="Q638" s="34"/>
      <c r="R638" s="33">
        <v>46233.0</v>
      </c>
      <c r="S638" s="34"/>
      <c r="T638" s="34"/>
    </row>
    <row r="639" ht="15.75" customHeight="1">
      <c r="B639" s="33">
        <v>46232.0</v>
      </c>
      <c r="C639" s="46" t="s">
        <v>3015</v>
      </c>
      <c r="D639" s="35">
        <v>7.0</v>
      </c>
      <c r="E639" s="37">
        <v>35.0</v>
      </c>
      <c r="F639" s="38">
        <f t="shared" si="2"/>
        <v>245</v>
      </c>
      <c r="G639" s="65" t="s">
        <v>3016</v>
      </c>
      <c r="H639" s="35" t="s">
        <v>3000</v>
      </c>
      <c r="I639" s="35" t="s">
        <v>32</v>
      </c>
      <c r="J639" s="35" t="s">
        <v>34</v>
      </c>
      <c r="K639" s="35" t="s">
        <v>35</v>
      </c>
      <c r="L639" s="35" t="s">
        <v>868</v>
      </c>
      <c r="M639" s="39">
        <v>31.0</v>
      </c>
      <c r="N639" s="40">
        <v>46233.0</v>
      </c>
      <c r="O639" s="42" t="b">
        <v>0</v>
      </c>
      <c r="P639" s="44">
        <v>46238.0</v>
      </c>
      <c r="Q639" s="34"/>
      <c r="R639" s="34"/>
      <c r="S639" s="34"/>
      <c r="T639" s="34"/>
    </row>
    <row r="640" ht="15.75" customHeight="1">
      <c r="B640" s="33">
        <v>46232.0</v>
      </c>
      <c r="C640" s="46" t="s">
        <v>3015</v>
      </c>
      <c r="D640" s="35">
        <v>70.0</v>
      </c>
      <c r="E640" s="37">
        <v>140.0</v>
      </c>
      <c r="F640" s="38">
        <f t="shared" si="2"/>
        <v>9800</v>
      </c>
      <c r="G640" s="65" t="s">
        <v>3020</v>
      </c>
      <c r="H640" s="35" t="s">
        <v>3005</v>
      </c>
      <c r="I640" s="35" t="s">
        <v>32</v>
      </c>
      <c r="J640" s="35" t="s">
        <v>34</v>
      </c>
      <c r="K640" s="35" t="s">
        <v>35</v>
      </c>
      <c r="L640" s="35" t="s">
        <v>868</v>
      </c>
      <c r="M640" s="39">
        <v>31.0</v>
      </c>
      <c r="N640" s="40">
        <v>46233.0</v>
      </c>
      <c r="O640" s="42" t="b">
        <v>0</v>
      </c>
      <c r="P640" s="44">
        <v>46238.0</v>
      </c>
      <c r="Q640" s="34"/>
      <c r="R640" s="34"/>
      <c r="S640" s="34"/>
      <c r="T640" s="34"/>
    </row>
    <row r="641" ht="15.75" customHeight="1">
      <c r="B641" s="33">
        <v>46232.0</v>
      </c>
      <c r="C641" s="46" t="s">
        <v>3015</v>
      </c>
      <c r="D641" s="35">
        <v>20.0</v>
      </c>
      <c r="E641" s="37">
        <v>350.0</v>
      </c>
      <c r="F641" s="38">
        <f t="shared" si="2"/>
        <v>7000</v>
      </c>
      <c r="G641" s="65" t="s">
        <v>3022</v>
      </c>
      <c r="H641" s="35" t="s">
        <v>31</v>
      </c>
      <c r="I641" s="35" t="s">
        <v>32</v>
      </c>
      <c r="J641" s="35" t="s">
        <v>34</v>
      </c>
      <c r="K641" s="35" t="s">
        <v>35</v>
      </c>
      <c r="L641" s="35" t="s">
        <v>868</v>
      </c>
      <c r="M641" s="39">
        <v>31.0</v>
      </c>
      <c r="N641" s="44">
        <v>46233.0</v>
      </c>
      <c r="O641" s="42" t="b">
        <v>0</v>
      </c>
      <c r="P641" s="44">
        <v>46238.0</v>
      </c>
      <c r="Q641" s="34"/>
      <c r="R641" s="34"/>
      <c r="S641" s="34"/>
      <c r="T641" s="34"/>
    </row>
    <row r="642" ht="15.75" customHeight="1">
      <c r="B642" s="33">
        <v>46232.0</v>
      </c>
      <c r="C642" s="46" t="s">
        <v>3015</v>
      </c>
      <c r="D642" s="35">
        <v>80.0</v>
      </c>
      <c r="E642" s="37">
        <v>250.0</v>
      </c>
      <c r="F642" s="38">
        <f t="shared" si="2"/>
        <v>20000</v>
      </c>
      <c r="G642" s="65" t="s">
        <v>3024</v>
      </c>
      <c r="H642" s="35" t="s">
        <v>3026</v>
      </c>
      <c r="I642" s="35" t="s">
        <v>174</v>
      </c>
      <c r="J642" s="35" t="s">
        <v>175</v>
      </c>
      <c r="K642" s="35" t="s">
        <v>35</v>
      </c>
      <c r="L642" s="35" t="s">
        <v>868</v>
      </c>
      <c r="M642" s="39">
        <v>31.0</v>
      </c>
      <c r="N642" s="40">
        <v>46233.0</v>
      </c>
      <c r="O642" s="42" t="b">
        <v>0</v>
      </c>
      <c r="P642" s="44">
        <v>46238.0</v>
      </c>
      <c r="Q642" s="34"/>
      <c r="R642" s="34"/>
      <c r="S642" s="34"/>
      <c r="T642" s="34"/>
    </row>
    <row r="643" ht="15.75" customHeight="1">
      <c r="B643" s="33">
        <v>46232.0</v>
      </c>
      <c r="C643" s="35">
        <v>25530.0</v>
      </c>
      <c r="D643" s="35">
        <v>80.0</v>
      </c>
      <c r="E643" s="37">
        <v>17.99</v>
      </c>
      <c r="F643" s="38">
        <f t="shared" si="2"/>
        <v>1439.2</v>
      </c>
      <c r="G643" s="35" t="s">
        <v>3028</v>
      </c>
      <c r="H643" s="35" t="s">
        <v>1624</v>
      </c>
      <c r="I643" s="35" t="s">
        <v>2939</v>
      </c>
      <c r="J643" s="35" t="s">
        <v>1036</v>
      </c>
      <c r="K643" s="35" t="s">
        <v>1037</v>
      </c>
      <c r="L643" s="35" t="s">
        <v>96</v>
      </c>
      <c r="M643" s="39">
        <v>1.0</v>
      </c>
      <c r="N643" s="51" t="str">
        <f t="shared" ref="N643:N647" si="4">IF(B643&lt;TODAY()-2,"ATRASADO","EM DIA")</f>
        <v>ATRASADO</v>
      </c>
      <c r="O643" s="42" t="b">
        <v>0</v>
      </c>
      <c r="P643" s="44">
        <v>46252.0</v>
      </c>
      <c r="Q643" s="34"/>
      <c r="R643" s="34"/>
      <c r="S643" s="34"/>
      <c r="T643" s="34"/>
    </row>
    <row r="644" ht="15.75" customHeight="1">
      <c r="B644" s="33">
        <v>46232.0</v>
      </c>
      <c r="C644" s="35">
        <v>25530.0</v>
      </c>
      <c r="D644" s="35">
        <v>50.0</v>
      </c>
      <c r="E644" s="37">
        <v>18.9</v>
      </c>
      <c r="F644" s="38">
        <f t="shared" si="2"/>
        <v>945</v>
      </c>
      <c r="G644" s="35" t="s">
        <v>3033</v>
      </c>
      <c r="H644" s="35" t="s">
        <v>3035</v>
      </c>
      <c r="I644" s="35" t="s">
        <v>2939</v>
      </c>
      <c r="J644" s="35" t="s">
        <v>1036</v>
      </c>
      <c r="K644" s="35" t="s">
        <v>1037</v>
      </c>
      <c r="L644" s="35" t="s">
        <v>96</v>
      </c>
      <c r="M644" s="39">
        <v>1.0</v>
      </c>
      <c r="N644" s="51" t="str">
        <f t="shared" si="4"/>
        <v>ATRASADO</v>
      </c>
      <c r="O644" s="42" t="b">
        <v>0</v>
      </c>
      <c r="P644" s="44">
        <v>46252.0</v>
      </c>
      <c r="Q644" s="34"/>
      <c r="R644" s="34"/>
      <c r="S644" s="34"/>
      <c r="T644" s="34"/>
    </row>
    <row r="645" ht="15.75" customHeight="1">
      <c r="B645" s="33">
        <v>46232.0</v>
      </c>
      <c r="C645" s="35">
        <v>25530.0</v>
      </c>
      <c r="D645" s="35">
        <v>360.0</v>
      </c>
      <c r="E645" s="37">
        <v>2.99</v>
      </c>
      <c r="F645" s="38">
        <f t="shared" si="2"/>
        <v>1076.4</v>
      </c>
      <c r="G645" s="35" t="s">
        <v>3038</v>
      </c>
      <c r="H645" s="35" t="s">
        <v>3040</v>
      </c>
      <c r="I645" s="35" t="s">
        <v>2939</v>
      </c>
      <c r="J645" s="35" t="s">
        <v>1036</v>
      </c>
      <c r="K645" s="35" t="s">
        <v>1037</v>
      </c>
      <c r="L645" s="35" t="s">
        <v>96</v>
      </c>
      <c r="M645" s="39">
        <v>1.0</v>
      </c>
      <c r="N645" s="51" t="str">
        <f t="shared" si="4"/>
        <v>ATRASADO</v>
      </c>
      <c r="O645" s="42" t="b">
        <v>0</v>
      </c>
      <c r="P645" s="44">
        <v>46252.0</v>
      </c>
      <c r="Q645" s="34"/>
      <c r="R645" s="34"/>
      <c r="S645" s="34"/>
      <c r="T645" s="34"/>
    </row>
    <row r="646" ht="15.75" customHeight="1">
      <c r="B646" s="33">
        <v>46232.0</v>
      </c>
      <c r="C646" s="35">
        <v>25530.0</v>
      </c>
      <c r="D646" s="35">
        <v>48.0</v>
      </c>
      <c r="E646" s="37">
        <v>12.9</v>
      </c>
      <c r="F646" s="38">
        <f t="shared" si="2"/>
        <v>619.2</v>
      </c>
      <c r="G646" s="35" t="s">
        <v>3043</v>
      </c>
      <c r="H646" s="35" t="s">
        <v>3044</v>
      </c>
      <c r="I646" s="35" t="s">
        <v>2939</v>
      </c>
      <c r="J646" s="35" t="s">
        <v>1036</v>
      </c>
      <c r="K646" s="35" t="s">
        <v>1037</v>
      </c>
      <c r="L646" s="35" t="s">
        <v>96</v>
      </c>
      <c r="M646" s="39">
        <v>1.0</v>
      </c>
      <c r="N646" s="51" t="str">
        <f t="shared" si="4"/>
        <v>ATRASADO</v>
      </c>
      <c r="O646" s="42" t="b">
        <v>0</v>
      </c>
      <c r="P646" s="44">
        <v>46252.0</v>
      </c>
      <c r="Q646" s="34"/>
      <c r="R646" s="34"/>
      <c r="S646" s="34"/>
      <c r="T646" s="34"/>
    </row>
    <row r="647" ht="15.75" customHeight="1">
      <c r="B647" s="33">
        <v>46232.0</v>
      </c>
      <c r="C647" s="35">
        <v>25530.0</v>
      </c>
      <c r="D647" s="35">
        <v>50.0</v>
      </c>
      <c r="E647" s="37">
        <v>4.9</v>
      </c>
      <c r="F647" s="38">
        <f t="shared" si="2"/>
        <v>245</v>
      </c>
      <c r="G647" s="35" t="s">
        <v>2585</v>
      </c>
      <c r="H647" s="35" t="s">
        <v>2586</v>
      </c>
      <c r="I647" s="35" t="s">
        <v>2939</v>
      </c>
      <c r="J647" s="35" t="s">
        <v>1036</v>
      </c>
      <c r="K647" s="35" t="s">
        <v>1037</v>
      </c>
      <c r="L647" s="35" t="s">
        <v>96</v>
      </c>
      <c r="M647" s="39">
        <v>1.0</v>
      </c>
      <c r="N647" s="51" t="str">
        <f t="shared" si="4"/>
        <v>ATRASADO</v>
      </c>
      <c r="O647" s="42" t="b">
        <v>0</v>
      </c>
      <c r="P647" s="44">
        <v>46252.0</v>
      </c>
      <c r="Q647" s="34"/>
      <c r="R647" s="34"/>
      <c r="S647" s="34"/>
      <c r="T647" s="34"/>
    </row>
    <row r="648" ht="15.75" customHeight="1">
      <c r="B648" s="33">
        <v>46232.0</v>
      </c>
      <c r="C648" s="46" t="s">
        <v>3051</v>
      </c>
      <c r="D648" s="35">
        <v>10.0</v>
      </c>
      <c r="E648" s="37">
        <v>1215.0</v>
      </c>
      <c r="F648" s="38">
        <f t="shared" si="2"/>
        <v>12150</v>
      </c>
      <c r="G648" s="35" t="s">
        <v>3053</v>
      </c>
      <c r="H648" s="35" t="s">
        <v>3056</v>
      </c>
      <c r="I648" s="35" t="s">
        <v>237</v>
      </c>
      <c r="J648" s="35" t="s">
        <v>175</v>
      </c>
      <c r="K648" s="35" t="s">
        <v>35</v>
      </c>
      <c r="L648" s="35" t="s">
        <v>46</v>
      </c>
      <c r="M648" s="39">
        <v>1.0</v>
      </c>
      <c r="N648" s="40">
        <v>46233.0</v>
      </c>
      <c r="O648" s="42" t="b">
        <v>0</v>
      </c>
      <c r="P648" s="44">
        <v>46237.0</v>
      </c>
      <c r="Q648" s="34"/>
      <c r="R648" s="34"/>
      <c r="S648" s="34"/>
      <c r="T648" s="34"/>
    </row>
    <row r="649" ht="15.75" customHeight="1">
      <c r="B649" s="33">
        <v>46232.0</v>
      </c>
      <c r="C649" s="35" t="s">
        <v>35</v>
      </c>
      <c r="D649" s="35">
        <v>1.0</v>
      </c>
      <c r="E649" s="37">
        <v>6100.0</v>
      </c>
      <c r="F649" s="38">
        <f t="shared" si="2"/>
        <v>6100</v>
      </c>
      <c r="G649" s="35" t="s">
        <v>2261</v>
      </c>
      <c r="H649" s="35" t="s">
        <v>2250</v>
      </c>
      <c r="I649" s="35" t="s">
        <v>240</v>
      </c>
      <c r="J649" s="35" t="s">
        <v>34</v>
      </c>
      <c r="K649" s="35" t="s">
        <v>35</v>
      </c>
      <c r="L649" s="35" t="s">
        <v>2251</v>
      </c>
      <c r="M649" s="39">
        <v>1.0</v>
      </c>
      <c r="N649" s="40">
        <v>46234.0</v>
      </c>
      <c r="O649" s="42" t="b">
        <v>0</v>
      </c>
      <c r="P649" s="44">
        <v>46234.0</v>
      </c>
      <c r="Q649" s="34"/>
      <c r="R649" s="33">
        <v>46233.0</v>
      </c>
      <c r="S649" s="34"/>
      <c r="T649" s="34"/>
    </row>
    <row r="650" ht="15.75" customHeight="1">
      <c r="B650" s="33">
        <v>46232.0</v>
      </c>
      <c r="C650" s="35" t="s">
        <v>35</v>
      </c>
      <c r="D650" s="35">
        <v>1.0</v>
      </c>
      <c r="E650" s="37">
        <v>6100.0</v>
      </c>
      <c r="F650" s="38">
        <f t="shared" si="2"/>
        <v>6100</v>
      </c>
      <c r="G650" s="35" t="s">
        <v>2261</v>
      </c>
      <c r="H650" s="35" t="s">
        <v>2250</v>
      </c>
      <c r="I650" s="35" t="s">
        <v>221</v>
      </c>
      <c r="J650" s="35" t="s">
        <v>34</v>
      </c>
      <c r="K650" s="35" t="s">
        <v>3057</v>
      </c>
      <c r="L650" s="35" t="s">
        <v>2251</v>
      </c>
      <c r="M650" s="39">
        <v>1.0</v>
      </c>
      <c r="N650" s="40">
        <v>46234.0</v>
      </c>
      <c r="O650" s="42" t="b">
        <v>0</v>
      </c>
      <c r="P650" s="44">
        <v>46234.0</v>
      </c>
      <c r="Q650" s="34"/>
      <c r="R650" s="33">
        <v>46233.0</v>
      </c>
      <c r="S650" s="34"/>
      <c r="T650" s="34"/>
    </row>
    <row r="651" ht="15.75" customHeight="1">
      <c r="B651" s="33">
        <v>46232.0</v>
      </c>
      <c r="C651" s="35" t="s">
        <v>35</v>
      </c>
      <c r="D651" s="35">
        <v>1.0</v>
      </c>
      <c r="E651" s="37">
        <v>6100.0</v>
      </c>
      <c r="F651" s="38">
        <f t="shared" si="2"/>
        <v>6100</v>
      </c>
      <c r="G651" s="35" t="s">
        <v>2261</v>
      </c>
      <c r="H651" s="35" t="s">
        <v>2250</v>
      </c>
      <c r="I651" s="35" t="s">
        <v>2239</v>
      </c>
      <c r="J651" s="35" t="s">
        <v>183</v>
      </c>
      <c r="K651" s="35" t="s">
        <v>35</v>
      </c>
      <c r="L651" s="35" t="s">
        <v>2251</v>
      </c>
      <c r="M651" s="39">
        <v>1.0</v>
      </c>
      <c r="N651" s="40">
        <v>46234.0</v>
      </c>
      <c r="O651" s="42" t="b">
        <v>0</v>
      </c>
      <c r="P651" s="44">
        <v>46234.0</v>
      </c>
      <c r="Q651" s="34"/>
      <c r="R651" s="33">
        <v>46233.0</v>
      </c>
      <c r="S651" s="34"/>
      <c r="T651" s="34"/>
    </row>
    <row r="652" ht="15.75" customHeight="1">
      <c r="B652" s="33">
        <v>46231.0</v>
      </c>
      <c r="C652" s="35">
        <v>728026.0</v>
      </c>
      <c r="D652" s="35">
        <v>2.0</v>
      </c>
      <c r="E652" s="37">
        <v>880.0</v>
      </c>
      <c r="F652" s="38">
        <f t="shared" si="2"/>
        <v>1760</v>
      </c>
      <c r="G652" s="35" t="s">
        <v>3059</v>
      </c>
      <c r="H652" s="35" t="s">
        <v>3060</v>
      </c>
      <c r="I652" s="35" t="s">
        <v>41</v>
      </c>
      <c r="J652" s="35" t="s">
        <v>34</v>
      </c>
      <c r="K652" s="35" t="s">
        <v>35</v>
      </c>
      <c r="L652" s="35" t="s">
        <v>2232</v>
      </c>
      <c r="M652" s="39">
        <v>31.0</v>
      </c>
      <c r="N652" s="40">
        <v>46234.0</v>
      </c>
      <c r="O652" s="42" t="b">
        <v>0</v>
      </c>
      <c r="P652" s="44">
        <v>46237.0</v>
      </c>
      <c r="Q652" s="34"/>
      <c r="R652" s="34"/>
      <c r="S652" s="34"/>
      <c r="T652" s="34"/>
    </row>
    <row r="653" ht="15.75" customHeight="1">
      <c r="B653" s="33">
        <v>46231.0</v>
      </c>
      <c r="C653" s="35">
        <v>728026.0</v>
      </c>
      <c r="D653" s="35">
        <v>20.0</v>
      </c>
      <c r="E653" s="37">
        <v>108.0</v>
      </c>
      <c r="F653" s="38">
        <f t="shared" si="2"/>
        <v>2160</v>
      </c>
      <c r="G653" s="35" t="s">
        <v>3062</v>
      </c>
      <c r="H653" s="35" t="s">
        <v>3063</v>
      </c>
      <c r="I653" s="35" t="s">
        <v>41</v>
      </c>
      <c r="J653" s="35" t="s">
        <v>34</v>
      </c>
      <c r="K653" s="35" t="s">
        <v>35</v>
      </c>
      <c r="L653" s="35" t="s">
        <v>2232</v>
      </c>
      <c r="M653" s="39">
        <v>31.0</v>
      </c>
      <c r="N653" s="40">
        <v>46234.0</v>
      </c>
      <c r="O653" s="42" t="b">
        <v>0</v>
      </c>
      <c r="P653" s="44">
        <v>46237.0</v>
      </c>
      <c r="Q653" s="34"/>
      <c r="R653" s="34"/>
      <c r="S653" s="34"/>
      <c r="T653" s="34"/>
    </row>
    <row r="654" ht="15.75" customHeight="1">
      <c r="B654" s="33">
        <v>46231.0</v>
      </c>
      <c r="C654" s="35">
        <v>728026.0</v>
      </c>
      <c r="D654" s="35">
        <v>15.0</v>
      </c>
      <c r="E654" s="37">
        <v>64.0</v>
      </c>
      <c r="F654" s="38">
        <f t="shared" si="2"/>
        <v>960</v>
      </c>
      <c r="G654" s="35" t="s">
        <v>3064</v>
      </c>
      <c r="H654" s="35" t="s">
        <v>3066</v>
      </c>
      <c r="I654" s="35" t="s">
        <v>41</v>
      </c>
      <c r="J654" s="35" t="s">
        <v>34</v>
      </c>
      <c r="K654" s="35" t="s">
        <v>35</v>
      </c>
      <c r="L654" s="35" t="s">
        <v>2232</v>
      </c>
      <c r="M654" s="39">
        <v>31.0</v>
      </c>
      <c r="N654" s="40">
        <v>46234.0</v>
      </c>
      <c r="O654" s="42" t="b">
        <v>0</v>
      </c>
      <c r="P654" s="44">
        <v>46237.0</v>
      </c>
      <c r="Q654" s="34"/>
      <c r="R654" s="34"/>
      <c r="S654" s="34"/>
      <c r="T654" s="34"/>
    </row>
    <row r="655" ht="15.75" customHeight="1">
      <c r="B655" s="33">
        <v>46231.0</v>
      </c>
      <c r="C655" s="35">
        <v>728026.0</v>
      </c>
      <c r="D655" s="35">
        <v>25.0</v>
      </c>
      <c r="E655" s="37">
        <v>64.0</v>
      </c>
      <c r="F655" s="38">
        <f t="shared" si="2"/>
        <v>1600</v>
      </c>
      <c r="G655" s="35" t="s">
        <v>3067</v>
      </c>
      <c r="H655" s="35" t="s">
        <v>3068</v>
      </c>
      <c r="I655" s="35" t="s">
        <v>41</v>
      </c>
      <c r="J655" s="35" t="s">
        <v>34</v>
      </c>
      <c r="K655" s="35" t="s">
        <v>35</v>
      </c>
      <c r="L655" s="35" t="s">
        <v>2232</v>
      </c>
      <c r="M655" s="39">
        <v>31.0</v>
      </c>
      <c r="N655" s="40">
        <v>46234.0</v>
      </c>
      <c r="O655" s="42" t="b">
        <v>0</v>
      </c>
      <c r="P655" s="44">
        <v>46237.0</v>
      </c>
      <c r="Q655" s="34"/>
      <c r="R655" s="34"/>
      <c r="S655" s="34"/>
      <c r="T655" s="34"/>
    </row>
    <row r="656" ht="15.75" customHeight="1">
      <c r="B656" s="33">
        <v>46231.0</v>
      </c>
      <c r="C656" s="35">
        <v>728026.0</v>
      </c>
      <c r="D656" s="35">
        <v>50.0</v>
      </c>
      <c r="E656" s="37">
        <v>64.0</v>
      </c>
      <c r="F656" s="38">
        <f t="shared" si="2"/>
        <v>3200</v>
      </c>
      <c r="G656" s="35" t="s">
        <v>3070</v>
      </c>
      <c r="H656" s="35" t="s">
        <v>3071</v>
      </c>
      <c r="I656" s="35" t="s">
        <v>41</v>
      </c>
      <c r="J656" s="35" t="s">
        <v>34</v>
      </c>
      <c r="K656" s="35" t="s">
        <v>35</v>
      </c>
      <c r="L656" s="35" t="s">
        <v>2232</v>
      </c>
      <c r="M656" s="39">
        <v>31.0</v>
      </c>
      <c r="N656" s="40">
        <v>46234.0</v>
      </c>
      <c r="O656" s="42" t="b">
        <v>0</v>
      </c>
      <c r="P656" s="44">
        <v>46237.0</v>
      </c>
      <c r="Q656" s="34"/>
      <c r="R656" s="34"/>
      <c r="S656" s="34"/>
      <c r="T656" s="34"/>
    </row>
    <row r="657" ht="15.75" customHeight="1">
      <c r="B657" s="33">
        <v>46231.0</v>
      </c>
      <c r="C657" s="35">
        <v>728026.0</v>
      </c>
      <c r="D657" s="35">
        <v>30.0</v>
      </c>
      <c r="E657" s="37">
        <v>44.8</v>
      </c>
      <c r="F657" s="38">
        <f t="shared" si="2"/>
        <v>1344</v>
      </c>
      <c r="G657" s="35" t="s">
        <v>3075</v>
      </c>
      <c r="H657" s="35" t="s">
        <v>3077</v>
      </c>
      <c r="I657" s="35" t="s">
        <v>41</v>
      </c>
      <c r="J657" s="35" t="s">
        <v>34</v>
      </c>
      <c r="K657" s="35" t="s">
        <v>35</v>
      </c>
      <c r="L657" s="35" t="s">
        <v>2232</v>
      </c>
      <c r="M657" s="39">
        <v>31.0</v>
      </c>
      <c r="N657" s="40">
        <v>46234.0</v>
      </c>
      <c r="O657" s="42" t="b">
        <v>0</v>
      </c>
      <c r="P657" s="44">
        <v>46237.0</v>
      </c>
      <c r="Q657" s="34"/>
      <c r="R657" s="34"/>
      <c r="S657" s="34"/>
      <c r="T657" s="34"/>
    </row>
    <row r="658" ht="15.75" customHeight="1">
      <c r="B658" s="33">
        <v>46231.0</v>
      </c>
      <c r="C658" s="35">
        <v>728026.0</v>
      </c>
      <c r="D658" s="35">
        <v>30.0</v>
      </c>
      <c r="E658" s="37">
        <v>44.8</v>
      </c>
      <c r="F658" s="38">
        <f t="shared" si="2"/>
        <v>1344</v>
      </c>
      <c r="G658" s="35" t="s">
        <v>3075</v>
      </c>
      <c r="H658" s="35" t="s">
        <v>3077</v>
      </c>
      <c r="I658" s="35" t="s">
        <v>41</v>
      </c>
      <c r="J658" s="35" t="s">
        <v>34</v>
      </c>
      <c r="K658" s="35" t="s">
        <v>35</v>
      </c>
      <c r="L658" s="35" t="s">
        <v>2232</v>
      </c>
      <c r="M658" s="39">
        <v>31.0</v>
      </c>
      <c r="N658" s="40">
        <v>46234.0</v>
      </c>
      <c r="O658" s="42" t="b">
        <v>0</v>
      </c>
      <c r="P658" s="44">
        <v>46237.0</v>
      </c>
      <c r="Q658" s="34"/>
      <c r="R658" s="34"/>
      <c r="S658" s="34"/>
      <c r="T658" s="34"/>
    </row>
    <row r="659" ht="15.75" customHeight="1">
      <c r="B659" s="33">
        <v>46231.0</v>
      </c>
      <c r="C659" s="35">
        <v>728027.0</v>
      </c>
      <c r="D659" s="35">
        <v>16.0</v>
      </c>
      <c r="E659" s="37">
        <v>64.0</v>
      </c>
      <c r="F659" s="38">
        <f t="shared" si="2"/>
        <v>1024</v>
      </c>
      <c r="G659" s="35" t="s">
        <v>3081</v>
      </c>
      <c r="H659" s="35" t="s">
        <v>3082</v>
      </c>
      <c r="I659" s="35" t="s">
        <v>41</v>
      </c>
      <c r="J659" s="35" t="s">
        <v>34</v>
      </c>
      <c r="K659" s="35" t="s">
        <v>35</v>
      </c>
      <c r="L659" s="35" t="s">
        <v>2232</v>
      </c>
      <c r="M659" s="39">
        <v>31.0</v>
      </c>
      <c r="N659" s="40">
        <v>46234.0</v>
      </c>
      <c r="O659" s="42" t="b">
        <v>0</v>
      </c>
      <c r="P659" s="44">
        <v>46237.0</v>
      </c>
      <c r="Q659" s="34"/>
      <c r="R659" s="34"/>
      <c r="S659" s="34"/>
      <c r="T659" s="34"/>
    </row>
    <row r="660" ht="15.75" customHeight="1">
      <c r="B660" s="33">
        <v>46231.0</v>
      </c>
      <c r="C660" s="35">
        <v>728027.0</v>
      </c>
      <c r="D660" s="35">
        <v>20.0</v>
      </c>
      <c r="E660" s="37">
        <v>60.0</v>
      </c>
      <c r="F660" s="38">
        <f t="shared" si="2"/>
        <v>1200</v>
      </c>
      <c r="G660" s="35" t="s">
        <v>3085</v>
      </c>
      <c r="H660" s="35" t="s">
        <v>3087</v>
      </c>
      <c r="I660" s="35" t="s">
        <v>41</v>
      </c>
      <c r="J660" s="35" t="s">
        <v>34</v>
      </c>
      <c r="K660" s="35" t="s">
        <v>35</v>
      </c>
      <c r="L660" s="35" t="s">
        <v>2232</v>
      </c>
      <c r="M660" s="39">
        <v>31.0</v>
      </c>
      <c r="N660" s="40">
        <v>46234.0</v>
      </c>
      <c r="O660" s="42" t="b">
        <v>0</v>
      </c>
      <c r="P660" s="44">
        <v>46237.0</v>
      </c>
      <c r="Q660" s="34"/>
      <c r="R660" s="34"/>
      <c r="S660" s="34"/>
      <c r="T660" s="34"/>
    </row>
    <row r="661" ht="15.75" customHeight="1">
      <c r="B661" s="33">
        <v>46231.0</v>
      </c>
      <c r="C661" s="35">
        <v>728027.0</v>
      </c>
      <c r="D661" s="35">
        <v>30.0</v>
      </c>
      <c r="E661" s="37">
        <v>80.0</v>
      </c>
      <c r="F661" s="38">
        <f t="shared" si="2"/>
        <v>2400</v>
      </c>
      <c r="G661" s="35" t="s">
        <v>3091</v>
      </c>
      <c r="H661" s="35" t="s">
        <v>3092</v>
      </c>
      <c r="I661" s="35" t="s">
        <v>41</v>
      </c>
      <c r="J661" s="35" t="s">
        <v>34</v>
      </c>
      <c r="K661" s="35" t="s">
        <v>35</v>
      </c>
      <c r="L661" s="35" t="s">
        <v>2232</v>
      </c>
      <c r="M661" s="39">
        <v>31.0</v>
      </c>
      <c r="N661" s="40">
        <v>46234.0</v>
      </c>
      <c r="O661" s="42" t="b">
        <v>0</v>
      </c>
      <c r="P661" s="44">
        <v>46237.0</v>
      </c>
      <c r="Q661" s="34"/>
      <c r="R661" s="34"/>
      <c r="S661" s="34"/>
      <c r="T661" s="34"/>
    </row>
    <row r="662" ht="15.75" customHeight="1">
      <c r="B662" s="33">
        <v>46231.0</v>
      </c>
      <c r="C662" s="35">
        <v>728027.0</v>
      </c>
      <c r="D662" s="35">
        <v>30.0</v>
      </c>
      <c r="E662" s="37">
        <v>88.0</v>
      </c>
      <c r="F662" s="38">
        <f t="shared" si="2"/>
        <v>2640</v>
      </c>
      <c r="G662" s="35" t="s">
        <v>3094</v>
      </c>
      <c r="H662" s="35" t="s">
        <v>3095</v>
      </c>
      <c r="I662" s="35" t="s">
        <v>41</v>
      </c>
      <c r="J662" s="35" t="s">
        <v>34</v>
      </c>
      <c r="K662" s="35" t="s">
        <v>35</v>
      </c>
      <c r="L662" s="35" t="s">
        <v>2232</v>
      </c>
      <c r="M662" s="39">
        <v>31.0</v>
      </c>
      <c r="N662" s="40">
        <v>46234.0</v>
      </c>
      <c r="O662" s="42" t="b">
        <v>0</v>
      </c>
      <c r="P662" s="44">
        <v>46237.0</v>
      </c>
      <c r="Q662" s="34"/>
      <c r="R662" s="34"/>
      <c r="S662" s="34"/>
      <c r="T662" s="34"/>
    </row>
    <row r="663" ht="15.75" customHeight="1">
      <c r="B663" s="33">
        <v>46232.0</v>
      </c>
      <c r="C663" s="35">
        <v>16011.0</v>
      </c>
      <c r="D663" s="35">
        <v>20.0</v>
      </c>
      <c r="E663" s="37">
        <v>305.0</v>
      </c>
      <c r="F663" s="38">
        <f t="shared" si="2"/>
        <v>6100</v>
      </c>
      <c r="G663" s="35" t="s">
        <v>1822</v>
      </c>
      <c r="H663" s="35" t="s">
        <v>506</v>
      </c>
      <c r="I663" s="35" t="s">
        <v>59</v>
      </c>
      <c r="J663" s="35" t="s">
        <v>34</v>
      </c>
      <c r="K663" s="35" t="s">
        <v>35</v>
      </c>
      <c r="L663" s="35" t="s">
        <v>87</v>
      </c>
      <c r="M663" s="39">
        <v>31.0</v>
      </c>
      <c r="N663" s="44">
        <v>46233.0</v>
      </c>
      <c r="O663" s="42" t="b">
        <v>1</v>
      </c>
      <c r="P663" s="44">
        <v>46233.0</v>
      </c>
      <c r="Q663" s="34"/>
      <c r="R663" s="34"/>
      <c r="S663" s="34"/>
      <c r="T663" s="34"/>
    </row>
    <row r="664" ht="15.75" customHeight="1">
      <c r="B664" s="33">
        <v>46232.0</v>
      </c>
      <c r="C664" s="35">
        <v>16011.0</v>
      </c>
      <c r="D664" s="35">
        <v>20.0</v>
      </c>
      <c r="E664" s="37">
        <v>330.0</v>
      </c>
      <c r="F664" s="38">
        <f t="shared" si="2"/>
        <v>6600</v>
      </c>
      <c r="G664" s="35" t="s">
        <v>2893</v>
      </c>
      <c r="H664" s="35" t="s">
        <v>2894</v>
      </c>
      <c r="I664" s="35" t="s">
        <v>59</v>
      </c>
      <c r="J664" s="35" t="s">
        <v>34</v>
      </c>
      <c r="K664" s="35" t="s">
        <v>35</v>
      </c>
      <c r="L664" s="35" t="s">
        <v>87</v>
      </c>
      <c r="M664" s="39">
        <v>31.0</v>
      </c>
      <c r="N664" s="44">
        <v>46233.0</v>
      </c>
      <c r="O664" s="42" t="b">
        <v>1</v>
      </c>
      <c r="P664" s="44">
        <v>46233.0</v>
      </c>
      <c r="Q664" s="34"/>
      <c r="R664" s="34"/>
      <c r="S664" s="34"/>
      <c r="T664" s="34"/>
    </row>
    <row r="665" ht="15.75" customHeight="1">
      <c r="B665" s="33">
        <v>46232.0</v>
      </c>
      <c r="C665" s="35">
        <v>18926.0</v>
      </c>
      <c r="D665" s="35">
        <v>100.0</v>
      </c>
      <c r="E665" s="37">
        <v>18.0</v>
      </c>
      <c r="F665" s="38">
        <f t="shared" si="2"/>
        <v>1800</v>
      </c>
      <c r="G665" s="35" t="s">
        <v>3104</v>
      </c>
      <c r="H665" s="35" t="s">
        <v>3105</v>
      </c>
      <c r="I665" s="35" t="s">
        <v>41</v>
      </c>
      <c r="J665" s="35" t="s">
        <v>34</v>
      </c>
      <c r="K665" s="35" t="s">
        <v>35</v>
      </c>
      <c r="L665" s="35" t="s">
        <v>279</v>
      </c>
      <c r="M665" s="39">
        <v>1.0</v>
      </c>
      <c r="N665" s="40">
        <v>46234.0</v>
      </c>
      <c r="O665" s="42" t="b">
        <v>0</v>
      </c>
      <c r="P665" s="44">
        <v>46237.0</v>
      </c>
      <c r="Q665" s="34"/>
      <c r="R665" s="34"/>
      <c r="S665" s="34"/>
      <c r="T665" s="34"/>
    </row>
    <row r="666" ht="15.75" customHeight="1">
      <c r="B666" s="33">
        <v>46232.0</v>
      </c>
      <c r="C666" s="35">
        <v>18926.0</v>
      </c>
      <c r="D666" s="35">
        <v>400.0</v>
      </c>
      <c r="E666" s="37">
        <v>4.41</v>
      </c>
      <c r="F666" s="38">
        <f t="shared" si="2"/>
        <v>1764</v>
      </c>
      <c r="G666" s="35" t="s">
        <v>3107</v>
      </c>
      <c r="H666" s="35" t="s">
        <v>3108</v>
      </c>
      <c r="I666" s="35" t="s">
        <v>41</v>
      </c>
      <c r="J666" s="35" t="s">
        <v>34</v>
      </c>
      <c r="K666" s="35" t="s">
        <v>35</v>
      </c>
      <c r="L666" s="35" t="s">
        <v>279</v>
      </c>
      <c r="M666" s="39">
        <v>1.0</v>
      </c>
      <c r="N666" s="40">
        <v>46234.0</v>
      </c>
      <c r="O666" s="42" t="b">
        <v>0</v>
      </c>
      <c r="P666" s="44">
        <v>46237.0</v>
      </c>
      <c r="Q666" s="34"/>
      <c r="R666" s="34"/>
      <c r="S666" s="34"/>
      <c r="T666" s="34"/>
    </row>
    <row r="667" ht="15.75" customHeight="1">
      <c r="B667" s="33">
        <v>46232.0</v>
      </c>
      <c r="C667" s="35">
        <v>18926.0</v>
      </c>
      <c r="D667" s="35">
        <v>300.0</v>
      </c>
      <c r="E667" s="37">
        <v>5.31</v>
      </c>
      <c r="F667" s="38">
        <f t="shared" si="2"/>
        <v>1593</v>
      </c>
      <c r="G667" s="35" t="s">
        <v>3113</v>
      </c>
      <c r="H667" s="35" t="s">
        <v>1984</v>
      </c>
      <c r="I667" s="35" t="s">
        <v>41</v>
      </c>
      <c r="J667" s="35" t="s">
        <v>34</v>
      </c>
      <c r="K667" s="35" t="s">
        <v>35</v>
      </c>
      <c r="L667" s="35" t="s">
        <v>279</v>
      </c>
      <c r="M667" s="39">
        <v>1.0</v>
      </c>
      <c r="N667" s="40">
        <v>46234.0</v>
      </c>
      <c r="O667" s="42" t="b">
        <v>0</v>
      </c>
      <c r="P667" s="44">
        <v>46237.0</v>
      </c>
      <c r="Q667" s="34"/>
      <c r="R667" s="34"/>
      <c r="S667" s="34"/>
      <c r="T667" s="34"/>
    </row>
    <row r="668" ht="15.75" customHeight="1">
      <c r="B668" s="33">
        <v>46232.0</v>
      </c>
      <c r="C668" s="35">
        <v>18926.0</v>
      </c>
      <c r="D668" s="35">
        <v>200.0</v>
      </c>
      <c r="E668" s="37">
        <v>6.57</v>
      </c>
      <c r="F668" s="38">
        <f t="shared" si="2"/>
        <v>1314</v>
      </c>
      <c r="G668" s="35" t="s">
        <v>3115</v>
      </c>
      <c r="H668" s="35" t="s">
        <v>3116</v>
      </c>
      <c r="I668" s="35" t="s">
        <v>41</v>
      </c>
      <c r="J668" s="35" t="s">
        <v>34</v>
      </c>
      <c r="K668" s="35" t="s">
        <v>35</v>
      </c>
      <c r="L668" s="35" t="s">
        <v>279</v>
      </c>
      <c r="M668" s="39">
        <v>1.0</v>
      </c>
      <c r="N668" s="40">
        <v>46234.0</v>
      </c>
      <c r="O668" s="42" t="b">
        <v>0</v>
      </c>
      <c r="P668" s="44">
        <v>46237.0</v>
      </c>
      <c r="Q668" s="34"/>
      <c r="R668" s="34"/>
      <c r="S668" s="34"/>
      <c r="T668" s="34"/>
    </row>
    <row r="669" ht="15.75" customHeight="1">
      <c r="B669" s="33">
        <v>46232.0</v>
      </c>
      <c r="C669" s="35">
        <v>18926.0</v>
      </c>
      <c r="D669" s="35">
        <v>70.0</v>
      </c>
      <c r="E669" s="37">
        <v>10.8</v>
      </c>
      <c r="F669" s="38">
        <f t="shared" si="2"/>
        <v>756</v>
      </c>
      <c r="G669" s="35" t="s">
        <v>3120</v>
      </c>
      <c r="H669" s="35" t="s">
        <v>3121</v>
      </c>
      <c r="I669" s="35" t="s">
        <v>41</v>
      </c>
      <c r="J669" s="35" t="s">
        <v>34</v>
      </c>
      <c r="K669" s="35" t="s">
        <v>35</v>
      </c>
      <c r="L669" s="35" t="s">
        <v>279</v>
      </c>
      <c r="M669" s="39">
        <v>1.0</v>
      </c>
      <c r="N669" s="40">
        <v>46234.0</v>
      </c>
      <c r="O669" s="42" t="b">
        <v>0</v>
      </c>
      <c r="P669" s="44">
        <v>46237.0</v>
      </c>
      <c r="Q669" s="34"/>
      <c r="R669" s="34"/>
      <c r="S669" s="34"/>
      <c r="T669" s="34"/>
    </row>
    <row r="670" ht="15.75" customHeight="1">
      <c r="B670" s="33">
        <v>46232.0</v>
      </c>
      <c r="C670" s="35">
        <v>18926.0</v>
      </c>
      <c r="D670" s="35">
        <v>60.0</v>
      </c>
      <c r="E670" s="37">
        <v>16.2</v>
      </c>
      <c r="F670" s="38">
        <f t="shared" si="2"/>
        <v>972</v>
      </c>
      <c r="G670" s="35" t="s">
        <v>3126</v>
      </c>
      <c r="H670" s="35" t="s">
        <v>3128</v>
      </c>
      <c r="I670" s="35" t="s">
        <v>41</v>
      </c>
      <c r="J670" s="35" t="s">
        <v>34</v>
      </c>
      <c r="K670" s="35" t="s">
        <v>35</v>
      </c>
      <c r="L670" s="35" t="s">
        <v>279</v>
      </c>
      <c r="M670" s="39">
        <v>1.0</v>
      </c>
      <c r="N670" s="40">
        <v>46234.0</v>
      </c>
      <c r="O670" s="42" t="b">
        <v>0</v>
      </c>
      <c r="P670" s="44">
        <v>46237.0</v>
      </c>
      <c r="Q670" s="34"/>
      <c r="R670" s="34"/>
      <c r="S670" s="34"/>
      <c r="T670" s="34"/>
    </row>
    <row r="671" ht="15.75" customHeight="1">
      <c r="B671" s="33">
        <v>46232.0</v>
      </c>
      <c r="C671" s="35">
        <v>18926.0</v>
      </c>
      <c r="D671" s="35">
        <v>40.0</v>
      </c>
      <c r="E671" s="37">
        <v>23.4</v>
      </c>
      <c r="F671" s="38">
        <f t="shared" si="2"/>
        <v>936</v>
      </c>
      <c r="G671" s="35" t="s">
        <v>3132</v>
      </c>
      <c r="H671" s="35" t="s">
        <v>3133</v>
      </c>
      <c r="I671" s="35" t="s">
        <v>41</v>
      </c>
      <c r="J671" s="35" t="s">
        <v>34</v>
      </c>
      <c r="K671" s="35" t="s">
        <v>35</v>
      </c>
      <c r="L671" s="35" t="s">
        <v>279</v>
      </c>
      <c r="M671" s="39">
        <v>1.0</v>
      </c>
      <c r="N671" s="40">
        <v>46234.0</v>
      </c>
      <c r="O671" s="42" t="b">
        <v>0</v>
      </c>
      <c r="P671" s="44">
        <v>46237.0</v>
      </c>
      <c r="Q671" s="34"/>
      <c r="R671" s="34"/>
      <c r="S671" s="34"/>
      <c r="T671" s="34"/>
    </row>
    <row r="672" ht="15.75" customHeight="1">
      <c r="B672" s="33">
        <v>46232.0</v>
      </c>
      <c r="C672" s="35">
        <v>18926.0</v>
      </c>
      <c r="D672" s="35">
        <v>40.0</v>
      </c>
      <c r="E672" s="37">
        <v>44.1</v>
      </c>
      <c r="F672" s="38">
        <f t="shared" si="2"/>
        <v>1764</v>
      </c>
      <c r="G672" s="35" t="s">
        <v>3137</v>
      </c>
      <c r="H672" s="35" t="s">
        <v>3138</v>
      </c>
      <c r="I672" s="35" t="s">
        <v>41</v>
      </c>
      <c r="J672" s="35" t="s">
        <v>34</v>
      </c>
      <c r="K672" s="35" t="s">
        <v>35</v>
      </c>
      <c r="L672" s="35" t="s">
        <v>279</v>
      </c>
      <c r="M672" s="39">
        <v>1.0</v>
      </c>
      <c r="N672" s="40">
        <v>46234.0</v>
      </c>
      <c r="O672" s="42" t="b">
        <v>0</v>
      </c>
      <c r="P672" s="44">
        <v>46237.0</v>
      </c>
      <c r="Q672" s="34"/>
      <c r="R672" s="34"/>
      <c r="S672" s="34"/>
      <c r="T672" s="34"/>
    </row>
    <row r="673" ht="15.75" customHeight="1">
      <c r="B673" s="33">
        <v>46232.0</v>
      </c>
      <c r="C673" s="35">
        <v>18926.0</v>
      </c>
      <c r="D673" s="35">
        <v>100.0</v>
      </c>
      <c r="E673" s="37">
        <v>13.05</v>
      </c>
      <c r="F673" s="38">
        <f t="shared" si="2"/>
        <v>1305</v>
      </c>
      <c r="G673" s="35" t="s">
        <v>3141</v>
      </c>
      <c r="H673" s="35" t="s">
        <v>3142</v>
      </c>
      <c r="I673" s="35" t="s">
        <v>41</v>
      </c>
      <c r="J673" s="35" t="s">
        <v>34</v>
      </c>
      <c r="K673" s="35" t="s">
        <v>35</v>
      </c>
      <c r="L673" s="35" t="s">
        <v>279</v>
      </c>
      <c r="M673" s="39">
        <v>1.0</v>
      </c>
      <c r="N673" s="40">
        <v>46234.0</v>
      </c>
      <c r="O673" s="42" t="b">
        <v>0</v>
      </c>
      <c r="P673" s="44">
        <v>46237.0</v>
      </c>
      <c r="Q673" s="34"/>
      <c r="R673" s="34"/>
      <c r="S673" s="34"/>
      <c r="T673" s="34"/>
    </row>
    <row r="674" ht="15.75" customHeight="1">
      <c r="B674" s="33">
        <v>46233.0</v>
      </c>
      <c r="C674" s="46" t="s">
        <v>3143</v>
      </c>
      <c r="D674" s="35">
        <v>40.0</v>
      </c>
      <c r="E674" s="37">
        <v>342.0</v>
      </c>
      <c r="F674" s="38">
        <f t="shared" si="2"/>
        <v>13680</v>
      </c>
      <c r="G674" s="35" t="s">
        <v>3144</v>
      </c>
      <c r="H674" s="35" t="s">
        <v>3145</v>
      </c>
      <c r="I674" s="35" t="s">
        <v>32</v>
      </c>
      <c r="J674" s="35" t="s">
        <v>34</v>
      </c>
      <c r="K674" s="35" t="s">
        <v>35</v>
      </c>
      <c r="L674" s="35" t="s">
        <v>46</v>
      </c>
      <c r="M674" s="39">
        <v>1.0</v>
      </c>
      <c r="N674" s="40">
        <v>46234.0</v>
      </c>
      <c r="O674" s="42" t="b">
        <v>0</v>
      </c>
      <c r="P674" s="44">
        <v>46237.0</v>
      </c>
      <c r="Q674" s="34"/>
      <c r="R674" s="34"/>
      <c r="S674" s="34"/>
      <c r="T674" s="34"/>
    </row>
    <row r="675" ht="15.75" customHeight="1">
      <c r="B675" s="33">
        <v>46233.0</v>
      </c>
      <c r="C675" s="46" t="s">
        <v>3148</v>
      </c>
      <c r="D675" s="35">
        <v>799.0</v>
      </c>
      <c r="E675" s="37">
        <v>29.92</v>
      </c>
      <c r="F675" s="38">
        <f t="shared" si="2"/>
        <v>23906.08</v>
      </c>
      <c r="G675" s="35" t="s">
        <v>3096</v>
      </c>
      <c r="H675" s="35" t="s">
        <v>3149</v>
      </c>
      <c r="I675" s="35" t="s">
        <v>41</v>
      </c>
      <c r="J675" s="35" t="s">
        <v>34</v>
      </c>
      <c r="K675" s="35" t="s">
        <v>35</v>
      </c>
      <c r="L675" s="35" t="s">
        <v>62</v>
      </c>
      <c r="M675" s="39">
        <v>1.0</v>
      </c>
      <c r="N675" s="40">
        <v>46234.0</v>
      </c>
      <c r="O675" s="42" t="b">
        <v>0</v>
      </c>
      <c r="P675" s="44">
        <v>46238.0</v>
      </c>
      <c r="Q675" s="34"/>
      <c r="R675" s="34"/>
      <c r="S675" s="34"/>
      <c r="T675" s="34"/>
    </row>
    <row r="676" ht="15.75" customHeight="1">
      <c r="B676" s="33">
        <v>46233.0</v>
      </c>
      <c r="C676" s="46" t="s">
        <v>3148</v>
      </c>
      <c r="D676" s="35">
        <v>415.0</v>
      </c>
      <c r="E676" s="37">
        <v>6.16</v>
      </c>
      <c r="F676" s="38">
        <f t="shared" si="2"/>
        <v>2556.4</v>
      </c>
      <c r="G676" s="35" t="s">
        <v>3151</v>
      </c>
      <c r="H676" s="35" t="s">
        <v>3152</v>
      </c>
      <c r="I676" s="35" t="s">
        <v>41</v>
      </c>
      <c r="J676" s="35" t="s">
        <v>34</v>
      </c>
      <c r="K676" s="35" t="s">
        <v>35</v>
      </c>
      <c r="L676" s="35" t="s">
        <v>62</v>
      </c>
      <c r="M676" s="39">
        <v>1.0</v>
      </c>
      <c r="N676" s="40">
        <v>46234.0</v>
      </c>
      <c r="O676" s="42" t="b">
        <v>0</v>
      </c>
      <c r="P676" s="44">
        <v>46238.0</v>
      </c>
      <c r="Q676" s="34"/>
      <c r="R676" s="34"/>
      <c r="S676" s="34"/>
      <c r="T676" s="34"/>
    </row>
    <row r="677" ht="15.75" customHeight="1">
      <c r="B677" s="33">
        <v>46233.0</v>
      </c>
      <c r="C677" s="46" t="s">
        <v>3148</v>
      </c>
      <c r="D677" s="35">
        <v>415.0</v>
      </c>
      <c r="E677" s="37">
        <v>22.88</v>
      </c>
      <c r="F677" s="38">
        <f t="shared" si="2"/>
        <v>9495.2</v>
      </c>
      <c r="G677" s="35" t="s">
        <v>3156</v>
      </c>
      <c r="H677" s="35" t="s">
        <v>3158</v>
      </c>
      <c r="I677" s="35" t="s">
        <v>41</v>
      </c>
      <c r="J677" s="35" t="s">
        <v>34</v>
      </c>
      <c r="K677" s="35" t="s">
        <v>35</v>
      </c>
      <c r="L677" s="35" t="s">
        <v>62</v>
      </c>
      <c r="M677" s="39">
        <v>1.0</v>
      </c>
      <c r="N677" s="40">
        <v>46234.0</v>
      </c>
      <c r="O677" s="42" t="b">
        <v>0</v>
      </c>
      <c r="P677" s="44">
        <v>46238.0</v>
      </c>
      <c r="Q677" s="34"/>
      <c r="R677" s="34"/>
      <c r="S677" s="34"/>
      <c r="T677" s="34"/>
    </row>
    <row r="678" ht="15.75" customHeight="1">
      <c r="B678" s="33">
        <v>46233.0</v>
      </c>
      <c r="C678" s="35" t="s">
        <v>35</v>
      </c>
      <c r="D678" s="35">
        <v>3.0</v>
      </c>
      <c r="E678" s="37">
        <v>6100.0</v>
      </c>
      <c r="F678" s="38">
        <f t="shared" si="2"/>
        <v>18300</v>
      </c>
      <c r="G678" s="35" t="s">
        <v>2261</v>
      </c>
      <c r="H678" s="35" t="s">
        <v>2250</v>
      </c>
      <c r="I678" s="35" t="s">
        <v>39</v>
      </c>
      <c r="J678" s="35" t="s">
        <v>183</v>
      </c>
      <c r="K678" s="35" t="s">
        <v>35</v>
      </c>
      <c r="L678" s="35" t="s">
        <v>2251</v>
      </c>
      <c r="M678" s="39">
        <v>1.0</v>
      </c>
      <c r="N678" s="40">
        <v>46234.0</v>
      </c>
      <c r="O678" s="42" t="b">
        <v>0</v>
      </c>
      <c r="P678" s="44"/>
      <c r="Q678" s="34"/>
      <c r="R678" s="33">
        <v>46233.0</v>
      </c>
      <c r="S678" s="34"/>
      <c r="T678" s="34"/>
    </row>
    <row r="679" ht="15.75" customHeight="1">
      <c r="B679" s="33">
        <v>46233.0</v>
      </c>
      <c r="C679" s="35">
        <v>19040.0</v>
      </c>
      <c r="D679" s="35">
        <v>12.0</v>
      </c>
      <c r="E679" s="37">
        <v>171.0</v>
      </c>
      <c r="F679" s="38">
        <f t="shared" si="2"/>
        <v>2052</v>
      </c>
      <c r="G679" s="35" t="s">
        <v>3160</v>
      </c>
      <c r="H679" s="35" t="s">
        <v>3161</v>
      </c>
      <c r="I679" s="35" t="s">
        <v>41</v>
      </c>
      <c r="J679" s="35" t="s">
        <v>34</v>
      </c>
      <c r="K679" s="35" t="s">
        <v>35</v>
      </c>
      <c r="L679" s="35" t="s">
        <v>279</v>
      </c>
      <c r="M679" s="39">
        <v>1.0</v>
      </c>
      <c r="N679" s="40">
        <v>46234.0</v>
      </c>
      <c r="O679" s="42" t="b">
        <v>0</v>
      </c>
      <c r="P679" s="44">
        <v>46237.0</v>
      </c>
      <c r="Q679" s="34"/>
      <c r="R679" s="34"/>
      <c r="S679" s="34"/>
      <c r="T679" s="34"/>
    </row>
    <row r="680" ht="15.75" customHeight="1">
      <c r="B680" s="33">
        <v>46233.0</v>
      </c>
      <c r="C680" s="35">
        <v>25626.0</v>
      </c>
      <c r="D680" s="35">
        <v>16.0</v>
      </c>
      <c r="E680" s="37">
        <v>99.9</v>
      </c>
      <c r="F680" s="38">
        <f t="shared" si="2"/>
        <v>1598.4</v>
      </c>
      <c r="G680" s="35" t="s">
        <v>3163</v>
      </c>
      <c r="H680" s="35" t="s">
        <v>3164</v>
      </c>
      <c r="I680" s="35" t="s">
        <v>240</v>
      </c>
      <c r="J680" s="35" t="s">
        <v>1036</v>
      </c>
      <c r="K680" s="35" t="s">
        <v>1037</v>
      </c>
      <c r="L680" s="35" t="s">
        <v>96</v>
      </c>
      <c r="M680" s="39">
        <v>31.0</v>
      </c>
      <c r="N680" s="40">
        <v>46233.0</v>
      </c>
      <c r="O680" s="42" t="b">
        <v>0</v>
      </c>
      <c r="P680" s="44">
        <v>46237.0</v>
      </c>
      <c r="Q680" s="34"/>
      <c r="R680" s="34"/>
      <c r="S680" s="34"/>
      <c r="T680" s="34"/>
    </row>
    <row r="681" ht="15.75" customHeight="1">
      <c r="B681" s="33">
        <v>46233.0</v>
      </c>
      <c r="C681" s="35">
        <v>25626.0</v>
      </c>
      <c r="D681" s="35">
        <v>12.0</v>
      </c>
      <c r="E681" s="37">
        <v>289.9</v>
      </c>
      <c r="F681" s="38">
        <f t="shared" si="2"/>
        <v>3478.8</v>
      </c>
      <c r="G681" s="35" t="s">
        <v>3166</v>
      </c>
      <c r="H681" s="35" t="s">
        <v>3167</v>
      </c>
      <c r="I681" s="35" t="s">
        <v>240</v>
      </c>
      <c r="J681" s="35" t="s">
        <v>1036</v>
      </c>
      <c r="K681" s="35" t="s">
        <v>1037</v>
      </c>
      <c r="L681" s="35" t="s">
        <v>96</v>
      </c>
      <c r="M681" s="39">
        <v>31.0</v>
      </c>
      <c r="N681" s="40">
        <v>46233.0</v>
      </c>
      <c r="O681" s="42" t="b">
        <v>0</v>
      </c>
      <c r="P681" s="44">
        <v>46237.0</v>
      </c>
      <c r="Q681" s="34"/>
      <c r="R681" s="34"/>
      <c r="S681" s="34"/>
      <c r="T681" s="34"/>
    </row>
    <row r="682" ht="15.75" customHeight="1">
      <c r="B682" s="33">
        <v>46233.0</v>
      </c>
      <c r="C682" s="35">
        <v>25626.0</v>
      </c>
      <c r="D682" s="35">
        <v>4.0</v>
      </c>
      <c r="E682" s="37">
        <v>159.9</v>
      </c>
      <c r="F682" s="38">
        <f t="shared" si="2"/>
        <v>639.6</v>
      </c>
      <c r="G682" s="35" t="s">
        <v>3168</v>
      </c>
      <c r="H682" s="35" t="s">
        <v>3114</v>
      </c>
      <c r="I682" s="35" t="s">
        <v>240</v>
      </c>
      <c r="J682" s="35" t="s">
        <v>1036</v>
      </c>
      <c r="K682" s="35" t="s">
        <v>1037</v>
      </c>
      <c r="L682" s="35" t="s">
        <v>96</v>
      </c>
      <c r="M682" s="39">
        <v>31.0</v>
      </c>
      <c r="N682" s="40">
        <v>46233.0</v>
      </c>
      <c r="O682" s="42" t="b">
        <v>0</v>
      </c>
      <c r="P682" s="44">
        <v>46237.0</v>
      </c>
      <c r="Q682" s="34"/>
      <c r="R682" s="34"/>
      <c r="S682" s="34"/>
      <c r="T682" s="34"/>
    </row>
    <row r="683" ht="15.75" customHeight="1">
      <c r="B683" s="33">
        <v>46233.0</v>
      </c>
      <c r="C683" s="46" t="s">
        <v>3169</v>
      </c>
      <c r="D683" s="35">
        <v>8.0</v>
      </c>
      <c r="E683" s="37">
        <v>1170.0</v>
      </c>
      <c r="F683" s="38">
        <f t="shared" si="2"/>
        <v>9360</v>
      </c>
      <c r="G683" s="35" t="s">
        <v>3171</v>
      </c>
      <c r="H683" s="35" t="s">
        <v>3172</v>
      </c>
      <c r="I683" s="35" t="s">
        <v>174</v>
      </c>
      <c r="J683" s="35" t="s">
        <v>175</v>
      </c>
      <c r="K683" s="35" t="s">
        <v>35</v>
      </c>
      <c r="L683" s="35" t="s">
        <v>46</v>
      </c>
      <c r="M683" s="39">
        <v>1.0</v>
      </c>
      <c r="N683" s="40">
        <v>46234.0</v>
      </c>
      <c r="O683" s="42" t="b">
        <v>0</v>
      </c>
      <c r="P683" s="44">
        <v>46237.0</v>
      </c>
      <c r="Q683" s="34"/>
      <c r="R683" s="34"/>
      <c r="S683" s="34"/>
      <c r="T683" s="34"/>
    </row>
    <row r="684" ht="15.75" customHeight="1">
      <c r="B684" s="33">
        <v>46231.0</v>
      </c>
      <c r="C684" s="35">
        <v>25356.0</v>
      </c>
      <c r="D684" s="35">
        <v>30.0</v>
      </c>
      <c r="E684" s="37">
        <v>79.9</v>
      </c>
      <c r="F684" s="38">
        <f t="shared" si="2"/>
        <v>2397</v>
      </c>
      <c r="G684" s="35" t="s">
        <v>902</v>
      </c>
      <c r="H684" s="35" t="s">
        <v>732</v>
      </c>
      <c r="I684" s="35" t="s">
        <v>41</v>
      </c>
      <c r="J684" s="35" t="s">
        <v>34</v>
      </c>
      <c r="K684" s="35" t="s">
        <v>35</v>
      </c>
      <c r="L684" s="35" t="s">
        <v>96</v>
      </c>
      <c r="M684" s="39">
        <v>31.0</v>
      </c>
      <c r="N684" s="40">
        <v>46232.0</v>
      </c>
      <c r="O684" s="42" t="b">
        <v>0</v>
      </c>
      <c r="P684" s="44"/>
      <c r="Q684" s="34"/>
      <c r="R684" s="34"/>
      <c r="S684" s="34"/>
      <c r="T684" s="34"/>
    </row>
    <row r="685" ht="15.75" customHeight="1">
      <c r="B685" s="33">
        <v>46231.0</v>
      </c>
      <c r="C685" s="35">
        <v>25356.0</v>
      </c>
      <c r="D685" s="35">
        <v>10.0</v>
      </c>
      <c r="E685" s="37">
        <v>79.9</v>
      </c>
      <c r="F685" s="38">
        <f t="shared" si="2"/>
        <v>799</v>
      </c>
      <c r="G685" s="35" t="s">
        <v>2262</v>
      </c>
      <c r="H685" s="35" t="s">
        <v>2263</v>
      </c>
      <c r="I685" s="35" t="s">
        <v>41</v>
      </c>
      <c r="J685" s="35" t="s">
        <v>34</v>
      </c>
      <c r="K685" s="35" t="s">
        <v>35</v>
      </c>
      <c r="L685" s="35" t="s">
        <v>96</v>
      </c>
      <c r="M685" s="39">
        <v>31.0</v>
      </c>
      <c r="N685" s="40">
        <v>46232.0</v>
      </c>
      <c r="O685" s="42" t="b">
        <v>0</v>
      </c>
      <c r="P685" s="44"/>
      <c r="Q685" s="34"/>
      <c r="R685" s="34"/>
      <c r="S685" s="34"/>
      <c r="T685" s="34"/>
    </row>
    <row r="686" ht="15.75" customHeight="1">
      <c r="B686" s="33">
        <v>46231.0</v>
      </c>
      <c r="C686" s="35">
        <v>25356.0</v>
      </c>
      <c r="D686" s="35">
        <v>6.0</v>
      </c>
      <c r="E686" s="37">
        <v>329.9</v>
      </c>
      <c r="F686" s="38">
        <f t="shared" si="2"/>
        <v>1979.4</v>
      </c>
      <c r="G686" s="35" t="s">
        <v>420</v>
      </c>
      <c r="H686" s="35" t="s">
        <v>190</v>
      </c>
      <c r="I686" s="35" t="s">
        <v>41</v>
      </c>
      <c r="J686" s="35" t="s">
        <v>34</v>
      </c>
      <c r="K686" s="35" t="s">
        <v>35</v>
      </c>
      <c r="L686" s="35" t="s">
        <v>96</v>
      </c>
      <c r="M686" s="39">
        <v>31.0</v>
      </c>
      <c r="N686" s="40">
        <v>46232.0</v>
      </c>
      <c r="O686" s="42" t="b">
        <v>0</v>
      </c>
      <c r="P686" s="44"/>
      <c r="Q686" s="34"/>
      <c r="R686" s="34"/>
      <c r="S686" s="34"/>
      <c r="T686" s="34"/>
    </row>
    <row r="687" ht="15.75" customHeight="1">
      <c r="B687" s="33">
        <v>46231.0</v>
      </c>
      <c r="C687" s="35">
        <v>25356.0</v>
      </c>
      <c r="D687" s="35">
        <v>20.0</v>
      </c>
      <c r="E687" s="37">
        <v>119.9</v>
      </c>
      <c r="F687" s="38">
        <f t="shared" si="2"/>
        <v>2398</v>
      </c>
      <c r="G687" s="35" t="s">
        <v>2859</v>
      </c>
      <c r="H687" s="35" t="s">
        <v>701</v>
      </c>
      <c r="I687" s="35" t="s">
        <v>41</v>
      </c>
      <c r="J687" s="35" t="s">
        <v>34</v>
      </c>
      <c r="K687" s="35" t="s">
        <v>35</v>
      </c>
      <c r="L687" s="35" t="s">
        <v>96</v>
      </c>
      <c r="M687" s="39">
        <v>31.0</v>
      </c>
      <c r="N687" s="40">
        <v>46232.0</v>
      </c>
      <c r="O687" s="42" t="b">
        <v>0</v>
      </c>
      <c r="P687" s="44"/>
      <c r="Q687" s="34"/>
      <c r="R687" s="34"/>
      <c r="S687" s="34"/>
      <c r="T687" s="34"/>
    </row>
    <row r="688" ht="15.75" customHeight="1">
      <c r="B688" s="33">
        <v>46231.0</v>
      </c>
      <c r="C688" s="35">
        <v>25356.0</v>
      </c>
      <c r="D688" s="35">
        <v>2.0</v>
      </c>
      <c r="E688" s="37">
        <v>379.9</v>
      </c>
      <c r="F688" s="38">
        <f t="shared" si="2"/>
        <v>759.8</v>
      </c>
      <c r="G688" s="35" t="s">
        <v>1217</v>
      </c>
      <c r="H688" s="35" t="s">
        <v>1218</v>
      </c>
      <c r="I688" s="35" t="s">
        <v>41</v>
      </c>
      <c r="J688" s="35" t="s">
        <v>34</v>
      </c>
      <c r="K688" s="35" t="s">
        <v>35</v>
      </c>
      <c r="L688" s="35" t="s">
        <v>96</v>
      </c>
      <c r="M688" s="39">
        <v>31.0</v>
      </c>
      <c r="N688" s="40">
        <v>46232.0</v>
      </c>
      <c r="O688" s="42" t="b">
        <v>0</v>
      </c>
      <c r="P688" s="44"/>
      <c r="Q688" s="34"/>
      <c r="R688" s="34"/>
      <c r="S688" s="34"/>
      <c r="T688" s="34"/>
    </row>
    <row r="689" ht="15.75" customHeight="1">
      <c r="B689" s="33">
        <v>46231.0</v>
      </c>
      <c r="C689" s="35">
        <v>25356.0</v>
      </c>
      <c r="D689" s="35">
        <v>10.0</v>
      </c>
      <c r="E689" s="37">
        <v>79.99</v>
      </c>
      <c r="F689" s="38">
        <f t="shared" si="2"/>
        <v>799.9</v>
      </c>
      <c r="G689" s="35" t="s">
        <v>3186</v>
      </c>
      <c r="H689" s="35" t="s">
        <v>3031</v>
      </c>
      <c r="I689" s="35" t="s">
        <v>41</v>
      </c>
      <c r="J689" s="35" t="s">
        <v>34</v>
      </c>
      <c r="K689" s="35" t="s">
        <v>35</v>
      </c>
      <c r="L689" s="35" t="s">
        <v>96</v>
      </c>
      <c r="M689" s="39">
        <v>31.0</v>
      </c>
      <c r="N689" s="40">
        <v>46232.0</v>
      </c>
      <c r="O689" s="42" t="b">
        <v>0</v>
      </c>
      <c r="P689" s="44"/>
      <c r="Q689" s="34"/>
      <c r="R689" s="34"/>
      <c r="S689" s="34"/>
      <c r="T689" s="34"/>
    </row>
    <row r="690" ht="15.75" customHeight="1">
      <c r="B690" s="33">
        <v>46231.0</v>
      </c>
      <c r="C690" s="35">
        <v>25356.0</v>
      </c>
      <c r="D690" s="35">
        <v>10.0</v>
      </c>
      <c r="E690" s="37">
        <v>149.99</v>
      </c>
      <c r="F690" s="38">
        <f t="shared" si="2"/>
        <v>1499.9</v>
      </c>
      <c r="G690" s="35" t="s">
        <v>3188</v>
      </c>
      <c r="H690" s="35" t="s">
        <v>1942</v>
      </c>
      <c r="I690" s="35" t="s">
        <v>41</v>
      </c>
      <c r="J690" s="35" t="s">
        <v>34</v>
      </c>
      <c r="K690" s="35" t="s">
        <v>35</v>
      </c>
      <c r="L690" s="35" t="s">
        <v>96</v>
      </c>
      <c r="M690" s="39">
        <v>31.0</v>
      </c>
      <c r="N690" s="40">
        <v>46232.0</v>
      </c>
      <c r="O690" s="42" t="b">
        <v>0</v>
      </c>
      <c r="P690" s="44"/>
      <c r="Q690" s="34"/>
      <c r="R690" s="34"/>
      <c r="S690" s="34"/>
      <c r="T690" s="34"/>
    </row>
    <row r="691" ht="15.75" customHeight="1">
      <c r="B691" s="33">
        <v>46231.0</v>
      </c>
      <c r="C691" s="35">
        <v>25356.0</v>
      </c>
      <c r="D691" s="35">
        <v>20.0</v>
      </c>
      <c r="E691" s="37">
        <v>53.99</v>
      </c>
      <c r="F691" s="38">
        <f t="shared" si="2"/>
        <v>1079.8</v>
      </c>
      <c r="G691" s="35" t="s">
        <v>3190</v>
      </c>
      <c r="H691" s="35" t="s">
        <v>3191</v>
      </c>
      <c r="I691" s="35" t="s">
        <v>41</v>
      </c>
      <c r="J691" s="35" t="s">
        <v>34</v>
      </c>
      <c r="K691" s="35" t="s">
        <v>35</v>
      </c>
      <c r="L691" s="35" t="s">
        <v>96</v>
      </c>
      <c r="M691" s="39">
        <v>31.0</v>
      </c>
      <c r="N691" s="40">
        <v>46232.0</v>
      </c>
      <c r="O691" s="42" t="b">
        <v>0</v>
      </c>
      <c r="P691" s="44"/>
      <c r="Q691" s="34"/>
      <c r="R691" s="34"/>
      <c r="S691" s="34"/>
      <c r="T691" s="34"/>
    </row>
    <row r="692" ht="15.75" customHeight="1">
      <c r="B692" s="33">
        <v>46231.0</v>
      </c>
      <c r="C692" s="35">
        <v>25335.0</v>
      </c>
      <c r="D692" s="35">
        <v>20.0</v>
      </c>
      <c r="E692" s="37">
        <v>159.9</v>
      </c>
      <c r="F692" s="38">
        <f t="shared" si="2"/>
        <v>3198</v>
      </c>
      <c r="G692" s="35" t="s">
        <v>3193</v>
      </c>
      <c r="H692" s="35" t="s">
        <v>2987</v>
      </c>
      <c r="I692" s="35" t="s">
        <v>41</v>
      </c>
      <c r="J692" s="35" t="s">
        <v>34</v>
      </c>
      <c r="K692" s="35" t="s">
        <v>35</v>
      </c>
      <c r="L692" s="35" t="s">
        <v>96</v>
      </c>
      <c r="M692" s="39">
        <v>31.0</v>
      </c>
      <c r="N692" s="40">
        <v>46232.0</v>
      </c>
      <c r="O692" s="42" t="b">
        <v>0</v>
      </c>
      <c r="P692" s="44"/>
      <c r="Q692" s="34"/>
      <c r="R692" s="34"/>
      <c r="S692" s="34"/>
      <c r="T692" s="34"/>
    </row>
    <row r="693" ht="15.75" customHeight="1">
      <c r="B693" s="33">
        <v>46231.0</v>
      </c>
      <c r="C693" s="35">
        <v>25335.0</v>
      </c>
      <c r="D693" s="35">
        <v>4.0</v>
      </c>
      <c r="E693" s="37">
        <v>169.9</v>
      </c>
      <c r="F693" s="38">
        <f t="shared" si="2"/>
        <v>679.6</v>
      </c>
      <c r="G693" s="35" t="s">
        <v>3194</v>
      </c>
      <c r="H693" s="35" t="s">
        <v>3195</v>
      </c>
      <c r="I693" s="35" t="s">
        <v>41</v>
      </c>
      <c r="J693" s="35" t="s">
        <v>34</v>
      </c>
      <c r="K693" s="35" t="s">
        <v>35</v>
      </c>
      <c r="L693" s="35" t="s">
        <v>96</v>
      </c>
      <c r="M693" s="39">
        <v>31.0</v>
      </c>
      <c r="N693" s="40">
        <v>46232.0</v>
      </c>
      <c r="O693" s="42" t="b">
        <v>0</v>
      </c>
      <c r="P693" s="44"/>
      <c r="Q693" s="34"/>
      <c r="R693" s="34"/>
      <c r="S693" s="34"/>
      <c r="T693" s="34"/>
    </row>
    <row r="694" ht="15.75" customHeight="1">
      <c r="B694" s="33">
        <v>46231.0</v>
      </c>
      <c r="C694" s="35">
        <v>25335.0</v>
      </c>
      <c r="D694" s="35">
        <v>60.0</v>
      </c>
      <c r="E694" s="37">
        <v>12.99</v>
      </c>
      <c r="F694" s="38">
        <f t="shared" si="2"/>
        <v>779.4</v>
      </c>
      <c r="G694" s="35" t="s">
        <v>1625</v>
      </c>
      <c r="H694" s="35" t="s">
        <v>3198</v>
      </c>
      <c r="I694" s="35" t="s">
        <v>41</v>
      </c>
      <c r="J694" s="35" t="s">
        <v>34</v>
      </c>
      <c r="K694" s="35" t="s">
        <v>35</v>
      </c>
      <c r="L694" s="35" t="s">
        <v>96</v>
      </c>
      <c r="M694" s="39">
        <v>31.0</v>
      </c>
      <c r="N694" s="40">
        <v>46232.0</v>
      </c>
      <c r="O694" s="42" t="b">
        <v>0</v>
      </c>
      <c r="P694" s="44"/>
      <c r="Q694" s="34"/>
      <c r="R694" s="34"/>
      <c r="S694" s="34"/>
      <c r="T694" s="34"/>
    </row>
    <row r="695" ht="15.75" customHeight="1">
      <c r="B695" s="33">
        <v>46231.0</v>
      </c>
      <c r="C695" s="35">
        <v>25335.0</v>
      </c>
      <c r="D695" s="35">
        <v>5.0</v>
      </c>
      <c r="E695" s="37">
        <v>139.9</v>
      </c>
      <c r="F695" s="38">
        <f t="shared" si="2"/>
        <v>699.5</v>
      </c>
      <c r="G695" s="35" t="s">
        <v>845</v>
      </c>
      <c r="H695" s="35" t="s">
        <v>846</v>
      </c>
      <c r="I695" s="35" t="s">
        <v>41</v>
      </c>
      <c r="J695" s="35" t="s">
        <v>34</v>
      </c>
      <c r="K695" s="35" t="s">
        <v>35</v>
      </c>
      <c r="L695" s="35" t="s">
        <v>96</v>
      </c>
      <c r="M695" s="39">
        <v>31.0</v>
      </c>
      <c r="N695" s="40">
        <v>46232.0</v>
      </c>
      <c r="O695" s="42" t="b">
        <v>0</v>
      </c>
      <c r="P695" s="44"/>
      <c r="Q695" s="34"/>
      <c r="R695" s="34"/>
      <c r="S695" s="34"/>
      <c r="T695" s="34"/>
    </row>
    <row r="696" ht="15.75" customHeight="1">
      <c r="B696" s="33">
        <v>46231.0</v>
      </c>
      <c r="C696" s="35">
        <v>25335.0</v>
      </c>
      <c r="D696" s="35">
        <v>3.0</v>
      </c>
      <c r="E696" s="37">
        <v>269.9</v>
      </c>
      <c r="F696" s="38">
        <f t="shared" si="2"/>
        <v>809.7</v>
      </c>
      <c r="G696" s="35" t="s">
        <v>833</v>
      </c>
      <c r="H696" s="35" t="s">
        <v>200</v>
      </c>
      <c r="I696" s="35" t="s">
        <v>41</v>
      </c>
      <c r="J696" s="35" t="s">
        <v>34</v>
      </c>
      <c r="K696" s="35" t="s">
        <v>35</v>
      </c>
      <c r="L696" s="35" t="s">
        <v>96</v>
      </c>
      <c r="M696" s="39">
        <v>31.0</v>
      </c>
      <c r="N696" s="40">
        <v>46232.0</v>
      </c>
      <c r="O696" s="42" t="b">
        <v>0</v>
      </c>
      <c r="P696" s="44"/>
      <c r="Q696" s="34"/>
      <c r="R696" s="34"/>
      <c r="S696" s="34"/>
      <c r="T696" s="34"/>
    </row>
    <row r="697" ht="15.75" customHeight="1">
      <c r="B697" s="33">
        <v>46231.0</v>
      </c>
      <c r="C697" s="35">
        <v>25335.0</v>
      </c>
      <c r="D697" s="35">
        <v>6.0</v>
      </c>
      <c r="E697" s="37">
        <v>139.9</v>
      </c>
      <c r="F697" s="38">
        <f t="shared" si="2"/>
        <v>839.4</v>
      </c>
      <c r="G697" s="35" t="s">
        <v>540</v>
      </c>
      <c r="H697" s="35" t="s">
        <v>541</v>
      </c>
      <c r="I697" s="35" t="s">
        <v>41</v>
      </c>
      <c r="J697" s="35" t="s">
        <v>34</v>
      </c>
      <c r="K697" s="35" t="s">
        <v>35</v>
      </c>
      <c r="L697" s="35" t="s">
        <v>96</v>
      </c>
      <c r="M697" s="39">
        <v>31.0</v>
      </c>
      <c r="N697" s="40">
        <v>46232.0</v>
      </c>
      <c r="O697" s="42" t="b">
        <v>0</v>
      </c>
      <c r="P697" s="44"/>
      <c r="Q697" s="34"/>
      <c r="R697" s="34"/>
      <c r="S697" s="34"/>
      <c r="T697" s="34"/>
    </row>
    <row r="698" ht="15.75" customHeight="1">
      <c r="B698" s="33">
        <v>46231.0</v>
      </c>
      <c r="C698" s="35">
        <v>25335.0</v>
      </c>
      <c r="D698" s="35">
        <v>6.0</v>
      </c>
      <c r="E698" s="37">
        <v>259.9</v>
      </c>
      <c r="F698" s="38">
        <f t="shared" si="2"/>
        <v>1559.4</v>
      </c>
      <c r="G698" s="35" t="s">
        <v>2404</v>
      </c>
      <c r="H698" s="35" t="s">
        <v>2405</v>
      </c>
      <c r="I698" s="35" t="s">
        <v>41</v>
      </c>
      <c r="J698" s="35" t="s">
        <v>34</v>
      </c>
      <c r="K698" s="35" t="s">
        <v>35</v>
      </c>
      <c r="L698" s="35" t="s">
        <v>96</v>
      </c>
      <c r="M698" s="39">
        <v>31.0</v>
      </c>
      <c r="N698" s="40">
        <v>46232.0</v>
      </c>
      <c r="O698" s="42" t="b">
        <v>0</v>
      </c>
      <c r="P698" s="44"/>
      <c r="Q698" s="34"/>
      <c r="R698" s="34"/>
      <c r="S698" s="34"/>
      <c r="T698" s="34"/>
    </row>
    <row r="699" ht="15.75" customHeight="1">
      <c r="B699" s="33">
        <v>46231.0</v>
      </c>
      <c r="C699" s="35">
        <v>25335.0</v>
      </c>
      <c r="D699" s="35">
        <v>5.0</v>
      </c>
      <c r="E699" s="37">
        <v>259.9</v>
      </c>
      <c r="F699" s="38">
        <f t="shared" si="2"/>
        <v>1299.5</v>
      </c>
      <c r="G699" s="35" t="s">
        <v>1166</v>
      </c>
      <c r="H699" s="35" t="s">
        <v>1167</v>
      </c>
      <c r="I699" s="35" t="s">
        <v>41</v>
      </c>
      <c r="J699" s="35" t="s">
        <v>34</v>
      </c>
      <c r="K699" s="35" t="s">
        <v>35</v>
      </c>
      <c r="L699" s="35" t="s">
        <v>96</v>
      </c>
      <c r="M699" s="39">
        <v>31.0</v>
      </c>
      <c r="N699" s="40">
        <v>46232.0</v>
      </c>
      <c r="O699" s="42" t="b">
        <v>0</v>
      </c>
      <c r="P699" s="44"/>
      <c r="Q699" s="34"/>
      <c r="R699" s="34"/>
      <c r="S699" s="34"/>
      <c r="T699" s="34"/>
    </row>
    <row r="700" ht="15.75" customHeight="1">
      <c r="B700" s="33">
        <v>46231.0</v>
      </c>
      <c r="C700" s="35">
        <v>25335.0</v>
      </c>
      <c r="D700" s="35">
        <v>4.0</v>
      </c>
      <c r="E700" s="37">
        <v>499.9</v>
      </c>
      <c r="F700" s="38">
        <f t="shared" si="2"/>
        <v>1999.6</v>
      </c>
      <c r="G700" s="35" t="s">
        <v>736</v>
      </c>
      <c r="H700" s="35" t="s">
        <v>737</v>
      </c>
      <c r="I700" s="35" t="s">
        <v>41</v>
      </c>
      <c r="J700" s="35" t="s">
        <v>34</v>
      </c>
      <c r="K700" s="35" t="s">
        <v>35</v>
      </c>
      <c r="L700" s="35" t="s">
        <v>96</v>
      </c>
      <c r="M700" s="39">
        <v>31.0</v>
      </c>
      <c r="N700" s="40">
        <v>46232.0</v>
      </c>
      <c r="O700" s="42" t="b">
        <v>0</v>
      </c>
      <c r="P700" s="44"/>
      <c r="Q700" s="34"/>
      <c r="R700" s="34"/>
      <c r="S700" s="34"/>
      <c r="T700" s="34"/>
    </row>
    <row r="701" ht="15.75" customHeight="1">
      <c r="B701" s="33">
        <v>46231.0</v>
      </c>
      <c r="C701" s="35">
        <v>25335.0</v>
      </c>
      <c r="D701" s="35">
        <v>5.0</v>
      </c>
      <c r="E701" s="37">
        <v>339.9</v>
      </c>
      <c r="F701" s="38">
        <f t="shared" si="2"/>
        <v>1699.5</v>
      </c>
      <c r="G701" s="35" t="s">
        <v>393</v>
      </c>
      <c r="H701" s="35" t="s">
        <v>396</v>
      </c>
      <c r="I701" s="35" t="s">
        <v>41</v>
      </c>
      <c r="J701" s="35" t="s">
        <v>34</v>
      </c>
      <c r="K701" s="35" t="s">
        <v>35</v>
      </c>
      <c r="L701" s="35" t="s">
        <v>96</v>
      </c>
      <c r="M701" s="39">
        <v>31.0</v>
      </c>
      <c r="N701" s="40">
        <v>46232.0</v>
      </c>
      <c r="O701" s="42" t="b">
        <v>0</v>
      </c>
      <c r="P701" s="44"/>
      <c r="Q701" s="34"/>
      <c r="R701" s="34"/>
      <c r="S701" s="34"/>
      <c r="T701" s="34"/>
    </row>
    <row r="702" ht="15.75" customHeight="1">
      <c r="B702" s="33">
        <v>46231.0</v>
      </c>
      <c r="C702" s="35">
        <v>25335.0</v>
      </c>
      <c r="D702" s="35">
        <v>50.0</v>
      </c>
      <c r="E702" s="37">
        <v>24.8</v>
      </c>
      <c r="F702" s="38">
        <f t="shared" si="2"/>
        <v>1240</v>
      </c>
      <c r="G702" s="35" t="s">
        <v>2932</v>
      </c>
      <c r="H702" s="35" t="s">
        <v>2934</v>
      </c>
      <c r="I702" s="35" t="s">
        <v>41</v>
      </c>
      <c r="J702" s="35" t="s">
        <v>34</v>
      </c>
      <c r="K702" s="35" t="s">
        <v>35</v>
      </c>
      <c r="L702" s="35" t="s">
        <v>96</v>
      </c>
      <c r="M702" s="39">
        <v>31.0</v>
      </c>
      <c r="N702" s="40">
        <v>46232.0</v>
      </c>
      <c r="O702" s="42" t="b">
        <v>0</v>
      </c>
      <c r="P702" s="44"/>
      <c r="Q702" s="34"/>
      <c r="R702" s="34"/>
      <c r="S702" s="34"/>
      <c r="T702" s="34"/>
    </row>
    <row r="703" ht="15.75" customHeight="1">
      <c r="B703" s="33">
        <v>46231.0</v>
      </c>
      <c r="C703" s="35">
        <v>25335.0</v>
      </c>
      <c r="D703" s="35">
        <v>48.0</v>
      </c>
      <c r="E703" s="37">
        <v>15.9</v>
      </c>
      <c r="F703" s="38">
        <f t="shared" si="2"/>
        <v>763.2</v>
      </c>
      <c r="G703" s="35" t="s">
        <v>3211</v>
      </c>
      <c r="H703" s="35" t="s">
        <v>2366</v>
      </c>
      <c r="I703" s="35" t="s">
        <v>41</v>
      </c>
      <c r="J703" s="35" t="s">
        <v>34</v>
      </c>
      <c r="K703" s="35" t="s">
        <v>35</v>
      </c>
      <c r="L703" s="35" t="s">
        <v>96</v>
      </c>
      <c r="M703" s="39">
        <v>31.0</v>
      </c>
      <c r="N703" s="40">
        <v>46232.0</v>
      </c>
      <c r="O703" s="42" t="b">
        <v>0</v>
      </c>
      <c r="P703" s="44"/>
      <c r="Q703" s="34"/>
      <c r="R703" s="34"/>
      <c r="S703" s="34"/>
      <c r="T703" s="34"/>
    </row>
    <row r="704" ht="15.75" customHeight="1">
      <c r="B704" s="33">
        <v>46231.0</v>
      </c>
      <c r="C704" s="35">
        <v>25335.0</v>
      </c>
      <c r="D704" s="35">
        <v>24.0</v>
      </c>
      <c r="E704" s="37">
        <v>21.8</v>
      </c>
      <c r="F704" s="38">
        <f t="shared" si="2"/>
        <v>523.2</v>
      </c>
      <c r="G704" s="35" t="s">
        <v>3215</v>
      </c>
      <c r="H704" s="35" t="s">
        <v>3216</v>
      </c>
      <c r="I704" s="35" t="s">
        <v>41</v>
      </c>
      <c r="J704" s="35" t="s">
        <v>34</v>
      </c>
      <c r="K704" s="35" t="s">
        <v>35</v>
      </c>
      <c r="L704" s="35" t="s">
        <v>96</v>
      </c>
      <c r="M704" s="39">
        <v>31.0</v>
      </c>
      <c r="N704" s="40">
        <v>46232.0</v>
      </c>
      <c r="O704" s="42" t="b">
        <v>0</v>
      </c>
      <c r="P704" s="44"/>
      <c r="Q704" s="34"/>
      <c r="R704" s="34"/>
      <c r="S704" s="34"/>
      <c r="T704" s="34"/>
    </row>
    <row r="705" ht="15.75" customHeight="1">
      <c r="B705" s="33">
        <v>46231.0</v>
      </c>
      <c r="C705" s="35">
        <v>25335.0</v>
      </c>
      <c r="D705" s="35">
        <v>70.0</v>
      </c>
      <c r="E705" s="37">
        <v>8.9</v>
      </c>
      <c r="F705" s="38">
        <f t="shared" si="2"/>
        <v>623</v>
      </c>
      <c r="G705" s="35" t="s">
        <v>3219</v>
      </c>
      <c r="H705" s="35" t="s">
        <v>3220</v>
      </c>
      <c r="I705" s="35" t="s">
        <v>41</v>
      </c>
      <c r="J705" s="35" t="s">
        <v>34</v>
      </c>
      <c r="K705" s="35" t="s">
        <v>35</v>
      </c>
      <c r="L705" s="35" t="s">
        <v>96</v>
      </c>
      <c r="M705" s="39">
        <v>31.0</v>
      </c>
      <c r="N705" s="40">
        <v>46232.0</v>
      </c>
      <c r="O705" s="42" t="b">
        <v>0</v>
      </c>
      <c r="P705" s="44"/>
      <c r="Q705" s="34"/>
      <c r="R705" s="34"/>
      <c r="S705" s="34"/>
      <c r="T705" s="34"/>
    </row>
    <row r="706" ht="15.75" customHeight="1">
      <c r="B706" s="33">
        <v>46231.0</v>
      </c>
      <c r="C706" s="35">
        <v>25335.0</v>
      </c>
      <c r="D706" s="35">
        <v>96.0</v>
      </c>
      <c r="E706" s="37">
        <v>7.9</v>
      </c>
      <c r="F706" s="38">
        <f t="shared" si="2"/>
        <v>758.4</v>
      </c>
      <c r="G706" s="35" t="s">
        <v>3224</v>
      </c>
      <c r="H706" s="35" t="s">
        <v>620</v>
      </c>
      <c r="I706" s="35" t="s">
        <v>41</v>
      </c>
      <c r="J706" s="35" t="s">
        <v>34</v>
      </c>
      <c r="K706" s="35" t="s">
        <v>35</v>
      </c>
      <c r="L706" s="35" t="s">
        <v>96</v>
      </c>
      <c r="M706" s="39">
        <v>31.0</v>
      </c>
      <c r="N706" s="40">
        <v>46232.0</v>
      </c>
      <c r="O706" s="42" t="b">
        <v>0</v>
      </c>
      <c r="P706" s="44"/>
      <c r="Q706" s="34"/>
      <c r="R706" s="34"/>
      <c r="S706" s="34"/>
      <c r="T706" s="34"/>
    </row>
    <row r="707" ht="15.75" customHeight="1">
      <c r="B707" s="33">
        <v>46231.0</v>
      </c>
      <c r="C707" s="35">
        <v>25335.0</v>
      </c>
      <c r="D707" s="35">
        <v>72.0</v>
      </c>
      <c r="E707" s="37">
        <v>10.9</v>
      </c>
      <c r="F707" s="38">
        <f t="shared" si="2"/>
        <v>784.8</v>
      </c>
      <c r="G707" s="35" t="s">
        <v>3226</v>
      </c>
      <c r="H707" s="35" t="s">
        <v>3228</v>
      </c>
      <c r="I707" s="35" t="s">
        <v>41</v>
      </c>
      <c r="J707" s="35" t="s">
        <v>34</v>
      </c>
      <c r="K707" s="35" t="s">
        <v>35</v>
      </c>
      <c r="L707" s="35" t="s">
        <v>96</v>
      </c>
      <c r="M707" s="39">
        <v>31.0</v>
      </c>
      <c r="N707" s="40">
        <v>46232.0</v>
      </c>
      <c r="O707" s="42" t="b">
        <v>0</v>
      </c>
      <c r="P707" s="44"/>
      <c r="Q707" s="34"/>
      <c r="R707" s="34"/>
      <c r="S707" s="34"/>
      <c r="T707" s="34"/>
    </row>
    <row r="708" ht="15.75" customHeight="1">
      <c r="B708" s="33">
        <v>46231.0</v>
      </c>
      <c r="C708" s="35">
        <v>25335.0</v>
      </c>
      <c r="D708" s="35">
        <v>10.0</v>
      </c>
      <c r="E708" s="37">
        <v>109.9</v>
      </c>
      <c r="F708" s="38">
        <f t="shared" si="2"/>
        <v>1099</v>
      </c>
      <c r="G708" s="35" t="s">
        <v>2202</v>
      </c>
      <c r="H708" s="35" t="s">
        <v>2203</v>
      </c>
      <c r="I708" s="35" t="s">
        <v>41</v>
      </c>
      <c r="J708" s="35" t="s">
        <v>34</v>
      </c>
      <c r="K708" s="35" t="s">
        <v>35</v>
      </c>
      <c r="L708" s="35" t="s">
        <v>96</v>
      </c>
      <c r="M708" s="39">
        <v>31.0</v>
      </c>
      <c r="N708" s="40">
        <v>46232.0</v>
      </c>
      <c r="O708" s="42" t="b">
        <v>0</v>
      </c>
      <c r="P708" s="44"/>
      <c r="Q708" s="34"/>
      <c r="R708" s="34"/>
      <c r="S708" s="34"/>
      <c r="T708" s="34"/>
    </row>
    <row r="709" ht="15.75" customHeight="1">
      <c r="B709" s="33">
        <v>46234.0</v>
      </c>
      <c r="C709" s="35">
        <v>16237.0</v>
      </c>
      <c r="D709" s="35">
        <v>20.0</v>
      </c>
      <c r="E709" s="37">
        <v>330.0</v>
      </c>
      <c r="F709" s="38">
        <v>6600.0</v>
      </c>
      <c r="G709" s="35" t="s">
        <v>3232</v>
      </c>
      <c r="H709" s="35" t="s">
        <v>2894</v>
      </c>
      <c r="I709" s="35" t="s">
        <v>59</v>
      </c>
      <c r="J709" s="35" t="s">
        <v>34</v>
      </c>
      <c r="K709" s="35" t="s">
        <v>3234</v>
      </c>
      <c r="L709" s="35" t="s">
        <v>87</v>
      </c>
      <c r="M709" s="39">
        <v>31.0</v>
      </c>
      <c r="N709" s="40">
        <v>46233.0</v>
      </c>
      <c r="O709" s="42" t="b">
        <v>0</v>
      </c>
      <c r="P709" s="44">
        <v>46234.0</v>
      </c>
      <c r="Q709" s="34"/>
      <c r="R709" s="34"/>
      <c r="S709" s="34"/>
      <c r="T709" s="34"/>
    </row>
    <row r="710" ht="15.75" customHeight="1">
      <c r="B710" s="33">
        <v>46234.0</v>
      </c>
      <c r="C710" s="35">
        <v>16243.0</v>
      </c>
      <c r="D710" s="35">
        <v>100.0</v>
      </c>
      <c r="E710" s="37">
        <v>18.9</v>
      </c>
      <c r="F710" s="38">
        <v>1890.0</v>
      </c>
      <c r="G710" s="35" t="s">
        <v>3237</v>
      </c>
      <c r="H710" s="35" t="s">
        <v>3238</v>
      </c>
      <c r="I710" s="35" t="s">
        <v>41</v>
      </c>
      <c r="J710" s="35" t="s">
        <v>34</v>
      </c>
      <c r="K710" s="35" t="s">
        <v>35</v>
      </c>
      <c r="L710" s="35" t="s">
        <v>87</v>
      </c>
      <c r="M710" s="39">
        <v>31.0</v>
      </c>
      <c r="N710" s="40"/>
      <c r="O710" s="42" t="b">
        <v>0</v>
      </c>
      <c r="P710" s="44"/>
      <c r="Q710" s="34"/>
      <c r="R710" s="34"/>
      <c r="S710" s="34"/>
      <c r="T710" s="34"/>
    </row>
    <row r="711" ht="15.75" customHeight="1">
      <c r="B711" s="33">
        <v>46234.0</v>
      </c>
      <c r="C711" s="35">
        <v>16280.0</v>
      </c>
      <c r="D711" s="35">
        <v>500.0</v>
      </c>
      <c r="E711" s="37">
        <v>14.4</v>
      </c>
      <c r="F711" s="38">
        <v>7200.0</v>
      </c>
      <c r="G711" s="35" t="s">
        <v>3240</v>
      </c>
      <c r="H711" s="35" t="s">
        <v>3241</v>
      </c>
      <c r="I711" s="35" t="s">
        <v>41</v>
      </c>
      <c r="J711" s="35" t="s">
        <v>34</v>
      </c>
      <c r="K711" s="35"/>
      <c r="L711" s="35" t="s">
        <v>87</v>
      </c>
      <c r="M711" s="39">
        <v>31.0</v>
      </c>
      <c r="N711" s="40">
        <v>46237.0</v>
      </c>
      <c r="O711" s="42" t="b">
        <v>0</v>
      </c>
      <c r="P711" s="44">
        <v>46238.0</v>
      </c>
      <c r="Q711" s="34"/>
      <c r="R711" s="34"/>
      <c r="S711" s="34"/>
      <c r="T711" s="34"/>
    </row>
    <row r="712" ht="15.75" customHeight="1">
      <c r="B712" s="33">
        <v>46234.0</v>
      </c>
      <c r="C712" s="35">
        <v>19205.0</v>
      </c>
      <c r="D712" s="35">
        <v>4.0</v>
      </c>
      <c r="E712" s="37">
        <v>765.0</v>
      </c>
      <c r="F712" s="38">
        <v>3060.0</v>
      </c>
      <c r="G712" s="35" t="s">
        <v>3244</v>
      </c>
      <c r="H712" s="35" t="s">
        <v>3161</v>
      </c>
      <c r="I712" s="35" t="s">
        <v>175</v>
      </c>
      <c r="J712" s="35" t="s">
        <v>34</v>
      </c>
      <c r="K712" s="35"/>
      <c r="L712" s="35" t="s">
        <v>279</v>
      </c>
      <c r="M712" s="39">
        <v>31.0</v>
      </c>
      <c r="N712" s="40"/>
      <c r="O712" s="42" t="b">
        <v>0</v>
      </c>
      <c r="P712" s="44"/>
      <c r="Q712" s="34"/>
      <c r="R712" s="34"/>
      <c r="S712" s="34"/>
      <c r="T712" s="34"/>
    </row>
    <row r="713" ht="15.75" customHeight="1">
      <c r="B713" s="33">
        <v>46234.0</v>
      </c>
      <c r="C713" s="35">
        <v>19204.0</v>
      </c>
      <c r="D713" s="35">
        <v>200.0</v>
      </c>
      <c r="E713" s="37">
        <v>59.4</v>
      </c>
      <c r="F713" s="38">
        <v>11880.0</v>
      </c>
      <c r="G713" s="35" t="s">
        <v>3247</v>
      </c>
      <c r="H713" s="35" t="s">
        <v>3247</v>
      </c>
      <c r="I713" s="35" t="s">
        <v>41</v>
      </c>
      <c r="J713" s="35" t="s">
        <v>34</v>
      </c>
      <c r="K713" s="35"/>
      <c r="L713" s="35" t="s">
        <v>279</v>
      </c>
      <c r="M713" s="39">
        <v>31.0</v>
      </c>
      <c r="N713" s="40"/>
      <c r="O713" s="42" t="b">
        <v>0</v>
      </c>
      <c r="P713" s="44"/>
      <c r="Q713" s="34"/>
      <c r="R713" s="34"/>
      <c r="S713" s="34"/>
      <c r="T713" s="34"/>
    </row>
    <row r="714" ht="15.75" customHeight="1">
      <c r="B714" s="33">
        <v>46234.0</v>
      </c>
      <c r="C714" s="35">
        <v>25929.0</v>
      </c>
      <c r="D714" s="35">
        <v>20.0</v>
      </c>
      <c r="E714" s="37">
        <v>44.9</v>
      </c>
      <c r="F714" s="38">
        <v>898.0</v>
      </c>
      <c r="G714" s="35" t="s">
        <v>3250</v>
      </c>
      <c r="H714" s="35" t="s">
        <v>3252</v>
      </c>
      <c r="I714" s="35" t="s">
        <v>3253</v>
      </c>
      <c r="J714" s="35" t="s">
        <v>3254</v>
      </c>
      <c r="K714" s="35"/>
      <c r="L714" s="35" t="s">
        <v>96</v>
      </c>
      <c r="M714" s="39">
        <v>31.0</v>
      </c>
      <c r="N714" s="40"/>
      <c r="O714" s="42" t="b">
        <v>0</v>
      </c>
      <c r="P714" s="44">
        <v>46241.0</v>
      </c>
      <c r="Q714" s="34"/>
      <c r="R714" s="34"/>
      <c r="S714" s="34"/>
      <c r="T714" s="34"/>
    </row>
    <row r="715" ht="15.75" customHeight="1">
      <c r="B715" s="33">
        <v>46234.0</v>
      </c>
      <c r="C715" s="35">
        <v>1131417.0</v>
      </c>
      <c r="D715" s="35">
        <v>10.0</v>
      </c>
      <c r="E715" s="37">
        <v>477.83</v>
      </c>
      <c r="F715" s="38">
        <v>4778.26</v>
      </c>
      <c r="G715" s="35" t="s">
        <v>3256</v>
      </c>
      <c r="H715" s="35"/>
      <c r="I715" s="35" t="s">
        <v>59</v>
      </c>
      <c r="J715" s="35" t="s">
        <v>34</v>
      </c>
      <c r="K715" s="35" t="s">
        <v>3258</v>
      </c>
      <c r="L715" s="35" t="s">
        <v>365</v>
      </c>
      <c r="M715" s="39">
        <v>31.0</v>
      </c>
      <c r="N715" s="40">
        <v>46237.0</v>
      </c>
      <c r="O715" s="42" t="b">
        <v>0</v>
      </c>
      <c r="P715" s="44">
        <v>46238.0</v>
      </c>
      <c r="Q715" s="34"/>
      <c r="R715" s="34"/>
      <c r="S715" s="34"/>
      <c r="T715" s="34"/>
    </row>
    <row r="716" ht="27.75" customHeight="1">
      <c r="B716" s="33">
        <v>46233.0</v>
      </c>
      <c r="C716" s="35">
        <v>25482.0</v>
      </c>
      <c r="D716" s="35" t="s">
        <v>3260</v>
      </c>
      <c r="E716" s="37"/>
      <c r="F716" s="38">
        <v>14030.26</v>
      </c>
      <c r="G716" s="35" t="s">
        <v>3262</v>
      </c>
      <c r="H716" s="35" t="s">
        <v>3263</v>
      </c>
      <c r="I716" s="35" t="s">
        <v>41</v>
      </c>
      <c r="J716" s="35" t="s">
        <v>3264</v>
      </c>
      <c r="K716" s="35" t="s">
        <v>3265</v>
      </c>
      <c r="L716" s="35" t="s">
        <v>96</v>
      </c>
      <c r="M716" s="39">
        <v>31.0</v>
      </c>
      <c r="N716" s="40">
        <v>46240.0</v>
      </c>
      <c r="O716" s="42" t="b">
        <v>1</v>
      </c>
      <c r="P716" s="44"/>
      <c r="Q716" s="34"/>
      <c r="R716" s="34"/>
      <c r="S716" s="34"/>
      <c r="T716" s="34"/>
    </row>
  </sheetData>
  <autoFilter ref="$A$7:$T$716"/>
  <customSheetViews>
    <customSheetView guid="{C3504DA8-6A6B-47DB-92DD-78888F7DB974}" filter="1" showAutoFilter="1">
      <autoFilter ref="$A$7:$T$609"/>
    </customSheetView>
    <customSheetView guid="{011D09D9-BA89-4D0B-9506-D9DA30850F67}" filter="1" showAutoFilter="1">
      <autoFilter ref="$A$7:$T$609"/>
    </customSheetView>
    <customSheetView guid="{5E4EE145-4625-4E30-8966-A0D7453EE38F}" filter="1" showAutoFilter="1">
      <autoFilter ref="$A$7:$T$609">
        <filterColumn colId="6">
          <filters>
            <filter val="LIMPA CONTATO"/>
            <filter val="PENDRIVE CHAVEIRO 8GB PREMIUM"/>
            <filter val="MÁQUINA DE SOLDA 110A INVERSORA 220V"/>
            <filter val="PLACA MÃE B550"/>
            <filter val="ESMERILHADEIRA ANGULAR 710W 220V"/>
            <filter val="FITA AMARELA 300M"/>
            <filter val="PLACA DE VIDEO GIGABYTE GEOFORCE RTX 5060 TI WINDFORCE, 8GB, GDDR7,128-BIT,GV-N506TWF2-8GD"/>
            <filter val="MESA GAMER"/>
            <filter val="MÁQUINA AUTOMATICA PARA PROCESSAMENTO DE DADOS"/>
            <filter val="ESMERILHADEIRA ANGULAR 710W 110V"/>
            <filter val="FORMAO SDS PLUS 14MM*250MM"/>
            <filter val="LICENÇA WINDOWS 11 PRO SELO"/>
            <filter val="PONTEIRA SEXTAVADA PARA MARTELO DEMOLIDOR AÇO 25*410MM*25MM"/>
            <filter val="GABINETE GAMER"/>
            <filter val="BALANÇA DIGITAL"/>
            <filter val="i7 - 4790"/>
            <filter val="ADAPTADOR WIFI C/4 ANTENA (5G) 1200M"/>
            <filter val="MONITOR LED 20&quot; ENTERPRISE CORP 20WEV-KAN 75HZ PRETO"/>
            <filter val="NB SENOIDAL 1400VA BIV/BIV 6T 1EXP12V"/>
            <filter val="SERRA CIRCULAR 1100W 110V"/>
            <filter val="MOUSE COM FIO MF100 USB 1200DPI 3BOT COMPACTO 120CM PT"/>
            <filter val="3 PCS TESOURA"/>
            <filter val="ES POWEREST 500VA 115/115V 4T"/>
            <filter val="NB SENOIDAL 3200VA BIV/BIV 12T USB 2EXP24V ROD"/>
            <filter val="BOMBA PULVERIZADOR MANUAL"/>
            <filter val="TRICICLO DRIFT 300W"/>
            <filter val="NB MINI 600VA BIV/115V 4+2T"/>
            <filter val="NIVEL A LASER COM 2 LINHAS"/>
            <filter val="TELA INTERATIVA TOUCH DE 75&quot;"/>
            <filter val="NB CONCEPT 1400VA BIV/BIV 6T 1EXP12V"/>
            <filter val="LANTERNA DE CABEÇA"/>
            <filter val="PROCESSADOR AMD RYZEN 5 5500 3.6 GHZ (4.2 GHZ) 6 NUCLEOS 19MB AM4 COM COOLER"/>
            <filter val="SCANNER EPSON WORKFORCE ES-400"/>
            <filter val="GAB. MATX BRAZILPC BPC-N110 MATX-B M255 S/ BAIA S/FONTE"/>
            <filter val="PLACA DE VÍDEO GT705 PC (2GB/64BIT)"/>
            <filter val="FURADEIRA E MARTELETE COM IMPACTO 800W 220V"/>
            <filter val="ROTEADOR WIFI DUAL BAND EXTENDER RANGE"/>
            <filter val="CHAVE DE IMPACTO 21V"/>
            <filter val="NB MINI 600VA 115V/115V 4+2T"/>
            <filter val="i7 - 12700"/>
            <filter val="ES POWEREST 300VA 115/115V 4T"/>
            <filter val="SOPRADOR E ASPIRADOR ELETRICO 220V 700W"/>
            <filter val="CORDA PARA BAGAGEM DE 1.55 M - 10PÇS"/>
            <filter val="ESPRMEDOR PORTÁTIL 500ML"/>
            <filter val="SSD SATA 240GB PATRIOT"/>
            <filter val="MOP SPRAY COM RESERVATORIO"/>
            <filter val="CHALEIRA TÉRMICA"/>
            <filter val="LAVADORA DE PRESSAO PORTATIL A BATERIA"/>
            <filter val="ABRACADEIRA NYLON ENFORCA GATO 7.6*350MM"/>
            <filter val="COOLER 115X DX C1 DUEX"/>
            <filter val="CABO CHUPETA TRANSMISSAO 800AMP-2.2M"/>
            <filter val="PISTOLA DE PINTURA 110V"/>
            <filter val="AUXILIAR DE PARTIDA E COMPRESSOR PORTATIL VEICULAR"/>
            <filter val="CAMERA IP LAMPADA YOOSEE WI-FI"/>
            <filter val="SSD 1TB MACROVIP"/>
            <filter val="DDR4 8GB 2666 FURY"/>
            <filter val="LANTERNA DE TRABALHO RECARREGAVEL COM BASE MAGNETICA"/>
            <filter val="PLACA MÃE ASUS TUF GAMING B850-E WIFI DDR5  AM5 WIFI190MB1L20-M0EAY0"/>
            <filter val="NB COMPACT 800VA BIV/BIV 6T"/>
            <filter val="i7 - 12700K"/>
            <filter val="FONTE VXPRO 230W - VX 230SE SEM CABO"/>
            <filter val="FL PDU 20A BIV/BIV 10T"/>
            <filter val="LIXADORA ORBITAL 220V"/>
            <filter val="MOUSE LED COM FIO RESOLUÇÃO 800/1200/1600 CABO1.2M"/>
            <filter val="SUPORTE DE METAL PARA TELA INTERATIVA 60&quot; - 86&quot;"/>
            <filter val="DESEMPENADEIRA ELETRICA 220V PARA REBOCO E PAREDE 1200W"/>
            <filter val="HD 500GB US PC"/>
            <filter val="FURADEIRA DE IMPACTO 600W 10MM 110V"/>
            <filter val="LICENÇA ETIQUETA WINDOWS 11 PRO 64BITS FQC-10520"/>
            <filter val="JOGO DE CHAVE CANHÃO SOQUETE 7 PÇS"/>
            <filter val="BOMBA DE AR"/>
            <filter val="ESMERILHADEIRA DE BATERIA 21V-125MM"/>
            <filter val="PLACA MÃE DXMBH110S M2 LGA1151 DDR4 DUEX"/>
            <filter val="SSD NVME 256GB"/>
            <filter val="LAVADORA DE PRESSAO PORTATIL 21V"/>
            <filter val="i5 - 13400T"/>
            <filter val="ES POWERHOM 1500VA 115/115V 6T"/>
            <filter val="PRUMO PARA PEDREIRO DE METAL 300G"/>
            <filter val="TECLADO GAMER - START"/>
            <filter val="ALICATE CRIMPAR CABO REDE C/CATRACA"/>
            <filter val="CHALEIRA ELETRICA"/>
            <filter val="FITA AMARELA 200M"/>
            <filter val="GAB. MATX BRAZILPC BPC-N114 MATX M255 S/ BAIA S/FONTE"/>
            <filter val="SANDUICHEIRA  127V"/>
            <filter val="FURADEIRA DE IMPACTO 600W 10MM 220V"/>
            <filter val="PLACA MÃE H511 LGA1200"/>
            <filter val="DRONE DJI NEO FLY MORE COMBO BR DJI051 CINZA"/>
            <filter val="CAIXA DE SOM"/>
            <filter val="NB PROF 1500VA BIV/BIV 8T 2BS 1EXP24V USB"/>
            <filter val="ASPIRADOR DE PO MULTIFUNCIONAL 4 EM 1"/>
            <filter val="PLACA MÃE B450M2K"/>
            <filter val="MINI MOTOSSERRA PORTATIL A BATERIA 4&quot;"/>
            <filter val="ES POWEREST 300VA 220/220V 4T"/>
            <filter val="CONTROLE GAMER SEM FIO"/>
            <filter val="SWITCH HUB 8 PORTAS"/>
            <filter val="FONTE DE ALIMENTAÇÃO 12V PARA PARAFUSADEIRA BIVOLT"/>
            <filter val="SSD SATA 1.92GB PATRIOT"/>
            <filter val="SSD NVME 500GB LEXAR NM610 PRO"/>
            <filter val="FL PDU 20A BIV/BIV 8T"/>
            <filter val="HD 1TB US PC"/>
            <filter val="MOUSE GAMER START 2.0 - PRETO / VERMELHO"/>
            <filter val="ALICATE PRENSA TERMINAIS TIPO PROFISSIONAL"/>
            <filter val="i5 - 7500"/>
            <filter val="PLACA DE VIDEO GEFORCE RTX 5060 8GB MSI SHADOW 2X OC"/>
            <filter val="PLACA DE VIDEO NVIDIA PCYES GEFORCE G210 1GB DDR3 QUAD HD HDMI DVI VGA"/>
            <filter val="PLACA MÃE DUEX INTEL DDR H110ZG M2"/>
            <filter val="SWITCH POE 16+2+1"/>
            <filter val="FONTE PC AUTOMATICO 500W"/>
            <filter val="ABRACADEIRA DE NYLON 4.8MMx400MM ENFORCA GATO 100PÇS"/>
            <filter val="REPETIDOR DE WIFI"/>
            <filter val="SERRA TICO TICO 550W 220V"/>
            <filter val="CARREGADOR AUTOMOTIVO SMART 22KW 250V"/>
            <filter val="ES POWEREST 500VA BIV/115V 4T"/>
            <filter val="ES POWERLAS 2000VA BIV/115V 1T"/>
            <filter val="SCOOTER ELETRICA A4 PRATA"/>
            <filter val="HD 1TB WD PURPLE"/>
            <filter val="ABRACADEIRA NYLON ENFORCA GATO 4.8*200MM BRANCO"/>
            <filter val="ABRACADEIRA NYLON ENFORCA GATO 7.6*400MM"/>
            <filter val="FITA COB IP20 127V ROLO 10M 127 V SEM FONTE BQ"/>
            <filter val="SERRA TICO TICO 550W 110V"/>
            <filter val="NB CONCEPT 1200VA BIV/BIV 6T 1EXP12V"/>
            <filter val="MOUSE OTICO USB OFFICE PRETO 1000DPI"/>
            <filter val="PENDRIVE CHAVEIRO 32GB PREMIUM"/>
            <filter val="ESMERILHADEIRA ANGULAR 850W 220V"/>
            <filter val="CARTÃO DE MEMÓRIA 64GB"/>
            <filter val="CORRENTE DE MOTOSSERRA"/>
            <filter val="CONJUNTO DE FORMOES 8 POLEGADAS 4 PECAS EM ACO TEMPERADO"/>
            <filter val="ROTEADOR ROUTER BOARD E50UG HEX - MIKROTIK"/>
            <filter val="VALVULA DE ESCOAMENTO PARA LAVATORIO 7/8&quot; SEM LADAO"/>
            <filter val="REPETIDOR WIFI"/>
            <filter val="PLACA MAE - H61 - LGA 1155 - DDR3 - 1000MBPS - PLM2300"/>
            <filter val="SOPRADOR AR TURBO 21V"/>
            <filter val="ESTILETE DOBRAVEL"/>
            <filter val="PLACA PCI-EXPRESS."/>
            <filter val="NB SENOIDAL 2200VA BIV/BIV 8T USB 1EXP24V ROD"/>
            <filter val="KIT DE ADAPTADORES PARA MANDRIL E FURADEIRA DE IMPACTO 4PÇS"/>
            <filter val="MACACO MECANICO MANUAL 2T 95-387MM"/>
            <filter val="MAQUINA DE SOLDA 110V"/>
            <filter val="PIPOQUEIRA 127V"/>
            <filter val="FIRE TV STICK 4K MAX 16GB WIFI 6E"/>
            <filter val="LUMINARIA SOLAR POSTE RUA DE 8 LED"/>
            <filter val="NB SENOIDAL 1500VA BIV/BIV 8T USB 1EXP24V"/>
            <filter val="MULTIFUNCIONAL EPSON ECOTANK L3250"/>
            <filter val="ES POWERHOM 2000VA BIV/115V 6T"/>
            <filter val="FL PDU 10A BIV/BIV 5T"/>
            <filter val="SWITCH POE 8+2"/>
            <filter val="HOVERBOARDS"/>
            <filter val="SCOOTER ELETRICA A4 BRANCO"/>
            <filter val="ESMERILHADEIRA ANGULAR PROFISSIONAL 7&quot; (180MM) 240W 127V"/>
            <filter val="MISTURADOR DE TINTA 60*400MM"/>
            <filter val="MACARICO PORTIL CULINARIA 1300C"/>
            <filter val="TECLADO GAMER START 2.0 PRETO / VERMELHO"/>
            <filter val="SERRA DE BANCADA ELETRICA 1800W 127V"/>
            <filter val="PENDRIVE CHAVEIRO 16GB PREMIUM"/>
            <filter val="CAPACETE M"/>
            <filter val="REPETIRDOR WIFI"/>
            <filter val="CAPACETE G"/>
            <filter val="ES POWERHOM 2500VA 115/115V 6T"/>
            <filter val="PLACA MÃE ASUS PRIME B550M-A AC WIFI DDR4 AM4"/>
            <filter val="NB PROF 1800VA BIV/BIV 8T 2BS 1EXP24V USB"/>
            <filter val="PLACA DE VIDEO PCYES NVIDIA GEFORCE RTX 3050 6GB GDDR6  96BIT"/>
            <filter val="MACACO HIDRAULICO TIPO JACARE 2T"/>
            <filter val="SSD 1TB GENERICO"/>
            <filter val="DDR4 8GB 2666MHZ KINGSTON"/>
            <filter val="CHURRASQUEIRA DOBRAVEL A CRAVÃO"/>
            <filter val="PLACA DE VÍDEO GT730 - 4GB"/>
            <filter val="PONTEIRA PROFISSIONAL IMANTADA COM LIMITADOR E METAL REFO"/>
            <filter val="KIT JOGO DE CHAVES CATRACA SOQUETE 124 PEÇAS"/>
            <filter val="NB COMPACT 1000VA BIV/BIV 6T 1EXP12V"/>
            <filter val="ADAPTADOR WIFI+BLUETOOTH USB HQ"/>
            <filter val="MARTELO PERFURADOR E ROMPEDOR 1000W-220V"/>
            <filter val="i5 - 8500 PC LGA1151"/>
            <filter val="PROCESSADOR AMD RYZEN 5 5500 3.6 GHZ"/>
            <filter val="TRIPE DE NIVEL 1.5M"/>
            <filter val="SCOOTER ELETRICA A4 PRETA"/>
            <filter val="SSD 960GB LEXAR"/>
            <filter val="PLACA DE VIDEO PCYES RADEON RX 550 4GB GDDR5 HDMI/DP/DVI AMD"/>
            <filter val="PLACA T118 PCI-EXPRESS PARA REDE SEM FIO"/>
            <filter val="PLACA MÃE ASUS PRIME B550M-K ARGB DDR4 AM4"/>
            <filter val="TONER COMPATÍVEL TI-410X 6K P3010 M7200 600P M6700D PRETO"/>
            <filter val="ANTIVIRUS MCAFEE 1 PC LICENÇA FULL 1 ANO MAB11BNR1 - CONCÓRDIA"/>
            <filter val="SERRA DE BANCADA ELETRICA 1800W 220V"/>
            <filter val="MARTELO PERFURADOR E ROMPEDOR 1000W-110V"/>
            <filter val="SSD NVME 512GB"/>
            <filter val="ANTENA WIFI ADPTADOR WIRELESS USB 1800MBPS"/>
            <filter val="ABRACADEIRA DE NYLON 4.8MMx500MM ENFORCA GATO 100PÇS"/>
            <filter val="BINOCULOS"/>
            <filter val="JOGO DE SOQUETES 1/2POL.COM REVERSIVEL, COMBINADAS-37PCS"/>
            <filter val="PLACA MÃE ASUS PRIME A520M-R DDR4 AM4"/>
            <filter val="MACARICO PORTIL CULINARIA"/>
            <filter val="NB SENOIDAL 1800VA BIV/BIV 8T USB 1EXP24V"/>
            <filter val="CORTADORA DE PAREDE 127V PARA CONCRETO-3500W-135MM"/>
            <filter val="SOPRADOR DE FOLHAS COM ASPIRAÇÃO LEVE 21V"/>
            <filter val="ABRACADEIRA NYLON ENFORCA GATO 2.5*100MM PRETO"/>
            <filter val="GATILHO PARA DUCHA HIGIENICA 1/2"/>
            <filter val="ALL IN ONE 7013 CONCÓRDIA I3 10105, 8GB, 256 SSD, WIFI"/>
            <filter val="VENTOSA DUPLA"/>
            <filter val="CARREGADOR AUTOMOTIVO SMART 7KW 110V"/>
            <filter val="NIVEL A LASER COM 12 LINHAS"/>
            <filter val="ASPIRADOR DE PO 12V"/>
            <filter val="PLACA DE VIDEO PCYES NVIDIA GEFORCE RTX 3050 6GB GDDR6 96BIT"/>
            <filter val="SACA ROLAMENTO DE 3 GARRAS 6&quot;"/>
            <filter val="GABINETE GAMER C/ 3 FANS"/>
            <filter val="ALL IN ONE 7013 CONCÓRDIA I3 10105, 8GB, 256 SSD, WIFI, PRETO"/>
            <filter val="PLACA DE VÍDEO DX RX580-8GD5HA DUEX"/>
            <filter val="PLACA DE VIDEO PCYES GTX 1660 SUPER 6GB GDDR6 DUAL FAN"/>
            <filter val="PODADOR MULTIFUNCIONAL PROFISSIONAL 3 EM 1 A GASOLINA 52CC"/>
            <filter val="KIT SERRA COPO 6 PÇS"/>
          </filters>
        </filterColumn>
      </autoFilter>
    </customSheetView>
  </customSheetViews>
  <mergeCells count="3">
    <mergeCell ref="B1:F1"/>
    <mergeCell ref="C2:F2"/>
    <mergeCell ref="C3:F3"/>
  </mergeCells>
  <conditionalFormatting sqref="O8:O716">
    <cfRule type="expression" dxfId="1" priority="1">
      <formula>$O8=TRUE</formula>
    </cfRule>
  </conditionalFormatting>
  <conditionalFormatting sqref="N8:N18 N21:N130 N147:N163 N177:N360 N362:N424 N426:N513 N515:N553 N555:N575 N578:N579 N582:N604 N607:N625 N627:N662 N665:N716">
    <cfRule type="containsBlanks" dxfId="2" priority="2">
      <formula>LEN(TRIM(N8))=0</formula>
    </cfRule>
  </conditionalFormatting>
  <conditionalFormatting sqref="N1:N18 N21:N130 N147:N163 N177:N360 N362:N424 N426:N513 N515:N553 N555:N575 N578:N579 N582:N604 N607:N625 N627:N662 N665:N716">
    <cfRule type="containsText" dxfId="3" priority="3" operator="containsText" text="EM DIA">
      <formula>NOT(ISERROR(SEARCH(("EM DIA"),(N1))))</formula>
    </cfRule>
  </conditionalFormatting>
  <conditionalFormatting sqref="N1:N18 N21:N130 N147:N163 N177:N360 N362:N424 N426:N513 N515:N553 N555:N575 N578:N579 N582:N604 N607:N625 N627:N662 N665:N716">
    <cfRule type="containsText" dxfId="4" priority="4" operator="containsText" text="ATRASADO">
      <formula>NOT(ISERROR(SEARCH(("ATRASADO"),(N1))))</formula>
    </cfRule>
  </conditionalFormatting>
  <hyperlinks>
    <hyperlink r:id="rId4" ref="C3"/>
  </hyperlinks>
  <printOptions/>
  <pageMargins bottom="0.787401575" footer="0.0" header="0.0" left="0.511811024" right="0.511811024" top="0.787401575"/>
  <pageSetup orientation="landscape"/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0.43"/>
    <col customWidth="1" min="2" max="2" width="18.86"/>
    <col customWidth="1" min="3" max="3" width="12.57"/>
    <col customWidth="1" min="4" max="4" width="8.86"/>
    <col customWidth="1" min="5" max="5" width="15.71"/>
    <col customWidth="1" hidden="1" min="6" max="6" width="15.43"/>
    <col customWidth="1" min="7" max="7" width="52.71"/>
    <col customWidth="1" min="8" max="8" width="14.29"/>
    <col customWidth="1" min="9" max="9" width="14.14"/>
    <col customWidth="1" min="10" max="10" width="17.71"/>
    <col customWidth="1" min="11" max="11" width="13.29"/>
    <col customWidth="1" min="12" max="12" width="17.14"/>
    <col customWidth="1" min="13" max="13" width="13.29"/>
    <col customWidth="1" min="14" max="14" width="21.86"/>
    <col customWidth="1" min="15" max="15" width="15.57"/>
    <col customWidth="1" min="16" max="17" width="22.29"/>
    <col customWidth="1" min="18" max="20" width="15.29"/>
  </cols>
  <sheetData>
    <row r="1" ht="63.75" customHeight="1">
      <c r="B1" s="2" t="s">
        <v>1</v>
      </c>
      <c r="C1" s="3"/>
      <c r="D1" s="3"/>
      <c r="E1" s="3"/>
      <c r="F1" s="3"/>
      <c r="G1" s="4"/>
      <c r="N1" s="6"/>
      <c r="Q1" s="7"/>
    </row>
    <row r="2" ht="39.0" customHeight="1">
      <c r="B2" s="8" t="s">
        <v>2</v>
      </c>
      <c r="C2" s="9" t="s">
        <v>3</v>
      </c>
      <c r="D2" s="10"/>
      <c r="E2" s="10"/>
      <c r="F2" s="11"/>
      <c r="N2" s="6"/>
      <c r="Q2" s="7"/>
    </row>
    <row r="3" ht="32.25" customHeight="1">
      <c r="B3" s="13" t="s">
        <v>4</v>
      </c>
      <c r="C3" s="15" t="s">
        <v>5</v>
      </c>
      <c r="D3" s="16"/>
      <c r="E3" s="16"/>
      <c r="F3" s="17"/>
      <c r="N3" s="6"/>
      <c r="Q3" s="7"/>
    </row>
    <row r="4">
      <c r="B4" s="7"/>
      <c r="E4" s="18"/>
      <c r="F4" s="12"/>
      <c r="N4" s="6"/>
      <c r="Q4" s="7"/>
    </row>
    <row r="5">
      <c r="B5" s="19">
        <f>TODAY()</f>
        <v>46294</v>
      </c>
      <c r="E5" s="18"/>
      <c r="F5" s="12"/>
      <c r="N5" s="6"/>
      <c r="Q5" s="7"/>
    </row>
    <row r="6" ht="12.0" customHeight="1">
      <c r="B6" s="7"/>
      <c r="E6" s="18"/>
      <c r="F6" s="12"/>
      <c r="N6" s="6"/>
      <c r="Q6" s="7"/>
    </row>
    <row r="7" ht="13.5" customHeight="1">
      <c r="B7" s="20" t="s">
        <v>8</v>
      </c>
      <c r="C7" s="21" t="s">
        <v>9</v>
      </c>
      <c r="D7" s="21" t="s">
        <v>10</v>
      </c>
      <c r="E7" s="72" t="s">
        <v>11</v>
      </c>
      <c r="F7" s="23" t="s">
        <v>13</v>
      </c>
      <c r="G7" s="26" t="s">
        <v>15</v>
      </c>
      <c r="H7" s="25" t="s">
        <v>16</v>
      </c>
      <c r="I7" s="28" t="s">
        <v>17</v>
      </c>
      <c r="J7" s="28" t="s">
        <v>18</v>
      </c>
      <c r="K7" s="29" t="s">
        <v>19</v>
      </c>
      <c r="L7" s="25" t="s">
        <v>21</v>
      </c>
      <c r="M7" s="28" t="s">
        <v>22</v>
      </c>
      <c r="N7" s="30" t="s">
        <v>23</v>
      </c>
      <c r="O7" s="31" t="s">
        <v>25</v>
      </c>
      <c r="P7" s="24" t="s">
        <v>24</v>
      </c>
      <c r="Q7" s="21" t="s">
        <v>28</v>
      </c>
      <c r="R7" s="32" t="s">
        <v>26</v>
      </c>
      <c r="S7" s="24" t="s">
        <v>27</v>
      </c>
      <c r="T7" s="24" t="s">
        <v>27</v>
      </c>
    </row>
    <row r="8" ht="15.75" customHeight="1">
      <c r="B8" s="33">
        <v>46174.0</v>
      </c>
      <c r="C8" s="46" t="s">
        <v>2377</v>
      </c>
      <c r="D8" s="35">
        <v>20.0</v>
      </c>
      <c r="E8" s="37">
        <v>198.0</v>
      </c>
      <c r="F8" s="38">
        <f t="shared" ref="F8:F604" si="1">E8*D8</f>
        <v>3960</v>
      </c>
      <c r="G8" s="35" t="s">
        <v>294</v>
      </c>
      <c r="H8" s="35" t="s">
        <v>296</v>
      </c>
      <c r="I8" s="35" t="s">
        <v>59</v>
      </c>
      <c r="J8" s="35" t="s">
        <v>34</v>
      </c>
      <c r="K8" s="35" t="s">
        <v>35</v>
      </c>
      <c r="L8" s="35" t="s">
        <v>87</v>
      </c>
      <c r="M8" s="39">
        <v>31.0</v>
      </c>
      <c r="N8" s="40">
        <v>46174.0</v>
      </c>
      <c r="O8" s="42" t="b">
        <v>1</v>
      </c>
      <c r="P8" s="44">
        <v>46174.0</v>
      </c>
      <c r="Q8" s="34"/>
      <c r="R8" s="34"/>
      <c r="S8" s="34"/>
      <c r="T8" s="34"/>
    </row>
    <row r="9" ht="15.75" customHeight="1">
      <c r="B9" s="33">
        <v>46174.0</v>
      </c>
      <c r="C9" s="35">
        <v>18201.0</v>
      </c>
      <c r="D9" s="35">
        <v>60.0</v>
      </c>
      <c r="E9" s="37">
        <v>14.8</v>
      </c>
      <c r="F9" s="38">
        <f t="shared" si="1"/>
        <v>888</v>
      </c>
      <c r="G9" s="35" t="s">
        <v>1635</v>
      </c>
      <c r="H9" s="35" t="s">
        <v>1636</v>
      </c>
      <c r="I9" s="35" t="s">
        <v>240</v>
      </c>
      <c r="J9" s="35" t="s">
        <v>1036</v>
      </c>
      <c r="K9" s="35" t="s">
        <v>1334</v>
      </c>
      <c r="L9" s="35" t="s">
        <v>96</v>
      </c>
      <c r="M9" s="39">
        <v>31.0</v>
      </c>
      <c r="N9" s="40">
        <v>46176.0</v>
      </c>
      <c r="O9" s="42" t="b">
        <v>1</v>
      </c>
      <c r="P9" s="44">
        <v>46177.0</v>
      </c>
      <c r="Q9" s="34"/>
      <c r="R9" s="34"/>
      <c r="S9" s="34"/>
      <c r="T9" s="34"/>
    </row>
    <row r="10" ht="15.75" customHeight="1">
      <c r="B10" s="33">
        <v>46174.0</v>
      </c>
      <c r="C10" s="35">
        <v>18201.0</v>
      </c>
      <c r="D10" s="35">
        <v>50.0</v>
      </c>
      <c r="E10" s="37">
        <v>20.99</v>
      </c>
      <c r="F10" s="38">
        <f t="shared" si="1"/>
        <v>1049.5</v>
      </c>
      <c r="G10" s="35" t="s">
        <v>2386</v>
      </c>
      <c r="H10" s="35" t="s">
        <v>2387</v>
      </c>
      <c r="I10" s="35" t="s">
        <v>240</v>
      </c>
      <c r="J10" s="35" t="s">
        <v>1036</v>
      </c>
      <c r="K10" s="35" t="s">
        <v>1334</v>
      </c>
      <c r="L10" s="35" t="s">
        <v>96</v>
      </c>
      <c r="M10" s="39">
        <v>31.0</v>
      </c>
      <c r="N10" s="40">
        <v>46176.0</v>
      </c>
      <c r="O10" s="42" t="b">
        <v>1</v>
      </c>
      <c r="P10" s="44">
        <v>46177.0</v>
      </c>
      <c r="Q10" s="34"/>
      <c r="R10" s="34"/>
      <c r="S10" s="34"/>
      <c r="T10" s="35"/>
    </row>
    <row r="11" ht="15.75" customHeight="1">
      <c r="B11" s="33">
        <v>46174.0</v>
      </c>
      <c r="C11" s="35">
        <v>18201.0</v>
      </c>
      <c r="D11" s="35">
        <v>50.0</v>
      </c>
      <c r="E11" s="37">
        <v>20.9</v>
      </c>
      <c r="F11" s="38">
        <f t="shared" si="1"/>
        <v>1045</v>
      </c>
      <c r="G11" s="35" t="s">
        <v>2394</v>
      </c>
      <c r="H11" s="35" t="s">
        <v>2395</v>
      </c>
      <c r="I11" s="35" t="s">
        <v>240</v>
      </c>
      <c r="J11" s="35" t="s">
        <v>1036</v>
      </c>
      <c r="K11" s="35" t="s">
        <v>1334</v>
      </c>
      <c r="L11" s="35" t="s">
        <v>96</v>
      </c>
      <c r="M11" s="39">
        <v>31.0</v>
      </c>
      <c r="N11" s="40">
        <v>46176.0</v>
      </c>
      <c r="O11" s="42" t="b">
        <v>1</v>
      </c>
      <c r="P11" s="44">
        <v>46177.0</v>
      </c>
      <c r="Q11" s="34"/>
      <c r="R11" s="34"/>
      <c r="S11" s="34"/>
      <c r="T11" s="34"/>
    </row>
    <row r="12" ht="15.75" customHeight="1">
      <c r="B12" s="33">
        <v>46174.0</v>
      </c>
      <c r="C12" s="35">
        <v>18201.0</v>
      </c>
      <c r="D12" s="35">
        <v>4.0</v>
      </c>
      <c r="E12" s="37">
        <v>169.9</v>
      </c>
      <c r="F12" s="38">
        <f t="shared" si="1"/>
        <v>679.6</v>
      </c>
      <c r="G12" s="35" t="s">
        <v>2398</v>
      </c>
      <c r="H12" s="35" t="s">
        <v>2399</v>
      </c>
      <c r="I12" s="35" t="s">
        <v>240</v>
      </c>
      <c r="J12" s="35" t="s">
        <v>1036</v>
      </c>
      <c r="K12" s="35" t="s">
        <v>1334</v>
      </c>
      <c r="L12" s="35" t="s">
        <v>96</v>
      </c>
      <c r="M12" s="39">
        <v>31.0</v>
      </c>
      <c r="N12" s="40">
        <v>46176.0</v>
      </c>
      <c r="O12" s="42" t="b">
        <v>1</v>
      </c>
      <c r="P12" s="44">
        <v>46177.0</v>
      </c>
      <c r="Q12" s="34"/>
      <c r="R12" s="34"/>
      <c r="S12" s="34"/>
      <c r="T12" s="34"/>
    </row>
    <row r="13" ht="15.75" customHeight="1">
      <c r="B13" s="33">
        <v>46174.0</v>
      </c>
      <c r="C13" s="35">
        <v>18201.0</v>
      </c>
      <c r="D13" s="35">
        <v>100.0</v>
      </c>
      <c r="E13" s="37">
        <v>8.99</v>
      </c>
      <c r="F13" s="38">
        <f t="shared" si="1"/>
        <v>899</v>
      </c>
      <c r="G13" s="35" t="s">
        <v>2406</v>
      </c>
      <c r="H13" s="35" t="s">
        <v>2407</v>
      </c>
      <c r="I13" s="35" t="s">
        <v>240</v>
      </c>
      <c r="J13" s="35" t="s">
        <v>1036</v>
      </c>
      <c r="K13" s="35" t="s">
        <v>1334</v>
      </c>
      <c r="L13" s="35" t="s">
        <v>96</v>
      </c>
      <c r="M13" s="39">
        <v>31.0</v>
      </c>
      <c r="N13" s="40">
        <v>46176.0</v>
      </c>
      <c r="O13" s="42" t="b">
        <v>1</v>
      </c>
      <c r="P13" s="44">
        <v>46177.0</v>
      </c>
      <c r="Q13" s="34"/>
      <c r="R13" s="34"/>
      <c r="S13" s="34"/>
      <c r="T13" s="34"/>
    </row>
    <row r="14" ht="15.75" customHeight="1">
      <c r="B14" s="33">
        <v>46174.0</v>
      </c>
      <c r="C14" s="35">
        <v>18201.0</v>
      </c>
      <c r="D14" s="35">
        <v>60.0</v>
      </c>
      <c r="E14" s="37">
        <v>59.99</v>
      </c>
      <c r="F14" s="38">
        <f t="shared" si="1"/>
        <v>3599.4</v>
      </c>
      <c r="G14" s="35" t="s">
        <v>2409</v>
      </c>
      <c r="H14" s="35" t="s">
        <v>2410</v>
      </c>
      <c r="I14" s="35" t="s">
        <v>240</v>
      </c>
      <c r="J14" s="35" t="s">
        <v>1036</v>
      </c>
      <c r="K14" s="35" t="s">
        <v>1334</v>
      </c>
      <c r="L14" s="35" t="s">
        <v>96</v>
      </c>
      <c r="M14" s="39">
        <v>31.0</v>
      </c>
      <c r="N14" s="40">
        <v>46176.0</v>
      </c>
      <c r="O14" s="42" t="b">
        <v>1</v>
      </c>
      <c r="P14" s="44">
        <v>46177.0</v>
      </c>
      <c r="Q14" s="34"/>
      <c r="R14" s="34"/>
      <c r="S14" s="34"/>
      <c r="T14" s="34"/>
    </row>
    <row r="15" ht="15.75" customHeight="1">
      <c r="B15" s="33">
        <v>46174.0</v>
      </c>
      <c r="C15" s="35">
        <v>18201.0</v>
      </c>
      <c r="D15" s="35">
        <v>100.0</v>
      </c>
      <c r="E15" s="37">
        <v>11.8</v>
      </c>
      <c r="F15" s="38">
        <f t="shared" si="1"/>
        <v>1180</v>
      </c>
      <c r="G15" s="35" t="s">
        <v>2416</v>
      </c>
      <c r="H15" s="35" t="s">
        <v>2417</v>
      </c>
      <c r="I15" s="35" t="s">
        <v>240</v>
      </c>
      <c r="J15" s="35" t="s">
        <v>1036</v>
      </c>
      <c r="K15" s="35" t="s">
        <v>1334</v>
      </c>
      <c r="L15" s="35" t="s">
        <v>96</v>
      </c>
      <c r="M15" s="39">
        <v>31.0</v>
      </c>
      <c r="N15" s="40">
        <v>46176.0</v>
      </c>
      <c r="O15" s="42" t="b">
        <v>1</v>
      </c>
      <c r="P15" s="44">
        <v>46177.0</v>
      </c>
      <c r="Q15" s="34"/>
      <c r="R15" s="34"/>
      <c r="S15" s="34"/>
      <c r="T15" s="34"/>
    </row>
    <row r="16" ht="15.75" customHeight="1">
      <c r="B16" s="33">
        <v>46174.0</v>
      </c>
      <c r="C16" s="35">
        <v>18201.0</v>
      </c>
      <c r="D16" s="35">
        <v>72.0</v>
      </c>
      <c r="E16" s="37">
        <v>10.9</v>
      </c>
      <c r="F16" s="38">
        <f t="shared" si="1"/>
        <v>784.8</v>
      </c>
      <c r="G16" s="35" t="s">
        <v>2332</v>
      </c>
      <c r="H16" s="35" t="s">
        <v>641</v>
      </c>
      <c r="I16" s="35" t="s">
        <v>240</v>
      </c>
      <c r="J16" s="35" t="s">
        <v>1036</v>
      </c>
      <c r="K16" s="35" t="s">
        <v>1334</v>
      </c>
      <c r="L16" s="35" t="s">
        <v>96</v>
      </c>
      <c r="M16" s="39">
        <v>31.0</v>
      </c>
      <c r="N16" s="40">
        <v>46176.0</v>
      </c>
      <c r="O16" s="42" t="b">
        <v>1</v>
      </c>
      <c r="P16" s="44">
        <v>46177.0</v>
      </c>
      <c r="Q16" s="34"/>
      <c r="R16" s="34"/>
      <c r="S16" s="34"/>
      <c r="T16" s="34"/>
    </row>
    <row r="17" ht="15.75" customHeight="1">
      <c r="B17" s="33">
        <v>46174.0</v>
      </c>
      <c r="C17" s="35">
        <v>18201.0</v>
      </c>
      <c r="D17" s="35">
        <v>96.0</v>
      </c>
      <c r="E17" s="37">
        <v>8.9</v>
      </c>
      <c r="F17" s="38">
        <f t="shared" si="1"/>
        <v>854.4</v>
      </c>
      <c r="G17" s="35" t="s">
        <v>2427</v>
      </c>
      <c r="H17" s="35" t="s">
        <v>2428</v>
      </c>
      <c r="I17" s="35" t="s">
        <v>240</v>
      </c>
      <c r="J17" s="35" t="s">
        <v>1036</v>
      </c>
      <c r="K17" s="35" t="s">
        <v>1334</v>
      </c>
      <c r="L17" s="35" t="s">
        <v>96</v>
      </c>
      <c r="M17" s="39">
        <v>31.0</v>
      </c>
      <c r="N17" s="40">
        <v>46176.0</v>
      </c>
      <c r="O17" s="42" t="b">
        <v>1</v>
      </c>
      <c r="P17" s="44">
        <v>46177.0</v>
      </c>
      <c r="Q17" s="34"/>
      <c r="R17" s="34"/>
      <c r="S17" s="34"/>
      <c r="T17" s="34"/>
    </row>
    <row r="18" ht="15.75" customHeight="1">
      <c r="B18" s="33">
        <v>46174.0</v>
      </c>
      <c r="C18" s="35">
        <v>18201.0</v>
      </c>
      <c r="D18" s="35">
        <v>120.0</v>
      </c>
      <c r="E18" s="37">
        <v>4.5</v>
      </c>
      <c r="F18" s="38">
        <f t="shared" si="1"/>
        <v>540</v>
      </c>
      <c r="G18" s="35" t="s">
        <v>2433</v>
      </c>
      <c r="H18" s="35" t="s">
        <v>2434</v>
      </c>
      <c r="I18" s="35" t="s">
        <v>240</v>
      </c>
      <c r="J18" s="35" t="s">
        <v>1036</v>
      </c>
      <c r="K18" s="35" t="s">
        <v>1334</v>
      </c>
      <c r="L18" s="35" t="s">
        <v>96</v>
      </c>
      <c r="M18" s="39">
        <v>31.0</v>
      </c>
      <c r="N18" s="40">
        <v>46176.0</v>
      </c>
      <c r="O18" s="42" t="b">
        <v>1</v>
      </c>
      <c r="P18" s="44">
        <v>46177.0</v>
      </c>
      <c r="Q18" s="34"/>
      <c r="R18" s="34"/>
      <c r="S18" s="34"/>
      <c r="T18" s="34"/>
    </row>
    <row r="19" ht="15.75" customHeight="1">
      <c r="B19" s="33">
        <v>46174.0</v>
      </c>
      <c r="C19" s="35">
        <v>18201.0</v>
      </c>
      <c r="D19" s="35">
        <v>100.0</v>
      </c>
      <c r="E19" s="37">
        <v>11.99</v>
      </c>
      <c r="F19" s="38">
        <f t="shared" si="1"/>
        <v>1199</v>
      </c>
      <c r="G19" s="35" t="s">
        <v>2437</v>
      </c>
      <c r="H19" s="35" t="s">
        <v>2438</v>
      </c>
      <c r="I19" s="35" t="s">
        <v>240</v>
      </c>
      <c r="J19" s="35" t="s">
        <v>1036</v>
      </c>
      <c r="K19" s="35" t="s">
        <v>1334</v>
      </c>
      <c r="L19" s="35" t="s">
        <v>96</v>
      </c>
      <c r="M19" s="39">
        <v>31.0</v>
      </c>
      <c r="N19" s="40">
        <v>46176.0</v>
      </c>
      <c r="O19" s="42" t="b">
        <v>1</v>
      </c>
      <c r="P19" s="44">
        <v>46177.0</v>
      </c>
      <c r="Q19" s="34"/>
      <c r="R19" s="34"/>
      <c r="S19" s="34"/>
      <c r="T19" s="34"/>
    </row>
    <row r="20" ht="15.75" customHeight="1">
      <c r="B20" s="33">
        <v>46174.0</v>
      </c>
      <c r="C20" s="35">
        <v>18201.0</v>
      </c>
      <c r="D20" s="35">
        <v>5.0</v>
      </c>
      <c r="E20" s="37">
        <v>179.9</v>
      </c>
      <c r="F20" s="38">
        <f t="shared" si="1"/>
        <v>899.5</v>
      </c>
      <c r="G20" s="35" t="s">
        <v>739</v>
      </c>
      <c r="H20" s="35" t="s">
        <v>740</v>
      </c>
      <c r="I20" s="35" t="s">
        <v>240</v>
      </c>
      <c r="J20" s="35" t="s">
        <v>1036</v>
      </c>
      <c r="K20" s="35" t="s">
        <v>1334</v>
      </c>
      <c r="L20" s="35" t="s">
        <v>96</v>
      </c>
      <c r="M20" s="39">
        <v>31.0</v>
      </c>
      <c r="N20" s="40">
        <v>46176.0</v>
      </c>
      <c r="O20" s="42" t="b">
        <v>1</v>
      </c>
      <c r="P20" s="44">
        <v>46177.0</v>
      </c>
      <c r="Q20" s="34"/>
      <c r="R20" s="34"/>
      <c r="S20" s="34"/>
      <c r="T20" s="34"/>
    </row>
    <row r="21" ht="15.75" customHeight="1">
      <c r="B21" s="33">
        <v>46174.0</v>
      </c>
      <c r="C21" s="35">
        <v>18201.0</v>
      </c>
      <c r="D21" s="35">
        <v>4.0</v>
      </c>
      <c r="E21" s="37">
        <v>179.9</v>
      </c>
      <c r="F21" s="38">
        <f t="shared" si="1"/>
        <v>719.6</v>
      </c>
      <c r="G21" s="35" t="s">
        <v>2424</v>
      </c>
      <c r="H21" s="35" t="s">
        <v>2425</v>
      </c>
      <c r="I21" s="35" t="s">
        <v>240</v>
      </c>
      <c r="J21" s="35" t="s">
        <v>1036</v>
      </c>
      <c r="K21" s="35" t="s">
        <v>1334</v>
      </c>
      <c r="L21" s="35" t="s">
        <v>96</v>
      </c>
      <c r="M21" s="39">
        <v>31.0</v>
      </c>
      <c r="N21" s="40">
        <v>46176.0</v>
      </c>
      <c r="O21" s="42" t="b">
        <v>1</v>
      </c>
      <c r="P21" s="44">
        <v>46177.0</v>
      </c>
      <c r="Q21" s="34"/>
      <c r="R21" s="34"/>
      <c r="S21" s="34"/>
      <c r="T21" s="34"/>
    </row>
    <row r="22" ht="15.75" customHeight="1">
      <c r="B22" s="33">
        <v>46174.0</v>
      </c>
      <c r="C22" s="35">
        <v>334.0</v>
      </c>
      <c r="D22" s="35">
        <v>80.0</v>
      </c>
      <c r="E22" s="37">
        <v>79.99</v>
      </c>
      <c r="F22" s="38">
        <f t="shared" si="1"/>
        <v>6399.2</v>
      </c>
      <c r="G22" s="35" t="s">
        <v>2465</v>
      </c>
      <c r="H22" s="35" t="s">
        <v>2466</v>
      </c>
      <c r="I22" s="35" t="s">
        <v>32</v>
      </c>
      <c r="J22" s="35" t="s">
        <v>34</v>
      </c>
      <c r="K22" s="35" t="s">
        <v>35</v>
      </c>
      <c r="L22" s="35" t="s">
        <v>515</v>
      </c>
      <c r="M22" s="39">
        <v>31.0</v>
      </c>
      <c r="N22" s="40">
        <v>46181.0</v>
      </c>
      <c r="O22" s="42" t="b">
        <v>1</v>
      </c>
      <c r="P22" s="44">
        <v>46182.0</v>
      </c>
      <c r="Q22" s="34"/>
      <c r="R22" s="33">
        <v>46175.0</v>
      </c>
      <c r="S22" s="34"/>
      <c r="T22" s="35"/>
    </row>
    <row r="23" ht="15.75" customHeight="1">
      <c r="B23" s="33">
        <v>46174.0</v>
      </c>
      <c r="C23" s="35">
        <v>334.0</v>
      </c>
      <c r="D23" s="35">
        <v>140.0</v>
      </c>
      <c r="E23" s="37">
        <v>79.99</v>
      </c>
      <c r="F23" s="38">
        <f t="shared" si="1"/>
        <v>11198.6</v>
      </c>
      <c r="G23" s="35" t="s">
        <v>1418</v>
      </c>
      <c r="H23" s="35" t="s">
        <v>2466</v>
      </c>
      <c r="I23" s="35" t="s">
        <v>32</v>
      </c>
      <c r="J23" s="35" t="s">
        <v>34</v>
      </c>
      <c r="K23" s="35" t="s">
        <v>35</v>
      </c>
      <c r="L23" s="35" t="s">
        <v>515</v>
      </c>
      <c r="M23" s="39">
        <v>31.0</v>
      </c>
      <c r="N23" s="40">
        <v>46181.0</v>
      </c>
      <c r="O23" s="42" t="b">
        <v>1</v>
      </c>
      <c r="P23" s="44">
        <v>46182.0</v>
      </c>
      <c r="Q23" s="34"/>
      <c r="R23" s="33">
        <v>46175.0</v>
      </c>
      <c r="S23" s="34"/>
      <c r="T23" s="34"/>
    </row>
    <row r="24" ht="15.75" customHeight="1">
      <c r="B24" s="33">
        <v>46174.0</v>
      </c>
      <c r="C24" s="35">
        <v>334.0</v>
      </c>
      <c r="D24" s="35">
        <v>12.0</v>
      </c>
      <c r="E24" s="37">
        <v>250.0</v>
      </c>
      <c r="F24" s="38">
        <f t="shared" si="1"/>
        <v>3000</v>
      </c>
      <c r="G24" s="35" t="s">
        <v>1136</v>
      </c>
      <c r="H24" s="35" t="s">
        <v>1138</v>
      </c>
      <c r="I24" s="35" t="s">
        <v>32</v>
      </c>
      <c r="J24" s="35" t="s">
        <v>34</v>
      </c>
      <c r="K24" s="35" t="s">
        <v>35</v>
      </c>
      <c r="L24" s="35" t="s">
        <v>515</v>
      </c>
      <c r="M24" s="39">
        <v>31.0</v>
      </c>
      <c r="N24" s="40">
        <v>46181.0</v>
      </c>
      <c r="O24" s="42" t="b">
        <v>1</v>
      </c>
      <c r="P24" s="44">
        <v>46182.0</v>
      </c>
      <c r="Q24" s="34"/>
      <c r="R24" s="33">
        <v>46175.0</v>
      </c>
      <c r="S24" s="34"/>
      <c r="T24" s="34"/>
    </row>
    <row r="25" ht="15.75" customHeight="1">
      <c r="B25" s="33">
        <v>46174.0</v>
      </c>
      <c r="C25" s="35">
        <v>334.0</v>
      </c>
      <c r="D25" s="35">
        <v>3.0</v>
      </c>
      <c r="E25" s="37">
        <v>250.0</v>
      </c>
      <c r="F25" s="38">
        <f t="shared" si="1"/>
        <v>750</v>
      </c>
      <c r="G25" s="35" t="s">
        <v>2482</v>
      </c>
      <c r="H25" s="35" t="s">
        <v>1138</v>
      </c>
      <c r="I25" s="35" t="s">
        <v>32</v>
      </c>
      <c r="J25" s="35" t="s">
        <v>34</v>
      </c>
      <c r="K25" s="35" t="s">
        <v>35</v>
      </c>
      <c r="L25" s="35" t="s">
        <v>515</v>
      </c>
      <c r="M25" s="39">
        <v>31.0</v>
      </c>
      <c r="N25" s="40">
        <v>46181.0</v>
      </c>
      <c r="O25" s="42" t="b">
        <v>1</v>
      </c>
      <c r="P25" s="44">
        <v>46182.0</v>
      </c>
      <c r="Q25" s="34"/>
      <c r="R25" s="33">
        <v>46175.0</v>
      </c>
      <c r="S25" s="34"/>
      <c r="T25" s="34"/>
    </row>
    <row r="26" ht="15.75" customHeight="1">
      <c r="B26" s="33">
        <v>46174.0</v>
      </c>
      <c r="C26" s="35">
        <v>334.0</v>
      </c>
      <c r="D26" s="35">
        <v>20.0</v>
      </c>
      <c r="E26" s="37">
        <v>700.0</v>
      </c>
      <c r="F26" s="38">
        <f t="shared" si="1"/>
        <v>14000</v>
      </c>
      <c r="G26" s="35" t="s">
        <v>513</v>
      </c>
      <c r="H26" s="35" t="s">
        <v>2488</v>
      </c>
      <c r="I26" s="35" t="s">
        <v>32</v>
      </c>
      <c r="J26" s="35" t="s">
        <v>34</v>
      </c>
      <c r="K26" s="35" t="s">
        <v>35</v>
      </c>
      <c r="L26" s="35" t="s">
        <v>515</v>
      </c>
      <c r="M26" s="39">
        <v>31.0</v>
      </c>
      <c r="N26" s="40">
        <v>46181.0</v>
      </c>
      <c r="O26" s="42" t="b">
        <v>1</v>
      </c>
      <c r="P26" s="44">
        <v>46182.0</v>
      </c>
      <c r="Q26" s="34"/>
      <c r="R26" s="33">
        <v>46175.0</v>
      </c>
      <c r="S26" s="34"/>
      <c r="T26" s="34"/>
    </row>
    <row r="27" ht="15.75" customHeight="1">
      <c r="B27" s="33">
        <v>46174.0</v>
      </c>
      <c r="C27" s="35" t="s">
        <v>35</v>
      </c>
      <c r="D27" s="35">
        <v>100.0</v>
      </c>
      <c r="E27" s="37">
        <v>60.99</v>
      </c>
      <c r="F27" s="38">
        <f t="shared" si="1"/>
        <v>6099</v>
      </c>
      <c r="G27" s="35" t="s">
        <v>2491</v>
      </c>
      <c r="H27" s="35" t="s">
        <v>2492</v>
      </c>
      <c r="I27" s="35" t="s">
        <v>59</v>
      </c>
      <c r="J27" s="35" t="s">
        <v>34</v>
      </c>
      <c r="K27" s="35" t="s">
        <v>35</v>
      </c>
      <c r="L27" s="35" t="s">
        <v>365</v>
      </c>
      <c r="M27" s="39">
        <v>1.0</v>
      </c>
      <c r="N27" s="40">
        <v>46182.0</v>
      </c>
      <c r="O27" s="42" t="b">
        <v>1</v>
      </c>
      <c r="P27" s="44">
        <v>46183.0</v>
      </c>
      <c r="Q27" s="34"/>
      <c r="R27" s="34"/>
      <c r="S27" s="34"/>
      <c r="T27" s="34"/>
    </row>
    <row r="28" ht="15.75" customHeight="1">
      <c r="B28" s="33">
        <v>46174.0</v>
      </c>
      <c r="C28" s="35">
        <v>1033.0</v>
      </c>
      <c r="D28" s="35">
        <v>100.0</v>
      </c>
      <c r="E28" s="37">
        <v>180.0</v>
      </c>
      <c r="F28" s="38">
        <f t="shared" si="1"/>
        <v>18000</v>
      </c>
      <c r="G28" s="35" t="s">
        <v>665</v>
      </c>
      <c r="H28" s="35" t="s">
        <v>1131</v>
      </c>
      <c r="I28" s="35" t="s">
        <v>59</v>
      </c>
      <c r="J28" s="35" t="s">
        <v>34</v>
      </c>
      <c r="K28" s="35" t="s">
        <v>35</v>
      </c>
      <c r="L28" s="35" t="s">
        <v>132</v>
      </c>
      <c r="M28" s="39">
        <v>31.0</v>
      </c>
      <c r="N28" s="40">
        <v>46174.0</v>
      </c>
      <c r="O28" s="42" t="b">
        <v>1</v>
      </c>
      <c r="P28" s="44">
        <v>46174.0</v>
      </c>
      <c r="Q28" s="34"/>
      <c r="R28" s="34"/>
      <c r="S28" s="34"/>
      <c r="T28" s="34"/>
    </row>
    <row r="29" ht="15.75" customHeight="1">
      <c r="B29" s="33">
        <v>46174.0</v>
      </c>
      <c r="C29" s="35">
        <v>920209.0</v>
      </c>
      <c r="D29" s="35">
        <v>500.0</v>
      </c>
      <c r="E29" s="37">
        <v>135.0</v>
      </c>
      <c r="F29" s="38">
        <f t="shared" si="1"/>
        <v>67500</v>
      </c>
      <c r="G29" s="35" t="s">
        <v>2505</v>
      </c>
      <c r="H29" s="35">
        <v>57966.0</v>
      </c>
      <c r="I29" s="35" t="s">
        <v>41</v>
      </c>
      <c r="J29" s="35" t="s">
        <v>40</v>
      </c>
      <c r="K29" s="35" t="s">
        <v>35</v>
      </c>
      <c r="L29" s="35" t="s">
        <v>43</v>
      </c>
      <c r="M29" s="39">
        <v>31.0</v>
      </c>
      <c r="N29" s="74" t="s">
        <v>2507</v>
      </c>
      <c r="O29" s="42" t="b">
        <v>0</v>
      </c>
      <c r="P29" s="44"/>
      <c r="Q29" s="34"/>
      <c r="R29" s="34"/>
      <c r="S29" s="34"/>
      <c r="T29" s="34"/>
    </row>
    <row r="30" ht="15.75" customHeight="1">
      <c r="B30" s="33">
        <v>46174.0</v>
      </c>
      <c r="C30" s="35">
        <v>920209.0</v>
      </c>
      <c r="D30" s="35">
        <v>200.0</v>
      </c>
      <c r="E30" s="37">
        <v>189.9</v>
      </c>
      <c r="F30" s="38">
        <f t="shared" si="1"/>
        <v>37980</v>
      </c>
      <c r="G30" s="35" t="s">
        <v>2511</v>
      </c>
      <c r="H30" s="35">
        <v>72864.0</v>
      </c>
      <c r="I30" s="35" t="s">
        <v>41</v>
      </c>
      <c r="J30" s="35" t="s">
        <v>40</v>
      </c>
      <c r="K30" s="35" t="s">
        <v>35</v>
      </c>
      <c r="L30" s="35" t="s">
        <v>43</v>
      </c>
      <c r="M30" s="39">
        <v>31.0</v>
      </c>
      <c r="N30" s="74" t="s">
        <v>2507</v>
      </c>
      <c r="O30" s="42" t="b">
        <v>0</v>
      </c>
      <c r="P30" s="44"/>
      <c r="Q30" s="34"/>
      <c r="R30" s="34"/>
      <c r="S30" s="34"/>
      <c r="T30" s="34"/>
    </row>
    <row r="31" ht="15.75" customHeight="1">
      <c r="B31" s="33">
        <v>46174.0</v>
      </c>
      <c r="C31" s="46" t="s">
        <v>2513</v>
      </c>
      <c r="D31" s="35">
        <v>60.0</v>
      </c>
      <c r="E31" s="37">
        <v>3600.0</v>
      </c>
      <c r="F31" s="38">
        <f t="shared" si="1"/>
        <v>216000</v>
      </c>
      <c r="G31" s="35" t="s">
        <v>2516</v>
      </c>
      <c r="H31" s="35" t="s">
        <v>1193</v>
      </c>
      <c r="I31" s="35" t="s">
        <v>41</v>
      </c>
      <c r="J31" s="35" t="s">
        <v>34</v>
      </c>
      <c r="K31" s="35" t="s">
        <v>35</v>
      </c>
      <c r="L31" s="35" t="s">
        <v>151</v>
      </c>
      <c r="M31" s="39">
        <v>31.0</v>
      </c>
      <c r="N31" s="40">
        <v>46176.0</v>
      </c>
      <c r="O31" s="42" t="b">
        <v>1</v>
      </c>
      <c r="P31" s="44">
        <v>46181.0</v>
      </c>
      <c r="Q31" s="34"/>
      <c r="R31" s="34"/>
      <c r="S31" s="34"/>
      <c r="T31" s="34"/>
    </row>
    <row r="32" ht="15.75" customHeight="1">
      <c r="B32" s="33">
        <v>46174.0</v>
      </c>
      <c r="C32" s="46" t="s">
        <v>2525</v>
      </c>
      <c r="D32" s="35">
        <v>10.0</v>
      </c>
      <c r="E32" s="37">
        <v>540.0</v>
      </c>
      <c r="F32" s="38">
        <f t="shared" si="1"/>
        <v>5400</v>
      </c>
      <c r="G32" s="35" t="s">
        <v>2527</v>
      </c>
      <c r="H32" s="35" t="s">
        <v>2528</v>
      </c>
      <c r="I32" s="35" t="s">
        <v>39</v>
      </c>
      <c r="J32" s="35" t="s">
        <v>40</v>
      </c>
      <c r="K32" s="35" t="s">
        <v>35</v>
      </c>
      <c r="L32" s="35" t="s">
        <v>62</v>
      </c>
      <c r="M32" s="39">
        <v>1.0</v>
      </c>
      <c r="N32" s="40">
        <v>46176.0</v>
      </c>
      <c r="O32" s="42" t="b">
        <v>1</v>
      </c>
      <c r="P32" s="44">
        <v>46177.0</v>
      </c>
      <c r="Q32" s="34"/>
      <c r="R32" s="34"/>
      <c r="S32" s="34"/>
      <c r="T32" s="34"/>
    </row>
    <row r="33" ht="15.75" customHeight="1">
      <c r="B33" s="33">
        <v>46174.0</v>
      </c>
      <c r="C33" s="58">
        <v>29786.0</v>
      </c>
      <c r="D33" s="35">
        <v>6.0</v>
      </c>
      <c r="E33" s="37">
        <v>478.597</v>
      </c>
      <c r="F33" s="38">
        <f t="shared" si="1"/>
        <v>2871.582</v>
      </c>
      <c r="G33" s="35" t="s">
        <v>2533</v>
      </c>
      <c r="H33" s="35" t="s">
        <v>2534</v>
      </c>
      <c r="I33" s="35" t="s">
        <v>174</v>
      </c>
      <c r="J33" s="35" t="s">
        <v>175</v>
      </c>
      <c r="K33" s="35" t="s">
        <v>35</v>
      </c>
      <c r="L33" s="35" t="s">
        <v>2352</v>
      </c>
      <c r="M33" s="39">
        <v>1.0</v>
      </c>
      <c r="N33" s="40">
        <v>46184.0</v>
      </c>
      <c r="O33" s="42" t="b">
        <v>1</v>
      </c>
      <c r="P33" s="44">
        <v>46184.0</v>
      </c>
      <c r="Q33" s="34"/>
      <c r="R33" s="34"/>
      <c r="S33" s="34"/>
      <c r="T33" s="34"/>
    </row>
    <row r="34" ht="15.75" customHeight="1">
      <c r="B34" s="33">
        <v>46174.0</v>
      </c>
      <c r="C34" s="35" t="s">
        <v>35</v>
      </c>
      <c r="D34" s="75">
        <v>50.0</v>
      </c>
      <c r="E34" s="37">
        <v>199.27</v>
      </c>
      <c r="F34" s="38">
        <f t="shared" si="1"/>
        <v>9963.5</v>
      </c>
      <c r="G34" s="76" t="s">
        <v>2545</v>
      </c>
      <c r="H34" s="35" t="s">
        <v>227</v>
      </c>
      <c r="I34" s="35" t="s">
        <v>32</v>
      </c>
      <c r="J34" s="35" t="s">
        <v>34</v>
      </c>
      <c r="K34" s="35" t="s">
        <v>35</v>
      </c>
      <c r="L34" s="35" t="s">
        <v>365</v>
      </c>
      <c r="M34" s="39">
        <v>1.0</v>
      </c>
      <c r="N34" s="40">
        <v>46181.0</v>
      </c>
      <c r="O34" s="42" t="b">
        <v>0</v>
      </c>
      <c r="P34" s="44"/>
      <c r="Q34" s="34"/>
      <c r="R34" s="34"/>
      <c r="S34" s="34"/>
      <c r="T34" s="34"/>
    </row>
    <row r="35" ht="15.75" customHeight="1">
      <c r="B35" s="33">
        <v>46174.0</v>
      </c>
      <c r="C35" s="35">
        <v>1148.0</v>
      </c>
      <c r="D35" s="35">
        <v>100.0</v>
      </c>
      <c r="E35" s="37">
        <v>685.0</v>
      </c>
      <c r="F35" s="38">
        <f t="shared" si="1"/>
        <v>68500</v>
      </c>
      <c r="G35" s="35" t="s">
        <v>856</v>
      </c>
      <c r="H35" s="35" t="s">
        <v>35</v>
      </c>
      <c r="I35" s="35" t="s">
        <v>41</v>
      </c>
      <c r="J35" s="35" t="s">
        <v>34</v>
      </c>
      <c r="K35" s="35" t="s">
        <v>35</v>
      </c>
      <c r="L35" s="35" t="s">
        <v>2342</v>
      </c>
      <c r="M35" s="39">
        <v>31.0</v>
      </c>
      <c r="N35" s="40">
        <v>46182.0</v>
      </c>
      <c r="O35" s="42" t="b">
        <v>1</v>
      </c>
      <c r="P35" s="44">
        <v>46182.0</v>
      </c>
      <c r="Q35" s="34"/>
      <c r="R35" s="33">
        <v>46176.0</v>
      </c>
      <c r="S35" s="34"/>
      <c r="T35" s="34"/>
    </row>
    <row r="36" ht="15.75" customHeight="1">
      <c r="B36" s="33">
        <v>46174.0</v>
      </c>
      <c r="C36" s="58">
        <v>4474.0</v>
      </c>
      <c r="D36" s="35">
        <v>1.0</v>
      </c>
      <c r="E36" s="37">
        <v>7990.0</v>
      </c>
      <c r="F36" s="38">
        <f t="shared" si="1"/>
        <v>7990</v>
      </c>
      <c r="G36" s="35" t="s">
        <v>2557</v>
      </c>
      <c r="H36" s="35" t="s">
        <v>2558</v>
      </c>
      <c r="I36" s="35" t="s">
        <v>41</v>
      </c>
      <c r="J36" s="35" t="s">
        <v>183</v>
      </c>
      <c r="K36" s="35" t="s">
        <v>35</v>
      </c>
      <c r="L36" s="35" t="s">
        <v>2251</v>
      </c>
      <c r="M36" s="39">
        <v>31.0</v>
      </c>
      <c r="N36" s="40">
        <v>46182.0</v>
      </c>
      <c r="O36" s="42" t="b">
        <v>1</v>
      </c>
      <c r="P36" s="44">
        <v>46182.0</v>
      </c>
      <c r="Q36" s="34"/>
      <c r="R36" s="33">
        <v>46174.0</v>
      </c>
      <c r="S36" s="34"/>
      <c r="T36" s="34"/>
    </row>
    <row r="37" ht="15.75" customHeight="1">
      <c r="B37" s="33">
        <v>46174.0</v>
      </c>
      <c r="C37" s="58">
        <v>12752.0</v>
      </c>
      <c r="D37" s="35">
        <v>1.0</v>
      </c>
      <c r="E37" s="37">
        <v>8200.0</v>
      </c>
      <c r="F37" s="38">
        <f t="shared" si="1"/>
        <v>8200</v>
      </c>
      <c r="G37" s="35" t="s">
        <v>2566</v>
      </c>
      <c r="H37" s="35" t="s">
        <v>2567</v>
      </c>
      <c r="I37" s="35" t="s">
        <v>41</v>
      </c>
      <c r="J37" s="35" t="s">
        <v>183</v>
      </c>
      <c r="K37" s="35" t="s">
        <v>35</v>
      </c>
      <c r="L37" s="35" t="s">
        <v>2251</v>
      </c>
      <c r="M37" s="39">
        <v>31.0</v>
      </c>
      <c r="N37" s="40">
        <v>46182.0</v>
      </c>
      <c r="O37" s="42" t="b">
        <v>1</v>
      </c>
      <c r="P37" s="44">
        <v>46182.0</v>
      </c>
      <c r="Q37" s="34"/>
      <c r="R37" s="33">
        <v>46174.0</v>
      </c>
      <c r="S37" s="34"/>
      <c r="T37" s="34"/>
    </row>
    <row r="38" ht="15.75" customHeight="1">
      <c r="B38" s="33">
        <v>46174.0</v>
      </c>
      <c r="C38" s="58">
        <v>3248.0</v>
      </c>
      <c r="D38" s="35">
        <v>1.0</v>
      </c>
      <c r="E38" s="37">
        <v>6300.0</v>
      </c>
      <c r="F38" s="38">
        <f t="shared" si="1"/>
        <v>6300</v>
      </c>
      <c r="G38" s="35" t="s">
        <v>2570</v>
      </c>
      <c r="H38" s="35" t="s">
        <v>2250</v>
      </c>
      <c r="I38" s="35" t="s">
        <v>41</v>
      </c>
      <c r="J38" s="35" t="s">
        <v>183</v>
      </c>
      <c r="K38" s="35" t="s">
        <v>35</v>
      </c>
      <c r="L38" s="35" t="s">
        <v>2251</v>
      </c>
      <c r="M38" s="39">
        <v>31.0</v>
      </c>
      <c r="N38" s="40">
        <v>46188.0</v>
      </c>
      <c r="O38" s="42" t="b">
        <v>1</v>
      </c>
      <c r="P38" s="44">
        <v>46190.0</v>
      </c>
      <c r="Q38" s="34"/>
      <c r="R38" s="33">
        <v>46189.0</v>
      </c>
      <c r="S38" s="34"/>
      <c r="T38" s="34"/>
    </row>
    <row r="39" ht="15.75" customHeight="1">
      <c r="B39" s="33">
        <v>46174.0</v>
      </c>
      <c r="C39" s="58">
        <v>3248.0</v>
      </c>
      <c r="D39" s="35">
        <v>1.0</v>
      </c>
      <c r="E39" s="37">
        <v>6300.0</v>
      </c>
      <c r="F39" s="38">
        <f t="shared" si="1"/>
        <v>6300</v>
      </c>
      <c r="G39" s="35" t="s">
        <v>2575</v>
      </c>
      <c r="H39" s="35" t="s">
        <v>2250</v>
      </c>
      <c r="I39" s="35" t="s">
        <v>41</v>
      </c>
      <c r="J39" s="35" t="s">
        <v>183</v>
      </c>
      <c r="K39" s="35" t="s">
        <v>35</v>
      </c>
      <c r="L39" s="35" t="s">
        <v>2251</v>
      </c>
      <c r="M39" s="39">
        <v>31.0</v>
      </c>
      <c r="N39" s="40">
        <v>46188.0</v>
      </c>
      <c r="O39" s="42" t="b">
        <v>1</v>
      </c>
      <c r="P39" s="44">
        <v>46190.0</v>
      </c>
      <c r="Q39" s="34"/>
      <c r="R39" s="33">
        <v>46189.0</v>
      </c>
      <c r="S39" s="34"/>
      <c r="T39" s="34"/>
    </row>
    <row r="40" ht="15.75" customHeight="1">
      <c r="B40" s="33">
        <v>46174.0</v>
      </c>
      <c r="C40" s="58">
        <v>3248.0</v>
      </c>
      <c r="D40" s="35">
        <v>1.0</v>
      </c>
      <c r="E40" s="37">
        <v>6300.0</v>
      </c>
      <c r="F40" s="38">
        <f t="shared" si="1"/>
        <v>6300</v>
      </c>
      <c r="G40" s="35" t="s">
        <v>2582</v>
      </c>
      <c r="H40" s="35" t="s">
        <v>2250</v>
      </c>
      <c r="I40" s="35" t="s">
        <v>41</v>
      </c>
      <c r="J40" s="35" t="s">
        <v>183</v>
      </c>
      <c r="K40" s="35" t="s">
        <v>35</v>
      </c>
      <c r="L40" s="35" t="s">
        <v>2251</v>
      </c>
      <c r="M40" s="39">
        <v>31.0</v>
      </c>
      <c r="N40" s="40">
        <v>46188.0</v>
      </c>
      <c r="O40" s="42" t="b">
        <v>1</v>
      </c>
      <c r="P40" s="44">
        <v>46190.0</v>
      </c>
      <c r="Q40" s="34"/>
      <c r="R40" s="33">
        <v>46189.0</v>
      </c>
      <c r="S40" s="34"/>
      <c r="T40" s="34"/>
    </row>
    <row r="41" ht="15.75" customHeight="1">
      <c r="B41" s="33">
        <v>46174.0</v>
      </c>
      <c r="C41" s="35">
        <v>207851.0</v>
      </c>
      <c r="D41" s="35">
        <v>150.0</v>
      </c>
      <c r="E41" s="37">
        <v>59.27</v>
      </c>
      <c r="F41" s="38">
        <f t="shared" si="1"/>
        <v>8890.5</v>
      </c>
      <c r="G41" s="35" t="s">
        <v>2588</v>
      </c>
      <c r="H41" s="35" t="s">
        <v>2589</v>
      </c>
      <c r="I41" s="35" t="s">
        <v>174</v>
      </c>
      <c r="J41" s="35" t="s">
        <v>175</v>
      </c>
      <c r="K41" s="35" t="s">
        <v>35</v>
      </c>
      <c r="L41" s="35" t="s">
        <v>2592</v>
      </c>
      <c r="M41" s="39">
        <v>31.0</v>
      </c>
      <c r="N41" s="40">
        <v>46187.0</v>
      </c>
      <c r="O41" s="42" t="b">
        <v>1</v>
      </c>
      <c r="P41" s="44">
        <v>46188.0</v>
      </c>
      <c r="Q41" s="34"/>
      <c r="R41" s="33">
        <v>46175.0</v>
      </c>
      <c r="S41" s="34"/>
      <c r="T41" s="34"/>
    </row>
    <row r="42" ht="15.75" customHeight="1">
      <c r="B42" s="33">
        <v>46174.0</v>
      </c>
      <c r="C42" s="35">
        <v>920211.0</v>
      </c>
      <c r="D42" s="35">
        <v>90.0</v>
      </c>
      <c r="E42" s="37">
        <v>842.31</v>
      </c>
      <c r="F42" s="38">
        <f t="shared" si="1"/>
        <v>75807.9</v>
      </c>
      <c r="G42" s="35" t="s">
        <v>2597</v>
      </c>
      <c r="H42" s="35">
        <v>52064.0</v>
      </c>
      <c r="I42" s="35" t="s">
        <v>673</v>
      </c>
      <c r="J42" s="35" t="s">
        <v>175</v>
      </c>
      <c r="K42" s="35" t="s">
        <v>35</v>
      </c>
      <c r="L42" s="35" t="s">
        <v>43</v>
      </c>
      <c r="M42" s="39">
        <v>31.0</v>
      </c>
      <c r="N42" s="40">
        <v>46184.0</v>
      </c>
      <c r="O42" s="42" t="b">
        <v>1</v>
      </c>
      <c r="P42" s="44">
        <v>46184.0</v>
      </c>
      <c r="Q42" s="34"/>
      <c r="R42" s="33">
        <v>46206.0</v>
      </c>
      <c r="S42" s="33">
        <v>46236.0</v>
      </c>
      <c r="T42" s="33">
        <v>46266.0</v>
      </c>
    </row>
    <row r="43" ht="15.75" customHeight="1">
      <c r="B43" s="33">
        <v>46174.0</v>
      </c>
      <c r="C43" s="35" t="s">
        <v>35</v>
      </c>
      <c r="D43" s="76">
        <v>36.0</v>
      </c>
      <c r="E43" s="37">
        <v>486.56</v>
      </c>
      <c r="F43" s="38">
        <f t="shared" si="1"/>
        <v>17516.16</v>
      </c>
      <c r="G43" s="35" t="s">
        <v>2600</v>
      </c>
      <c r="H43" s="35" t="s">
        <v>35</v>
      </c>
      <c r="I43" s="35" t="s">
        <v>32</v>
      </c>
      <c r="J43" s="35" t="s">
        <v>34</v>
      </c>
      <c r="K43" s="35" t="s">
        <v>35</v>
      </c>
      <c r="L43" s="35" t="s">
        <v>365</v>
      </c>
      <c r="M43" s="39">
        <v>1.0</v>
      </c>
      <c r="N43" s="40">
        <v>46182.0</v>
      </c>
      <c r="O43" s="42" t="b">
        <v>0</v>
      </c>
      <c r="P43" s="44"/>
      <c r="Q43" s="34"/>
      <c r="R43" s="34"/>
      <c r="S43" s="34"/>
      <c r="T43" s="34"/>
    </row>
    <row r="44" ht="15.75" customHeight="1">
      <c r="B44" s="33">
        <v>46174.0</v>
      </c>
      <c r="C44" s="35" t="s">
        <v>35</v>
      </c>
      <c r="D44" s="35">
        <v>5.0</v>
      </c>
      <c r="E44" s="37">
        <v>208.58</v>
      </c>
      <c r="F44" s="38">
        <f t="shared" si="1"/>
        <v>1042.9</v>
      </c>
      <c r="G44" s="35" t="s">
        <v>2601</v>
      </c>
      <c r="H44" s="35" t="s">
        <v>35</v>
      </c>
      <c r="I44" s="35" t="s">
        <v>32</v>
      </c>
      <c r="J44" s="35" t="s">
        <v>34</v>
      </c>
      <c r="K44" s="35" t="s">
        <v>35</v>
      </c>
      <c r="L44" s="35" t="s">
        <v>365</v>
      </c>
      <c r="M44" s="39">
        <v>1.0</v>
      </c>
      <c r="N44" s="40">
        <v>46182.0</v>
      </c>
      <c r="O44" s="42" t="b">
        <v>0</v>
      </c>
      <c r="P44" s="44"/>
      <c r="Q44" s="34"/>
      <c r="R44" s="34"/>
      <c r="S44" s="34"/>
      <c r="T44" s="34"/>
    </row>
    <row r="45" ht="15.75" customHeight="1">
      <c r="B45" s="33">
        <v>46174.0</v>
      </c>
      <c r="C45" s="35" t="s">
        <v>35</v>
      </c>
      <c r="D45" s="35">
        <v>6.0</v>
      </c>
      <c r="E45" s="37">
        <v>914.03</v>
      </c>
      <c r="F45" s="38">
        <f t="shared" si="1"/>
        <v>5484.18</v>
      </c>
      <c r="G45" s="35" t="s">
        <v>2604</v>
      </c>
      <c r="H45" s="35" t="s">
        <v>35</v>
      </c>
      <c r="I45" s="35" t="s">
        <v>32</v>
      </c>
      <c r="J45" s="35" t="s">
        <v>34</v>
      </c>
      <c r="K45" s="35" t="s">
        <v>35</v>
      </c>
      <c r="L45" s="35" t="s">
        <v>365</v>
      </c>
      <c r="M45" s="39">
        <v>1.0</v>
      </c>
      <c r="N45" s="40">
        <v>46182.0</v>
      </c>
      <c r="O45" s="42" t="b">
        <v>0</v>
      </c>
      <c r="P45" s="44"/>
      <c r="Q45" s="34"/>
      <c r="R45" s="34"/>
      <c r="S45" s="34"/>
      <c r="T45" s="34"/>
    </row>
    <row r="46" ht="15.75" customHeight="1">
      <c r="B46" s="33">
        <v>46174.0</v>
      </c>
      <c r="C46" s="58">
        <v>12759.0</v>
      </c>
      <c r="D46" s="35">
        <v>1.0</v>
      </c>
      <c r="E46" s="37">
        <v>7000.0</v>
      </c>
      <c r="F46" s="38">
        <f t="shared" si="1"/>
        <v>7000</v>
      </c>
      <c r="G46" s="35" t="s">
        <v>2610</v>
      </c>
      <c r="H46" s="35" t="s">
        <v>2611</v>
      </c>
      <c r="I46" s="35" t="s">
        <v>39</v>
      </c>
      <c r="J46" s="35" t="s">
        <v>183</v>
      </c>
      <c r="K46" s="35" t="s">
        <v>35</v>
      </c>
      <c r="L46" s="35" t="s">
        <v>2251</v>
      </c>
      <c r="M46" s="39">
        <v>31.0</v>
      </c>
      <c r="N46" s="40">
        <v>46188.0</v>
      </c>
      <c r="O46" s="42" t="b">
        <v>1</v>
      </c>
      <c r="P46" s="44">
        <v>46190.0</v>
      </c>
      <c r="Q46" s="34"/>
      <c r="R46" s="33">
        <v>46189.0</v>
      </c>
      <c r="S46" s="34"/>
      <c r="T46" s="34"/>
    </row>
    <row r="47" ht="15.75" customHeight="1">
      <c r="B47" s="33">
        <v>46175.0</v>
      </c>
      <c r="C47" s="35">
        <v>12386.0</v>
      </c>
      <c r="D47" s="35">
        <v>1000.0</v>
      </c>
      <c r="E47" s="37">
        <v>12.54</v>
      </c>
      <c r="F47" s="38">
        <f t="shared" si="1"/>
        <v>12540</v>
      </c>
      <c r="G47" s="35" t="s">
        <v>2623</v>
      </c>
      <c r="H47" s="35" t="s">
        <v>35</v>
      </c>
      <c r="I47" s="35" t="s">
        <v>41</v>
      </c>
      <c r="J47" s="35" t="s">
        <v>34</v>
      </c>
      <c r="K47" s="35" t="s">
        <v>35</v>
      </c>
      <c r="L47" s="35" t="s">
        <v>2625</v>
      </c>
      <c r="M47" s="39">
        <v>31.0</v>
      </c>
      <c r="N47" s="40">
        <v>46183.0</v>
      </c>
      <c r="O47" s="42" t="b">
        <v>1</v>
      </c>
      <c r="P47" s="44">
        <v>46183.0</v>
      </c>
      <c r="Q47" s="34"/>
      <c r="R47" s="33">
        <v>46175.0</v>
      </c>
      <c r="S47" s="34"/>
      <c r="T47" s="34"/>
    </row>
    <row r="48" ht="15.75" customHeight="1">
      <c r="B48" s="33">
        <v>46175.0</v>
      </c>
      <c r="C48" s="46" t="s">
        <v>2627</v>
      </c>
      <c r="D48" s="35">
        <v>30.0</v>
      </c>
      <c r="E48" s="37">
        <v>114.75</v>
      </c>
      <c r="F48" s="38">
        <f t="shared" si="1"/>
        <v>3442.5</v>
      </c>
      <c r="G48" s="35" t="s">
        <v>2629</v>
      </c>
      <c r="H48" s="35" t="s">
        <v>2630</v>
      </c>
      <c r="I48" s="35" t="s">
        <v>32</v>
      </c>
      <c r="J48" s="35" t="s">
        <v>34</v>
      </c>
      <c r="K48" s="35" t="s">
        <v>35</v>
      </c>
      <c r="L48" s="35" t="s">
        <v>62</v>
      </c>
      <c r="M48" s="39">
        <v>1.0</v>
      </c>
      <c r="N48" s="40">
        <v>46176.0</v>
      </c>
      <c r="O48" s="42" t="b">
        <v>1</v>
      </c>
      <c r="P48" s="44">
        <v>46177.0</v>
      </c>
      <c r="Q48" s="34"/>
      <c r="R48" s="34"/>
      <c r="S48" s="34"/>
      <c r="T48" s="34"/>
    </row>
    <row r="49" ht="15.75" customHeight="1">
      <c r="B49" s="33">
        <v>46175.0</v>
      </c>
      <c r="C49" s="35">
        <v>18391.0</v>
      </c>
      <c r="D49" s="35">
        <v>4.0</v>
      </c>
      <c r="E49" s="37">
        <v>399.9</v>
      </c>
      <c r="F49" s="38">
        <f t="shared" si="1"/>
        <v>1599.6</v>
      </c>
      <c r="G49" s="35" t="s">
        <v>2634</v>
      </c>
      <c r="H49" s="35" t="s">
        <v>1600</v>
      </c>
      <c r="I49" s="35" t="s">
        <v>174</v>
      </c>
      <c r="J49" s="35" t="s">
        <v>175</v>
      </c>
      <c r="K49" s="35" t="s">
        <v>35</v>
      </c>
      <c r="L49" s="35" t="s">
        <v>96</v>
      </c>
      <c r="M49" s="39">
        <v>31.0</v>
      </c>
      <c r="N49" s="40">
        <v>46176.0</v>
      </c>
      <c r="O49" s="42" t="b">
        <v>1</v>
      </c>
      <c r="P49" s="44">
        <v>46177.0</v>
      </c>
      <c r="Q49" s="34"/>
      <c r="R49" s="34"/>
      <c r="S49" s="34"/>
      <c r="T49" s="34"/>
    </row>
    <row r="50" ht="15.75" customHeight="1">
      <c r="B50" s="33">
        <v>46175.0</v>
      </c>
      <c r="C50" s="35" t="s">
        <v>35</v>
      </c>
      <c r="D50" s="75">
        <v>10.0</v>
      </c>
      <c r="E50" s="37">
        <v>453.68</v>
      </c>
      <c r="F50" s="38">
        <f t="shared" si="1"/>
        <v>4536.8</v>
      </c>
      <c r="G50" s="76" t="s">
        <v>2642</v>
      </c>
      <c r="H50" s="35" t="s">
        <v>312</v>
      </c>
      <c r="I50" s="35" t="s">
        <v>32</v>
      </c>
      <c r="J50" s="35" t="s">
        <v>34</v>
      </c>
      <c r="K50" s="35" t="s">
        <v>35</v>
      </c>
      <c r="L50" s="35" t="s">
        <v>365</v>
      </c>
      <c r="M50" s="39">
        <v>1.0</v>
      </c>
      <c r="N50" s="40">
        <v>46181.0</v>
      </c>
      <c r="O50" s="42" t="b">
        <v>0</v>
      </c>
      <c r="P50" s="45"/>
      <c r="Q50" s="34"/>
      <c r="R50" s="34"/>
      <c r="S50" s="34"/>
      <c r="T50" s="34"/>
    </row>
    <row r="51" ht="15.75" customHeight="1">
      <c r="B51" s="33">
        <v>46175.0</v>
      </c>
      <c r="C51" s="35" t="s">
        <v>35</v>
      </c>
      <c r="D51" s="75">
        <v>30.0</v>
      </c>
      <c r="E51" s="37">
        <v>199.27</v>
      </c>
      <c r="F51" s="38">
        <f t="shared" si="1"/>
        <v>5978.1</v>
      </c>
      <c r="G51" s="76" t="s">
        <v>2545</v>
      </c>
      <c r="H51" s="35" t="s">
        <v>227</v>
      </c>
      <c r="I51" s="35" t="s">
        <v>32</v>
      </c>
      <c r="J51" s="35" t="s">
        <v>34</v>
      </c>
      <c r="K51" s="35" t="s">
        <v>35</v>
      </c>
      <c r="L51" s="35" t="s">
        <v>365</v>
      </c>
      <c r="M51" s="39">
        <v>1.0</v>
      </c>
      <c r="N51" s="40">
        <v>46181.0</v>
      </c>
      <c r="O51" s="42" t="b">
        <v>0</v>
      </c>
      <c r="P51" s="45"/>
      <c r="Q51" s="34"/>
      <c r="R51" s="34"/>
      <c r="S51" s="34"/>
      <c r="T51" s="34"/>
    </row>
    <row r="52" ht="15.75" customHeight="1">
      <c r="B52" s="33">
        <v>46175.0</v>
      </c>
      <c r="C52" s="46" t="s">
        <v>2652</v>
      </c>
      <c r="D52" s="35">
        <v>160.0</v>
      </c>
      <c r="E52" s="37">
        <v>85.0</v>
      </c>
      <c r="F52" s="38">
        <f t="shared" si="1"/>
        <v>13600</v>
      </c>
      <c r="G52" s="35" t="s">
        <v>2379</v>
      </c>
      <c r="H52" s="35" t="s">
        <v>2190</v>
      </c>
      <c r="I52" s="35" t="s">
        <v>59</v>
      </c>
      <c r="J52" s="35" t="s">
        <v>34</v>
      </c>
      <c r="K52" s="35" t="s">
        <v>35</v>
      </c>
      <c r="L52" s="35" t="s">
        <v>87</v>
      </c>
      <c r="M52" s="39">
        <v>31.0</v>
      </c>
      <c r="N52" s="40">
        <v>46175.0</v>
      </c>
      <c r="O52" s="42" t="b">
        <v>1</v>
      </c>
      <c r="P52" s="44">
        <v>46175.0</v>
      </c>
      <c r="Q52" s="34"/>
      <c r="R52" s="34"/>
      <c r="S52" s="34"/>
      <c r="T52" s="34"/>
    </row>
    <row r="53" ht="15.75" customHeight="1">
      <c r="B53" s="33">
        <v>46175.0</v>
      </c>
      <c r="C53" s="46" t="s">
        <v>2658</v>
      </c>
      <c r="D53" s="35">
        <v>500.0</v>
      </c>
      <c r="E53" s="37">
        <v>55.0</v>
      </c>
      <c r="F53" s="38">
        <f t="shared" si="1"/>
        <v>27500</v>
      </c>
      <c r="G53" s="35" t="s">
        <v>2661</v>
      </c>
      <c r="H53" s="35" t="s">
        <v>2663</v>
      </c>
      <c r="I53" s="35" t="s">
        <v>32</v>
      </c>
      <c r="J53" s="35" t="s">
        <v>34</v>
      </c>
      <c r="K53" s="35" t="s">
        <v>35</v>
      </c>
      <c r="L53" s="35" t="s">
        <v>87</v>
      </c>
      <c r="M53" s="39">
        <v>31.0</v>
      </c>
      <c r="N53" s="40">
        <v>46182.0</v>
      </c>
      <c r="O53" s="42" t="b">
        <v>1</v>
      </c>
      <c r="P53" s="44">
        <v>46183.0</v>
      </c>
      <c r="Q53" s="34"/>
      <c r="R53" s="33">
        <v>46175.0</v>
      </c>
      <c r="S53" s="34"/>
      <c r="T53" s="34"/>
    </row>
    <row r="54" ht="15.75" customHeight="1">
      <c r="B54" s="33">
        <v>46175.0</v>
      </c>
      <c r="C54" s="35" t="s">
        <v>35</v>
      </c>
      <c r="D54" s="35">
        <v>30.0</v>
      </c>
      <c r="E54" s="37">
        <v>385.0</v>
      </c>
      <c r="F54" s="38">
        <f t="shared" si="1"/>
        <v>11550</v>
      </c>
      <c r="G54" s="35" t="s">
        <v>2664</v>
      </c>
      <c r="H54" s="35" t="s">
        <v>35</v>
      </c>
      <c r="I54" s="35" t="s">
        <v>41</v>
      </c>
      <c r="J54" s="35" t="s">
        <v>34</v>
      </c>
      <c r="K54" s="35" t="s">
        <v>35</v>
      </c>
      <c r="L54" s="35" t="s">
        <v>585</v>
      </c>
      <c r="M54" s="39">
        <v>31.0</v>
      </c>
      <c r="N54" s="40">
        <v>46180.0</v>
      </c>
      <c r="O54" s="42" t="b">
        <v>1</v>
      </c>
      <c r="P54" s="44">
        <v>46181.0</v>
      </c>
      <c r="Q54" s="34"/>
      <c r="R54" s="33">
        <v>46176.0</v>
      </c>
      <c r="S54" s="34"/>
      <c r="T54" s="34"/>
    </row>
    <row r="55" ht="15.75" customHeight="1">
      <c r="B55" s="33">
        <v>46175.0</v>
      </c>
      <c r="C55" s="35">
        <v>18452.0</v>
      </c>
      <c r="D55" s="35">
        <v>5.0</v>
      </c>
      <c r="E55" s="37">
        <v>139.9</v>
      </c>
      <c r="F55" s="38">
        <f t="shared" si="1"/>
        <v>699.5</v>
      </c>
      <c r="G55" s="35" t="s">
        <v>2668</v>
      </c>
      <c r="H55" s="35" t="s">
        <v>2669</v>
      </c>
      <c r="I55" s="35" t="s">
        <v>174</v>
      </c>
      <c r="J55" s="35" t="s">
        <v>175</v>
      </c>
      <c r="K55" s="35" t="s">
        <v>35</v>
      </c>
      <c r="L55" s="35" t="s">
        <v>96</v>
      </c>
      <c r="M55" s="39">
        <v>1.0</v>
      </c>
      <c r="N55" s="40">
        <v>46176.0</v>
      </c>
      <c r="O55" s="42" t="b">
        <v>1</v>
      </c>
      <c r="P55" s="44">
        <v>46182.0</v>
      </c>
      <c r="Q55" s="34"/>
      <c r="R55" s="34"/>
      <c r="S55" s="34"/>
      <c r="T55" s="34"/>
    </row>
    <row r="56" ht="15.75" customHeight="1">
      <c r="B56" s="33">
        <v>46175.0</v>
      </c>
      <c r="C56" s="35">
        <v>18462.0</v>
      </c>
      <c r="D56" s="35">
        <v>4.0</v>
      </c>
      <c r="E56" s="37">
        <v>289.9</v>
      </c>
      <c r="F56" s="38">
        <f t="shared" si="1"/>
        <v>1159.6</v>
      </c>
      <c r="G56" s="35" t="s">
        <v>2116</v>
      </c>
      <c r="H56" s="35" t="s">
        <v>408</v>
      </c>
      <c r="I56" s="35" t="s">
        <v>32</v>
      </c>
      <c r="J56" s="35" t="s">
        <v>34</v>
      </c>
      <c r="K56" s="35" t="s">
        <v>35</v>
      </c>
      <c r="L56" s="35" t="s">
        <v>96</v>
      </c>
      <c r="M56" s="39">
        <v>1.0</v>
      </c>
      <c r="N56" s="40">
        <v>46176.0</v>
      </c>
      <c r="O56" s="42" t="b">
        <v>1</v>
      </c>
      <c r="P56" s="44">
        <v>46182.0</v>
      </c>
      <c r="Q56" s="34"/>
      <c r="R56" s="34"/>
      <c r="S56" s="34"/>
      <c r="T56" s="34"/>
    </row>
    <row r="57" ht="15.75" customHeight="1">
      <c r="B57" s="33">
        <v>46175.0</v>
      </c>
      <c r="C57" s="35">
        <v>18462.0</v>
      </c>
      <c r="D57" s="35">
        <v>4.0</v>
      </c>
      <c r="E57" s="37">
        <v>259.9</v>
      </c>
      <c r="F57" s="38">
        <f t="shared" si="1"/>
        <v>1039.6</v>
      </c>
      <c r="G57" s="35" t="s">
        <v>2673</v>
      </c>
      <c r="H57" s="35" t="s">
        <v>2674</v>
      </c>
      <c r="I57" s="35" t="s">
        <v>32</v>
      </c>
      <c r="J57" s="35" t="s">
        <v>34</v>
      </c>
      <c r="K57" s="35" t="s">
        <v>35</v>
      </c>
      <c r="L57" s="35" t="s">
        <v>96</v>
      </c>
      <c r="M57" s="39">
        <v>1.0</v>
      </c>
      <c r="N57" s="40">
        <v>46176.0</v>
      </c>
      <c r="O57" s="42" t="b">
        <v>1</v>
      </c>
      <c r="P57" s="44">
        <v>46182.0</v>
      </c>
      <c r="Q57" s="34"/>
      <c r="R57" s="34"/>
      <c r="S57" s="34"/>
      <c r="T57" s="35"/>
    </row>
    <row r="58" ht="15.75" customHeight="1">
      <c r="B58" s="33">
        <v>46175.0</v>
      </c>
      <c r="C58" s="35">
        <v>18462.0</v>
      </c>
      <c r="D58" s="35">
        <v>4.0</v>
      </c>
      <c r="E58" s="37">
        <v>319.9</v>
      </c>
      <c r="F58" s="38">
        <f t="shared" si="1"/>
        <v>1279.6</v>
      </c>
      <c r="G58" s="35" t="s">
        <v>2166</v>
      </c>
      <c r="H58" s="35" t="s">
        <v>1374</v>
      </c>
      <c r="I58" s="35" t="s">
        <v>32</v>
      </c>
      <c r="J58" s="35" t="s">
        <v>34</v>
      </c>
      <c r="K58" s="35" t="s">
        <v>35</v>
      </c>
      <c r="L58" s="35" t="s">
        <v>96</v>
      </c>
      <c r="M58" s="39">
        <v>1.0</v>
      </c>
      <c r="N58" s="40">
        <v>46176.0</v>
      </c>
      <c r="O58" s="42" t="b">
        <v>1</v>
      </c>
      <c r="P58" s="44">
        <v>46182.0</v>
      </c>
      <c r="Q58" s="34"/>
      <c r="R58" s="34"/>
      <c r="S58" s="34"/>
      <c r="T58" s="34"/>
    </row>
    <row r="59" ht="15.75" customHeight="1">
      <c r="B59" s="33">
        <v>46175.0</v>
      </c>
      <c r="C59" s="35">
        <v>18468.0</v>
      </c>
      <c r="D59" s="35">
        <v>100.0</v>
      </c>
      <c r="E59" s="37">
        <v>12.99</v>
      </c>
      <c r="F59" s="38">
        <f t="shared" si="1"/>
        <v>1299</v>
      </c>
      <c r="G59" s="35" t="s">
        <v>262</v>
      </c>
      <c r="H59" s="35" t="s">
        <v>1552</v>
      </c>
      <c r="I59" s="35" t="s">
        <v>77</v>
      </c>
      <c r="J59" s="35" t="s">
        <v>79</v>
      </c>
      <c r="K59" s="35" t="s">
        <v>35</v>
      </c>
      <c r="L59" s="35" t="s">
        <v>96</v>
      </c>
      <c r="M59" s="39">
        <v>1.0</v>
      </c>
      <c r="N59" s="40">
        <v>46176.0</v>
      </c>
      <c r="O59" s="42" t="b">
        <v>1</v>
      </c>
      <c r="P59" s="45"/>
      <c r="Q59" s="34"/>
      <c r="R59" s="34"/>
      <c r="S59" s="34"/>
      <c r="T59" s="34"/>
    </row>
    <row r="60" ht="15.75" customHeight="1">
      <c r="B60" s="33">
        <v>46175.0</v>
      </c>
      <c r="C60" s="35">
        <v>18468.0</v>
      </c>
      <c r="D60" s="35">
        <v>500.0</v>
      </c>
      <c r="E60" s="37">
        <v>8.99</v>
      </c>
      <c r="F60" s="38">
        <f t="shared" si="1"/>
        <v>4495</v>
      </c>
      <c r="G60" s="35" t="s">
        <v>262</v>
      </c>
      <c r="H60" s="35" t="s">
        <v>263</v>
      </c>
      <c r="I60" s="35" t="s">
        <v>77</v>
      </c>
      <c r="J60" s="35" t="s">
        <v>79</v>
      </c>
      <c r="K60" s="35" t="s">
        <v>35</v>
      </c>
      <c r="L60" s="35" t="s">
        <v>96</v>
      </c>
      <c r="M60" s="39">
        <v>1.0</v>
      </c>
      <c r="N60" s="40">
        <v>46176.0</v>
      </c>
      <c r="O60" s="42" t="b">
        <v>1</v>
      </c>
      <c r="P60" s="44"/>
      <c r="Q60" s="34"/>
      <c r="R60" s="34"/>
      <c r="S60" s="34"/>
      <c r="T60" s="34"/>
    </row>
    <row r="61" ht="15.75" customHeight="1">
      <c r="B61" s="33">
        <v>46175.0</v>
      </c>
      <c r="C61" s="35">
        <v>18468.0</v>
      </c>
      <c r="D61" s="35">
        <v>40.0</v>
      </c>
      <c r="E61" s="37">
        <v>15.9</v>
      </c>
      <c r="F61" s="38">
        <f t="shared" si="1"/>
        <v>636</v>
      </c>
      <c r="G61" s="35" t="s">
        <v>2694</v>
      </c>
      <c r="H61" s="35" t="s">
        <v>2695</v>
      </c>
      <c r="I61" s="35" t="s">
        <v>77</v>
      </c>
      <c r="J61" s="35" t="s">
        <v>79</v>
      </c>
      <c r="K61" s="35" t="s">
        <v>35</v>
      </c>
      <c r="L61" s="35" t="s">
        <v>96</v>
      </c>
      <c r="M61" s="39">
        <v>1.0</v>
      </c>
      <c r="N61" s="40">
        <v>46176.0</v>
      </c>
      <c r="O61" s="42" t="b">
        <v>1</v>
      </c>
      <c r="P61" s="44"/>
      <c r="Q61" s="34"/>
      <c r="R61" s="34"/>
      <c r="S61" s="34"/>
      <c r="T61" s="34"/>
    </row>
    <row r="62" ht="15.75" customHeight="1">
      <c r="B62" s="33">
        <v>46175.0</v>
      </c>
      <c r="C62" s="46" t="s">
        <v>2699</v>
      </c>
      <c r="D62" s="35">
        <v>120.0</v>
      </c>
      <c r="E62" s="37">
        <v>385.0</v>
      </c>
      <c r="F62" s="38">
        <f t="shared" si="1"/>
        <v>46200</v>
      </c>
      <c r="G62" s="35" t="s">
        <v>2702</v>
      </c>
      <c r="H62" s="35" t="s">
        <v>2703</v>
      </c>
      <c r="I62" s="35" t="s">
        <v>174</v>
      </c>
      <c r="J62" s="35" t="s">
        <v>175</v>
      </c>
      <c r="K62" s="35" t="s">
        <v>35</v>
      </c>
      <c r="L62" s="35" t="s">
        <v>87</v>
      </c>
      <c r="M62" s="39">
        <v>31.0</v>
      </c>
      <c r="N62" s="40">
        <v>46176.0</v>
      </c>
      <c r="O62" s="42" t="b">
        <v>1</v>
      </c>
      <c r="P62" s="44">
        <v>46181.0</v>
      </c>
      <c r="Q62" s="34"/>
      <c r="R62" s="34"/>
      <c r="S62" s="34"/>
      <c r="T62" s="34"/>
    </row>
    <row r="63" ht="15.75" customHeight="1">
      <c r="B63" s="33">
        <v>46175.0</v>
      </c>
      <c r="C63" s="35" t="s">
        <v>35</v>
      </c>
      <c r="D63" s="35">
        <v>40.0</v>
      </c>
      <c r="E63" s="37">
        <v>760.91</v>
      </c>
      <c r="F63" s="38">
        <f t="shared" si="1"/>
        <v>30436.4</v>
      </c>
      <c r="G63" s="35" t="s">
        <v>2706</v>
      </c>
      <c r="H63" s="35" t="s">
        <v>2707</v>
      </c>
      <c r="I63" s="35" t="s">
        <v>32</v>
      </c>
      <c r="J63" s="35" t="s">
        <v>34</v>
      </c>
      <c r="K63" s="35" t="s">
        <v>35</v>
      </c>
      <c r="L63" s="35" t="s">
        <v>365</v>
      </c>
      <c r="M63" s="39">
        <v>1.0</v>
      </c>
      <c r="N63" s="47" t="s">
        <v>194</v>
      </c>
      <c r="O63" s="42" t="b">
        <v>0</v>
      </c>
      <c r="P63" s="44"/>
      <c r="Q63" s="34"/>
      <c r="R63" s="34"/>
      <c r="S63" s="34"/>
      <c r="T63" s="34"/>
    </row>
    <row r="64" ht="15.75" customHeight="1">
      <c r="B64" s="33">
        <v>46175.0</v>
      </c>
      <c r="C64" s="35" t="s">
        <v>35</v>
      </c>
      <c r="D64" s="65">
        <v>24.0</v>
      </c>
      <c r="E64" s="37">
        <v>760.91</v>
      </c>
      <c r="F64" s="38">
        <f t="shared" si="1"/>
        <v>18261.84</v>
      </c>
      <c r="G64" s="35" t="s">
        <v>2713</v>
      </c>
      <c r="H64" s="35" t="s">
        <v>2714</v>
      </c>
      <c r="I64" s="35" t="s">
        <v>32</v>
      </c>
      <c r="J64" s="35" t="s">
        <v>34</v>
      </c>
      <c r="K64" s="35" t="s">
        <v>35</v>
      </c>
      <c r="L64" s="35" t="s">
        <v>365</v>
      </c>
      <c r="M64" s="39">
        <v>1.0</v>
      </c>
      <c r="N64" s="51" t="str">
        <f>IF(B64&lt;TODAY()-2,"ATRASADO","EM DIA")</f>
        <v>ATRASADO</v>
      </c>
      <c r="O64" s="42" t="b">
        <v>0</v>
      </c>
      <c r="P64" s="44"/>
      <c r="Q64" s="33"/>
      <c r="R64" s="34"/>
      <c r="S64" s="34"/>
      <c r="T64" s="34"/>
    </row>
    <row r="65" ht="15.75" customHeight="1">
      <c r="B65" s="33">
        <v>46175.0</v>
      </c>
      <c r="C65" s="35" t="s">
        <v>35</v>
      </c>
      <c r="D65" s="35">
        <v>50.0</v>
      </c>
      <c r="E65" s="37">
        <v>730.0</v>
      </c>
      <c r="F65" s="38">
        <f t="shared" si="1"/>
        <v>36500</v>
      </c>
      <c r="G65" s="35" t="s">
        <v>2722</v>
      </c>
      <c r="H65" s="35" t="s">
        <v>2724</v>
      </c>
      <c r="I65" s="35" t="s">
        <v>39</v>
      </c>
      <c r="J65" s="35" t="s">
        <v>40</v>
      </c>
      <c r="K65" s="35" t="s">
        <v>35</v>
      </c>
      <c r="L65" s="35" t="s">
        <v>2725</v>
      </c>
      <c r="M65" s="39">
        <v>31.0</v>
      </c>
      <c r="N65" s="40">
        <v>46175.0</v>
      </c>
      <c r="O65" s="42" t="b">
        <v>0</v>
      </c>
      <c r="P65" s="44"/>
      <c r="Q65" s="34"/>
      <c r="R65" s="35" t="s">
        <v>35</v>
      </c>
      <c r="S65" s="34"/>
      <c r="T65" s="35"/>
    </row>
    <row r="66" ht="15.75" customHeight="1">
      <c r="B66" s="33">
        <v>46175.0</v>
      </c>
      <c r="C66" s="35" t="s">
        <v>35</v>
      </c>
      <c r="D66" s="35">
        <v>40.0</v>
      </c>
      <c r="E66" s="37">
        <v>380.0</v>
      </c>
      <c r="F66" s="38">
        <f t="shared" si="1"/>
        <v>15200</v>
      </c>
      <c r="G66" s="35" t="s">
        <v>2726</v>
      </c>
      <c r="H66" s="35" t="s">
        <v>312</v>
      </c>
      <c r="I66" s="35" t="s">
        <v>39</v>
      </c>
      <c r="J66" s="35" t="s">
        <v>40</v>
      </c>
      <c r="K66" s="35" t="s">
        <v>35</v>
      </c>
      <c r="L66" s="35" t="s">
        <v>2725</v>
      </c>
      <c r="M66" s="39">
        <v>31.0</v>
      </c>
      <c r="N66" s="40">
        <v>46175.0</v>
      </c>
      <c r="O66" s="42" t="b">
        <v>0</v>
      </c>
      <c r="P66" s="44"/>
      <c r="Q66" s="34"/>
      <c r="R66" s="35" t="s">
        <v>35</v>
      </c>
      <c r="S66" s="34"/>
      <c r="T66" s="34"/>
    </row>
    <row r="67" ht="15.75" customHeight="1">
      <c r="B67" s="33">
        <v>46175.0</v>
      </c>
      <c r="C67" s="58" t="s">
        <v>35</v>
      </c>
      <c r="D67" s="35">
        <v>5.0</v>
      </c>
      <c r="E67" s="37">
        <v>794.0</v>
      </c>
      <c r="F67" s="38">
        <f t="shared" si="1"/>
        <v>3970</v>
      </c>
      <c r="G67" s="35" t="s">
        <v>2729</v>
      </c>
      <c r="H67" s="35" t="s">
        <v>35</v>
      </c>
      <c r="I67" s="35" t="s">
        <v>41</v>
      </c>
      <c r="J67" s="35" t="s">
        <v>34</v>
      </c>
      <c r="K67" s="35" t="s">
        <v>35</v>
      </c>
      <c r="L67" s="35" t="s">
        <v>35</v>
      </c>
      <c r="M67" s="39">
        <v>31.0</v>
      </c>
      <c r="N67" s="40">
        <v>46177.0</v>
      </c>
      <c r="O67" s="42" t="b">
        <v>1</v>
      </c>
      <c r="P67" s="44">
        <v>46181.0</v>
      </c>
      <c r="Q67" s="34"/>
      <c r="R67" s="34"/>
      <c r="S67" s="34"/>
      <c r="T67" s="34"/>
    </row>
    <row r="68" ht="15.75" customHeight="1">
      <c r="B68" s="33">
        <v>46175.0</v>
      </c>
      <c r="C68" s="35">
        <v>18371.0</v>
      </c>
      <c r="D68" s="35">
        <v>2.0</v>
      </c>
      <c r="E68" s="37">
        <v>429.9</v>
      </c>
      <c r="F68" s="38">
        <f t="shared" si="1"/>
        <v>859.8</v>
      </c>
      <c r="G68" s="35" t="s">
        <v>2732</v>
      </c>
      <c r="H68" s="35" t="s">
        <v>2733</v>
      </c>
      <c r="I68" s="35" t="s">
        <v>39</v>
      </c>
      <c r="J68" s="35" t="s">
        <v>183</v>
      </c>
      <c r="K68" s="35" t="s">
        <v>35</v>
      </c>
      <c r="L68" s="35" t="s">
        <v>96</v>
      </c>
      <c r="M68" s="39">
        <v>31.0</v>
      </c>
      <c r="N68" s="40">
        <v>46189.0</v>
      </c>
      <c r="O68" s="42" t="b">
        <v>0</v>
      </c>
      <c r="P68" s="44"/>
      <c r="Q68" s="34"/>
      <c r="R68" s="34"/>
      <c r="S68" s="34"/>
      <c r="T68" s="34"/>
    </row>
    <row r="69" ht="15.75" customHeight="1">
      <c r="B69" s="33">
        <v>46175.0</v>
      </c>
      <c r="C69" s="35">
        <v>18371.0</v>
      </c>
      <c r="D69" s="35">
        <v>2.0</v>
      </c>
      <c r="E69" s="37">
        <v>559.9</v>
      </c>
      <c r="F69" s="38">
        <f t="shared" si="1"/>
        <v>1119.8</v>
      </c>
      <c r="G69" s="35" t="s">
        <v>2736</v>
      </c>
      <c r="H69" s="35" t="s">
        <v>2737</v>
      </c>
      <c r="I69" s="35" t="s">
        <v>39</v>
      </c>
      <c r="J69" s="35" t="s">
        <v>183</v>
      </c>
      <c r="K69" s="35" t="s">
        <v>35</v>
      </c>
      <c r="L69" s="35" t="s">
        <v>96</v>
      </c>
      <c r="M69" s="39">
        <v>31.0</v>
      </c>
      <c r="N69" s="40">
        <v>46189.0</v>
      </c>
      <c r="O69" s="42" t="b">
        <v>0</v>
      </c>
      <c r="P69" s="44"/>
      <c r="Q69" s="34"/>
      <c r="R69" s="34"/>
      <c r="S69" s="34"/>
      <c r="T69" s="34"/>
    </row>
    <row r="70" ht="15.75" customHeight="1">
      <c r="B70" s="33">
        <v>46175.0</v>
      </c>
      <c r="C70" s="35">
        <v>18371.0</v>
      </c>
      <c r="D70" s="35">
        <v>1.0</v>
      </c>
      <c r="E70" s="37">
        <v>1499.9</v>
      </c>
      <c r="F70" s="38">
        <f t="shared" si="1"/>
        <v>1499.9</v>
      </c>
      <c r="G70" s="35" t="s">
        <v>2740</v>
      </c>
      <c r="H70" s="35" t="s">
        <v>2741</v>
      </c>
      <c r="I70" s="35" t="s">
        <v>39</v>
      </c>
      <c r="J70" s="35" t="s">
        <v>183</v>
      </c>
      <c r="K70" s="35" t="s">
        <v>35</v>
      </c>
      <c r="L70" s="35" t="s">
        <v>96</v>
      </c>
      <c r="M70" s="39">
        <v>31.0</v>
      </c>
      <c r="N70" s="40">
        <v>46189.0</v>
      </c>
      <c r="O70" s="42" t="b">
        <v>0</v>
      </c>
      <c r="P70" s="44"/>
      <c r="Q70" s="34"/>
      <c r="R70" s="34"/>
      <c r="S70" s="34"/>
      <c r="T70" s="34"/>
    </row>
    <row r="71" ht="15.75" customHeight="1">
      <c r="B71" s="33">
        <v>46175.0</v>
      </c>
      <c r="C71" s="35">
        <v>18371.0</v>
      </c>
      <c r="D71" s="35">
        <v>1.0</v>
      </c>
      <c r="E71" s="37">
        <v>99.9</v>
      </c>
      <c r="F71" s="38">
        <f t="shared" si="1"/>
        <v>99.9</v>
      </c>
      <c r="G71" s="35" t="s">
        <v>2746</v>
      </c>
      <c r="H71" s="35" t="s">
        <v>2747</v>
      </c>
      <c r="I71" s="35" t="s">
        <v>39</v>
      </c>
      <c r="J71" s="35" t="s">
        <v>183</v>
      </c>
      <c r="K71" s="35" t="s">
        <v>35</v>
      </c>
      <c r="L71" s="35" t="s">
        <v>96</v>
      </c>
      <c r="M71" s="39">
        <v>31.0</v>
      </c>
      <c r="N71" s="40">
        <v>46189.0</v>
      </c>
      <c r="O71" s="42" t="b">
        <v>0</v>
      </c>
      <c r="P71" s="44"/>
      <c r="Q71" s="34"/>
      <c r="R71" s="34"/>
      <c r="S71" s="34"/>
      <c r="T71" s="34"/>
    </row>
    <row r="72" ht="15.75" customHeight="1">
      <c r="B72" s="33">
        <v>46175.0</v>
      </c>
      <c r="C72" s="35">
        <v>18371.0</v>
      </c>
      <c r="D72" s="35">
        <v>1.0</v>
      </c>
      <c r="E72" s="37">
        <v>1399.9</v>
      </c>
      <c r="F72" s="38">
        <f t="shared" si="1"/>
        <v>1399.9</v>
      </c>
      <c r="G72" s="35" t="s">
        <v>2751</v>
      </c>
      <c r="H72" s="35" t="s">
        <v>2752</v>
      </c>
      <c r="I72" s="35" t="s">
        <v>39</v>
      </c>
      <c r="J72" s="35" t="s">
        <v>183</v>
      </c>
      <c r="K72" s="35" t="s">
        <v>35</v>
      </c>
      <c r="L72" s="35" t="s">
        <v>96</v>
      </c>
      <c r="M72" s="39">
        <v>31.0</v>
      </c>
      <c r="N72" s="40">
        <v>46189.0</v>
      </c>
      <c r="O72" s="42" t="b">
        <v>0</v>
      </c>
      <c r="P72" s="44"/>
      <c r="Q72" s="34"/>
      <c r="R72" s="34"/>
      <c r="S72" s="34"/>
      <c r="T72" s="34"/>
    </row>
    <row r="73" ht="15.75" customHeight="1">
      <c r="B73" s="33">
        <v>46175.0</v>
      </c>
      <c r="C73" s="35">
        <v>18371.0</v>
      </c>
      <c r="D73" s="35">
        <v>1.0</v>
      </c>
      <c r="E73" s="37">
        <v>2999.9</v>
      </c>
      <c r="F73" s="38">
        <f t="shared" si="1"/>
        <v>2999.9</v>
      </c>
      <c r="G73" s="35" t="s">
        <v>2759</v>
      </c>
      <c r="H73" s="35" t="s">
        <v>2760</v>
      </c>
      <c r="I73" s="35" t="s">
        <v>39</v>
      </c>
      <c r="J73" s="35" t="s">
        <v>183</v>
      </c>
      <c r="K73" s="35" t="s">
        <v>35</v>
      </c>
      <c r="L73" s="35" t="s">
        <v>96</v>
      </c>
      <c r="M73" s="39">
        <v>31.0</v>
      </c>
      <c r="N73" s="40">
        <v>46189.0</v>
      </c>
      <c r="O73" s="42" t="b">
        <v>0</v>
      </c>
      <c r="P73" s="44"/>
      <c r="Q73" s="34"/>
      <c r="R73" s="34"/>
      <c r="S73" s="34"/>
      <c r="T73" s="34"/>
    </row>
    <row r="74" ht="15.75" customHeight="1">
      <c r="B74" s="33">
        <v>46175.0</v>
      </c>
      <c r="C74" s="35">
        <v>18371.0</v>
      </c>
      <c r="D74" s="35">
        <v>1.0</v>
      </c>
      <c r="E74" s="37">
        <v>429.9</v>
      </c>
      <c r="F74" s="38">
        <f t="shared" si="1"/>
        <v>429.9</v>
      </c>
      <c r="G74" s="35" t="s">
        <v>2764</v>
      </c>
      <c r="H74" s="35" t="s">
        <v>2765</v>
      </c>
      <c r="I74" s="35" t="s">
        <v>39</v>
      </c>
      <c r="J74" s="35" t="s">
        <v>183</v>
      </c>
      <c r="K74" s="35" t="s">
        <v>35</v>
      </c>
      <c r="L74" s="35" t="s">
        <v>96</v>
      </c>
      <c r="M74" s="39">
        <v>31.0</v>
      </c>
      <c r="N74" s="40">
        <v>46189.0</v>
      </c>
      <c r="O74" s="42" t="b">
        <v>0</v>
      </c>
      <c r="P74" s="44"/>
      <c r="Q74" s="34"/>
      <c r="R74" s="34"/>
      <c r="S74" s="34"/>
      <c r="T74" s="34"/>
    </row>
    <row r="75" ht="15.75" customHeight="1">
      <c r="B75" s="33">
        <v>46175.0</v>
      </c>
      <c r="C75" s="35">
        <v>18371.0</v>
      </c>
      <c r="D75" s="35">
        <v>1.0</v>
      </c>
      <c r="E75" s="37">
        <v>859.9</v>
      </c>
      <c r="F75" s="38">
        <f t="shared" si="1"/>
        <v>859.9</v>
      </c>
      <c r="G75" s="35" t="s">
        <v>1959</v>
      </c>
      <c r="H75" s="35" t="s">
        <v>1960</v>
      </c>
      <c r="I75" s="35" t="s">
        <v>39</v>
      </c>
      <c r="J75" s="35" t="s">
        <v>183</v>
      </c>
      <c r="K75" s="35" t="s">
        <v>35</v>
      </c>
      <c r="L75" s="35" t="s">
        <v>96</v>
      </c>
      <c r="M75" s="39">
        <v>31.0</v>
      </c>
      <c r="N75" s="40">
        <v>46189.0</v>
      </c>
      <c r="O75" s="42" t="b">
        <v>0</v>
      </c>
      <c r="P75" s="44"/>
      <c r="Q75" s="34"/>
      <c r="R75" s="34"/>
      <c r="S75" s="34"/>
      <c r="T75" s="34"/>
    </row>
    <row r="76" ht="15.75" customHeight="1">
      <c r="B76" s="33">
        <v>46176.0</v>
      </c>
      <c r="C76" s="46" t="s">
        <v>2771</v>
      </c>
      <c r="D76" s="35">
        <v>40.0</v>
      </c>
      <c r="E76" s="37">
        <v>36.6</v>
      </c>
      <c r="F76" s="38">
        <f t="shared" si="1"/>
        <v>1464</v>
      </c>
      <c r="G76" s="35" t="s">
        <v>2772</v>
      </c>
      <c r="H76" s="35" t="s">
        <v>2775</v>
      </c>
      <c r="I76" s="35" t="s">
        <v>59</v>
      </c>
      <c r="J76" s="35" t="s">
        <v>34</v>
      </c>
      <c r="K76" s="35" t="s">
        <v>35</v>
      </c>
      <c r="L76" s="35" t="s">
        <v>87</v>
      </c>
      <c r="M76" s="39">
        <v>31.0</v>
      </c>
      <c r="N76" s="40">
        <v>46181.0</v>
      </c>
      <c r="O76" s="42" t="b">
        <v>1</v>
      </c>
      <c r="P76" s="44">
        <v>46177.0</v>
      </c>
      <c r="Q76" s="34"/>
      <c r="R76" s="34"/>
      <c r="S76" s="34"/>
      <c r="T76" s="34"/>
    </row>
    <row r="77" ht="15.75" customHeight="1">
      <c r="B77" s="33">
        <v>46176.0</v>
      </c>
      <c r="C77" s="46" t="s">
        <v>2771</v>
      </c>
      <c r="D77" s="35">
        <v>40.0</v>
      </c>
      <c r="E77" s="37">
        <v>56.4</v>
      </c>
      <c r="F77" s="38">
        <f t="shared" si="1"/>
        <v>2256</v>
      </c>
      <c r="G77" s="35" t="s">
        <v>2779</v>
      </c>
      <c r="H77" s="35" t="s">
        <v>2781</v>
      </c>
      <c r="I77" s="35" t="s">
        <v>59</v>
      </c>
      <c r="J77" s="35" t="s">
        <v>34</v>
      </c>
      <c r="K77" s="35" t="s">
        <v>35</v>
      </c>
      <c r="L77" s="35" t="s">
        <v>87</v>
      </c>
      <c r="M77" s="39">
        <v>31.0</v>
      </c>
      <c r="N77" s="40">
        <v>46181.0</v>
      </c>
      <c r="O77" s="42" t="b">
        <v>1</v>
      </c>
      <c r="P77" s="44">
        <v>46177.0</v>
      </c>
      <c r="Q77" s="34"/>
      <c r="R77" s="34"/>
      <c r="S77" s="34"/>
      <c r="T77" s="34"/>
    </row>
    <row r="78" ht="15.75" customHeight="1">
      <c r="B78" s="33">
        <v>46176.0</v>
      </c>
      <c r="C78" s="46" t="s">
        <v>2771</v>
      </c>
      <c r="D78" s="35">
        <v>150.0</v>
      </c>
      <c r="E78" s="37">
        <v>5.9</v>
      </c>
      <c r="F78" s="38">
        <f t="shared" si="1"/>
        <v>885</v>
      </c>
      <c r="G78" s="35" t="s">
        <v>2784</v>
      </c>
      <c r="H78" s="35" t="s">
        <v>2785</v>
      </c>
      <c r="I78" s="35" t="s">
        <v>59</v>
      </c>
      <c r="J78" s="35" t="s">
        <v>34</v>
      </c>
      <c r="K78" s="35" t="s">
        <v>35</v>
      </c>
      <c r="L78" s="35" t="s">
        <v>87</v>
      </c>
      <c r="M78" s="39">
        <v>31.0</v>
      </c>
      <c r="N78" s="40">
        <v>46181.0</v>
      </c>
      <c r="O78" s="42" t="b">
        <v>1</v>
      </c>
      <c r="P78" s="44">
        <v>46177.0</v>
      </c>
      <c r="Q78" s="34"/>
      <c r="R78" s="34"/>
      <c r="S78" s="34"/>
      <c r="T78" s="34"/>
    </row>
    <row r="79" ht="15.75" customHeight="1">
      <c r="B79" s="33">
        <v>46176.0</v>
      </c>
      <c r="C79" s="46" t="s">
        <v>2771</v>
      </c>
      <c r="D79" s="35">
        <v>20.0</v>
      </c>
      <c r="E79" s="37">
        <v>94.5</v>
      </c>
      <c r="F79" s="38">
        <f t="shared" si="1"/>
        <v>1890</v>
      </c>
      <c r="G79" s="35" t="s">
        <v>2035</v>
      </c>
      <c r="H79" s="35" t="s">
        <v>2787</v>
      </c>
      <c r="I79" s="35" t="s">
        <v>59</v>
      </c>
      <c r="J79" s="35" t="s">
        <v>34</v>
      </c>
      <c r="K79" s="35" t="s">
        <v>35</v>
      </c>
      <c r="L79" s="35" t="s">
        <v>87</v>
      </c>
      <c r="M79" s="39">
        <v>31.0</v>
      </c>
      <c r="N79" s="40">
        <v>46181.0</v>
      </c>
      <c r="O79" s="42" t="b">
        <v>1</v>
      </c>
      <c r="P79" s="44">
        <v>46177.0</v>
      </c>
      <c r="Q79" s="34"/>
      <c r="R79" s="34"/>
      <c r="S79" s="34"/>
      <c r="T79" s="34"/>
    </row>
    <row r="80" ht="15.75" customHeight="1">
      <c r="B80" s="33">
        <v>46176.0</v>
      </c>
      <c r="C80" s="46" t="s">
        <v>2771</v>
      </c>
      <c r="D80" s="35">
        <v>50.0</v>
      </c>
      <c r="E80" s="37">
        <v>67.5</v>
      </c>
      <c r="F80" s="38">
        <f t="shared" si="1"/>
        <v>3375</v>
      </c>
      <c r="G80" s="35" t="s">
        <v>2790</v>
      </c>
      <c r="H80" s="35" t="s">
        <v>2791</v>
      </c>
      <c r="I80" s="35" t="s">
        <v>59</v>
      </c>
      <c r="J80" s="35" t="s">
        <v>34</v>
      </c>
      <c r="K80" s="35" t="s">
        <v>35</v>
      </c>
      <c r="L80" s="35" t="s">
        <v>87</v>
      </c>
      <c r="M80" s="39">
        <v>31.0</v>
      </c>
      <c r="N80" s="40">
        <v>46181.0</v>
      </c>
      <c r="O80" s="42" t="b">
        <v>1</v>
      </c>
      <c r="P80" s="44">
        <v>46177.0</v>
      </c>
      <c r="Q80" s="34"/>
      <c r="R80" s="34"/>
      <c r="S80" s="34"/>
      <c r="T80" s="34"/>
    </row>
    <row r="81" ht="15.75" customHeight="1">
      <c r="B81" s="33">
        <v>46176.0</v>
      </c>
      <c r="C81" s="46" t="s">
        <v>2771</v>
      </c>
      <c r="D81" s="35">
        <v>20.0</v>
      </c>
      <c r="E81" s="37">
        <v>25.2</v>
      </c>
      <c r="F81" s="38">
        <f t="shared" si="1"/>
        <v>504</v>
      </c>
      <c r="G81" s="35" t="s">
        <v>2796</v>
      </c>
      <c r="H81" s="35" t="s">
        <v>2797</v>
      </c>
      <c r="I81" s="35" t="s">
        <v>59</v>
      </c>
      <c r="J81" s="35" t="s">
        <v>34</v>
      </c>
      <c r="K81" s="35" t="s">
        <v>35</v>
      </c>
      <c r="L81" s="35" t="s">
        <v>87</v>
      </c>
      <c r="M81" s="39">
        <v>31.0</v>
      </c>
      <c r="N81" s="40">
        <v>46181.0</v>
      </c>
      <c r="O81" s="42" t="b">
        <v>1</v>
      </c>
      <c r="P81" s="44">
        <v>46177.0</v>
      </c>
      <c r="Q81" s="34"/>
      <c r="R81" s="34"/>
      <c r="S81" s="34"/>
      <c r="T81" s="34"/>
    </row>
    <row r="82" ht="15.75" customHeight="1">
      <c r="B82" s="33">
        <v>46176.0</v>
      </c>
      <c r="C82" s="46" t="s">
        <v>2771</v>
      </c>
      <c r="D82" s="35">
        <v>100.0</v>
      </c>
      <c r="E82" s="37">
        <v>9.1</v>
      </c>
      <c r="F82" s="38">
        <f t="shared" si="1"/>
        <v>910</v>
      </c>
      <c r="G82" s="35" t="s">
        <v>2800</v>
      </c>
      <c r="H82" s="35" t="s">
        <v>2801</v>
      </c>
      <c r="I82" s="35" t="s">
        <v>59</v>
      </c>
      <c r="J82" s="35" t="s">
        <v>34</v>
      </c>
      <c r="K82" s="35" t="s">
        <v>35</v>
      </c>
      <c r="L82" s="35" t="s">
        <v>87</v>
      </c>
      <c r="M82" s="39">
        <v>31.0</v>
      </c>
      <c r="N82" s="40">
        <v>46181.0</v>
      </c>
      <c r="O82" s="42" t="b">
        <v>1</v>
      </c>
      <c r="P82" s="44">
        <v>46177.0</v>
      </c>
      <c r="Q82" s="34"/>
      <c r="R82" s="34"/>
      <c r="S82" s="34"/>
      <c r="T82" s="34"/>
    </row>
    <row r="83" ht="15.75" customHeight="1">
      <c r="B83" s="33">
        <v>46176.0</v>
      </c>
      <c r="C83" s="46" t="s">
        <v>2771</v>
      </c>
      <c r="D83" s="35">
        <v>20.0</v>
      </c>
      <c r="E83" s="37">
        <v>72.0</v>
      </c>
      <c r="F83" s="38">
        <f t="shared" si="1"/>
        <v>1440</v>
      </c>
      <c r="G83" s="35" t="s">
        <v>2804</v>
      </c>
      <c r="H83" s="35" t="s">
        <v>2805</v>
      </c>
      <c r="I83" s="35" t="s">
        <v>59</v>
      </c>
      <c r="J83" s="35" t="s">
        <v>34</v>
      </c>
      <c r="K83" s="35" t="s">
        <v>35</v>
      </c>
      <c r="L83" s="35" t="s">
        <v>87</v>
      </c>
      <c r="M83" s="39">
        <v>31.0</v>
      </c>
      <c r="N83" s="40">
        <v>46176.0</v>
      </c>
      <c r="O83" s="42" t="b">
        <v>1</v>
      </c>
      <c r="P83" s="44">
        <v>46177.0</v>
      </c>
      <c r="Q83" s="34"/>
      <c r="R83" s="34"/>
      <c r="S83" s="34"/>
      <c r="T83" s="34"/>
    </row>
    <row r="84" ht="15.75" customHeight="1">
      <c r="B84" s="33">
        <v>46176.0</v>
      </c>
      <c r="C84" s="46" t="s">
        <v>2771</v>
      </c>
      <c r="D84" s="35">
        <v>20.0</v>
      </c>
      <c r="E84" s="37">
        <v>85.5</v>
      </c>
      <c r="F84" s="38">
        <f t="shared" si="1"/>
        <v>1710</v>
      </c>
      <c r="G84" s="35" t="s">
        <v>2808</v>
      </c>
      <c r="H84" s="35" t="s">
        <v>2809</v>
      </c>
      <c r="I84" s="35" t="s">
        <v>59</v>
      </c>
      <c r="J84" s="35" t="s">
        <v>34</v>
      </c>
      <c r="K84" s="35" t="s">
        <v>35</v>
      </c>
      <c r="L84" s="35" t="s">
        <v>87</v>
      </c>
      <c r="M84" s="39">
        <v>31.0</v>
      </c>
      <c r="N84" s="40">
        <v>46176.0</v>
      </c>
      <c r="O84" s="42" t="b">
        <v>1</v>
      </c>
      <c r="P84" s="44">
        <v>46177.0</v>
      </c>
      <c r="Q84" s="34"/>
      <c r="R84" s="34"/>
      <c r="S84" s="34"/>
      <c r="T84" s="34"/>
    </row>
    <row r="85" ht="15.75" customHeight="1">
      <c r="B85" s="33">
        <v>46176.0</v>
      </c>
      <c r="C85" s="46" t="s">
        <v>2771</v>
      </c>
      <c r="D85" s="35">
        <v>6.0</v>
      </c>
      <c r="E85" s="37">
        <v>367.0</v>
      </c>
      <c r="F85" s="38">
        <f t="shared" si="1"/>
        <v>2202</v>
      </c>
      <c r="G85" s="35" t="s">
        <v>2810</v>
      </c>
      <c r="H85" s="35" t="s">
        <v>2811</v>
      </c>
      <c r="I85" s="35" t="s">
        <v>59</v>
      </c>
      <c r="J85" s="35" t="s">
        <v>34</v>
      </c>
      <c r="K85" s="35" t="s">
        <v>35</v>
      </c>
      <c r="L85" s="35" t="s">
        <v>87</v>
      </c>
      <c r="M85" s="39">
        <v>31.0</v>
      </c>
      <c r="N85" s="40">
        <v>46181.0</v>
      </c>
      <c r="O85" s="42" t="b">
        <v>1</v>
      </c>
      <c r="P85" s="44">
        <v>46177.0</v>
      </c>
      <c r="Q85" s="34"/>
      <c r="R85" s="34"/>
      <c r="S85" s="34"/>
      <c r="T85" s="34"/>
    </row>
    <row r="86" ht="15.75" customHeight="1">
      <c r="B86" s="33">
        <v>46176.0</v>
      </c>
      <c r="C86" s="46" t="s">
        <v>2771</v>
      </c>
      <c r="D86" s="35">
        <v>400.0</v>
      </c>
      <c r="E86" s="37">
        <v>2.8</v>
      </c>
      <c r="F86" s="38">
        <f t="shared" si="1"/>
        <v>1120</v>
      </c>
      <c r="G86" s="35" t="s">
        <v>2353</v>
      </c>
      <c r="H86" s="35" t="s">
        <v>2813</v>
      </c>
      <c r="I86" s="35" t="s">
        <v>59</v>
      </c>
      <c r="J86" s="35" t="s">
        <v>34</v>
      </c>
      <c r="K86" s="35" t="s">
        <v>35</v>
      </c>
      <c r="L86" s="35" t="s">
        <v>87</v>
      </c>
      <c r="M86" s="39">
        <v>31.0</v>
      </c>
      <c r="N86" s="40">
        <v>46176.0</v>
      </c>
      <c r="O86" s="42" t="b">
        <v>1</v>
      </c>
      <c r="P86" s="44">
        <v>46177.0</v>
      </c>
      <c r="Q86" s="34"/>
      <c r="R86" s="34"/>
      <c r="S86" s="34"/>
      <c r="T86" s="35"/>
    </row>
    <row r="87" ht="15.0" customHeight="1">
      <c r="B87" s="33">
        <v>46176.0</v>
      </c>
      <c r="C87" s="46" t="s">
        <v>2819</v>
      </c>
      <c r="D87" s="35">
        <v>200.0</v>
      </c>
      <c r="E87" s="37">
        <v>10.8</v>
      </c>
      <c r="F87" s="38">
        <f t="shared" si="1"/>
        <v>2160</v>
      </c>
      <c r="G87" s="35" t="s">
        <v>2820</v>
      </c>
      <c r="H87" s="35" t="s">
        <v>2821</v>
      </c>
      <c r="I87" s="35" t="s">
        <v>240</v>
      </c>
      <c r="J87" s="35" t="s">
        <v>34</v>
      </c>
      <c r="K87" s="35" t="s">
        <v>35</v>
      </c>
      <c r="L87" s="35" t="s">
        <v>62</v>
      </c>
      <c r="M87" s="39">
        <v>1.0</v>
      </c>
      <c r="N87" s="40">
        <v>46182.0</v>
      </c>
      <c r="O87" s="42" t="b">
        <v>1</v>
      </c>
      <c r="P87" s="44">
        <v>46188.0</v>
      </c>
      <c r="Q87" s="34"/>
      <c r="R87" s="34"/>
      <c r="S87" s="34"/>
      <c r="T87" s="34"/>
    </row>
    <row r="88" ht="15.75" customHeight="1">
      <c r="B88" s="33">
        <v>46176.0</v>
      </c>
      <c r="C88" s="35" t="s">
        <v>35</v>
      </c>
      <c r="D88" s="35">
        <v>25.0</v>
      </c>
      <c r="E88" s="37">
        <v>270.0</v>
      </c>
      <c r="F88" s="38">
        <f t="shared" si="1"/>
        <v>6750</v>
      </c>
      <c r="G88" s="35" t="s">
        <v>2826</v>
      </c>
      <c r="H88" s="35" t="s">
        <v>227</v>
      </c>
      <c r="I88" s="35" t="s">
        <v>41</v>
      </c>
      <c r="J88" s="35" t="s">
        <v>34</v>
      </c>
      <c r="K88" s="35" t="s">
        <v>35</v>
      </c>
      <c r="L88" s="35" t="s">
        <v>314</v>
      </c>
      <c r="M88" s="39">
        <v>31.0</v>
      </c>
      <c r="N88" s="40">
        <v>46176.0</v>
      </c>
      <c r="O88" s="42" t="b">
        <v>1</v>
      </c>
      <c r="P88" s="44">
        <v>46177.0</v>
      </c>
      <c r="Q88" s="34"/>
      <c r="R88" s="33">
        <v>46176.0</v>
      </c>
      <c r="S88" s="34"/>
      <c r="T88" s="34"/>
    </row>
    <row r="89" ht="15.75" customHeight="1">
      <c r="B89" s="33">
        <v>46176.0</v>
      </c>
      <c r="C89" s="35">
        <v>16129.0</v>
      </c>
      <c r="D89" s="35">
        <v>300.0</v>
      </c>
      <c r="E89" s="37">
        <v>10.2</v>
      </c>
      <c r="F89" s="38">
        <f t="shared" si="1"/>
        <v>3060</v>
      </c>
      <c r="G89" s="35" t="s">
        <v>1310</v>
      </c>
      <c r="H89" s="35" t="s">
        <v>35</v>
      </c>
      <c r="I89" s="35" t="s">
        <v>59</v>
      </c>
      <c r="J89" s="35" t="s">
        <v>34</v>
      </c>
      <c r="K89" s="35" t="s">
        <v>35</v>
      </c>
      <c r="L89" s="35" t="s">
        <v>877</v>
      </c>
      <c r="M89" s="39">
        <v>31.0</v>
      </c>
      <c r="N89" s="40">
        <v>46180.0</v>
      </c>
      <c r="O89" s="42" t="b">
        <v>1</v>
      </c>
      <c r="P89" s="44">
        <v>46181.0</v>
      </c>
      <c r="Q89" s="34"/>
      <c r="R89" s="34"/>
      <c r="S89" s="34"/>
      <c r="T89" s="34"/>
    </row>
    <row r="90" ht="15.75" customHeight="1">
      <c r="B90" s="33">
        <v>46176.0</v>
      </c>
      <c r="C90" s="35">
        <v>16129.0</v>
      </c>
      <c r="D90" s="35">
        <v>100.0</v>
      </c>
      <c r="E90" s="37">
        <v>12.1</v>
      </c>
      <c r="F90" s="38">
        <f t="shared" si="1"/>
        <v>1210</v>
      </c>
      <c r="G90" s="35" t="s">
        <v>1315</v>
      </c>
      <c r="H90" s="35" t="s">
        <v>35</v>
      </c>
      <c r="I90" s="35" t="s">
        <v>59</v>
      </c>
      <c r="J90" s="35" t="s">
        <v>34</v>
      </c>
      <c r="K90" s="35" t="s">
        <v>35</v>
      </c>
      <c r="L90" s="35" t="s">
        <v>877</v>
      </c>
      <c r="M90" s="39">
        <v>31.0</v>
      </c>
      <c r="N90" s="40">
        <v>46180.0</v>
      </c>
      <c r="O90" s="42" t="b">
        <v>1</v>
      </c>
      <c r="P90" s="44">
        <v>46181.0</v>
      </c>
      <c r="Q90" s="34"/>
      <c r="R90" s="34"/>
      <c r="S90" s="34"/>
      <c r="T90" s="34"/>
    </row>
    <row r="91" ht="15.75" customHeight="1">
      <c r="B91" s="33">
        <v>46176.0</v>
      </c>
      <c r="C91" s="35">
        <v>16129.0</v>
      </c>
      <c r="D91" s="35">
        <v>600.0</v>
      </c>
      <c r="E91" s="37">
        <v>13.8</v>
      </c>
      <c r="F91" s="38">
        <f t="shared" si="1"/>
        <v>8280</v>
      </c>
      <c r="G91" s="35" t="s">
        <v>1318</v>
      </c>
      <c r="H91" s="35" t="s">
        <v>35</v>
      </c>
      <c r="I91" s="35" t="s">
        <v>59</v>
      </c>
      <c r="J91" s="35" t="s">
        <v>34</v>
      </c>
      <c r="K91" s="35" t="s">
        <v>35</v>
      </c>
      <c r="L91" s="35" t="s">
        <v>877</v>
      </c>
      <c r="M91" s="39">
        <v>31.0</v>
      </c>
      <c r="N91" s="40">
        <v>46180.0</v>
      </c>
      <c r="O91" s="42" t="b">
        <v>1</v>
      </c>
      <c r="P91" s="44">
        <v>46181.0</v>
      </c>
      <c r="Q91" s="34"/>
      <c r="R91" s="34"/>
      <c r="S91" s="34"/>
      <c r="T91" s="35"/>
    </row>
    <row r="92" ht="15.75" customHeight="1">
      <c r="B92" s="33">
        <v>46176.0</v>
      </c>
      <c r="C92" s="35">
        <v>16129.0</v>
      </c>
      <c r="D92" s="35">
        <v>300.0</v>
      </c>
      <c r="E92" s="37">
        <v>18.0</v>
      </c>
      <c r="F92" s="38">
        <f t="shared" si="1"/>
        <v>5400</v>
      </c>
      <c r="G92" s="35" t="s">
        <v>1288</v>
      </c>
      <c r="H92" s="35" t="s">
        <v>35</v>
      </c>
      <c r="I92" s="35" t="s">
        <v>59</v>
      </c>
      <c r="J92" s="35" t="s">
        <v>34</v>
      </c>
      <c r="K92" s="35" t="s">
        <v>35</v>
      </c>
      <c r="L92" s="35" t="s">
        <v>877</v>
      </c>
      <c r="M92" s="39">
        <v>31.0</v>
      </c>
      <c r="N92" s="40">
        <v>46180.0</v>
      </c>
      <c r="O92" s="42" t="b">
        <v>1</v>
      </c>
      <c r="P92" s="44">
        <v>46181.0</v>
      </c>
      <c r="Q92" s="34"/>
      <c r="R92" s="34"/>
      <c r="S92" s="34"/>
      <c r="T92" s="35"/>
    </row>
    <row r="93" ht="15.75" customHeight="1">
      <c r="B93" s="33">
        <v>46176.0</v>
      </c>
      <c r="C93" s="35">
        <v>16129.0</v>
      </c>
      <c r="D93" s="35">
        <v>300.0</v>
      </c>
      <c r="E93" s="37">
        <v>26.4</v>
      </c>
      <c r="F93" s="38">
        <f t="shared" si="1"/>
        <v>7920</v>
      </c>
      <c r="G93" s="35" t="s">
        <v>1293</v>
      </c>
      <c r="H93" s="35" t="s">
        <v>35</v>
      </c>
      <c r="I93" s="35" t="s">
        <v>59</v>
      </c>
      <c r="J93" s="35" t="s">
        <v>34</v>
      </c>
      <c r="K93" s="35" t="s">
        <v>35</v>
      </c>
      <c r="L93" s="35" t="s">
        <v>877</v>
      </c>
      <c r="M93" s="39">
        <v>31.0</v>
      </c>
      <c r="N93" s="40">
        <v>46180.0</v>
      </c>
      <c r="O93" s="42" t="b">
        <v>1</v>
      </c>
      <c r="P93" s="44">
        <v>46181.0</v>
      </c>
      <c r="Q93" s="34"/>
      <c r="R93" s="34"/>
      <c r="S93" s="34"/>
      <c r="T93" s="34"/>
    </row>
    <row r="94" ht="15.75" customHeight="1">
      <c r="B94" s="33">
        <v>46176.0</v>
      </c>
      <c r="C94" s="35">
        <v>16129.0</v>
      </c>
      <c r="D94" s="35">
        <v>300.0</v>
      </c>
      <c r="E94" s="37">
        <v>41.7</v>
      </c>
      <c r="F94" s="38">
        <f t="shared" si="1"/>
        <v>12510</v>
      </c>
      <c r="G94" s="35" t="s">
        <v>1457</v>
      </c>
      <c r="H94" s="35" t="s">
        <v>35</v>
      </c>
      <c r="I94" s="35" t="s">
        <v>59</v>
      </c>
      <c r="J94" s="35" t="s">
        <v>34</v>
      </c>
      <c r="K94" s="35" t="s">
        <v>35</v>
      </c>
      <c r="L94" s="35" t="s">
        <v>877</v>
      </c>
      <c r="M94" s="39">
        <v>31.0</v>
      </c>
      <c r="N94" s="40">
        <v>46180.0</v>
      </c>
      <c r="O94" s="42" t="b">
        <v>1</v>
      </c>
      <c r="P94" s="44">
        <v>46181.0</v>
      </c>
      <c r="Q94" s="34"/>
      <c r="R94" s="34"/>
      <c r="S94" s="34"/>
      <c r="T94" s="34"/>
    </row>
    <row r="95" ht="15.75" customHeight="1">
      <c r="B95" s="33">
        <v>46176.0</v>
      </c>
      <c r="C95" s="35">
        <v>16129.0</v>
      </c>
      <c r="D95" s="35">
        <v>300.0</v>
      </c>
      <c r="E95" s="37">
        <v>10.8</v>
      </c>
      <c r="F95" s="38">
        <f t="shared" si="1"/>
        <v>3240</v>
      </c>
      <c r="G95" s="35" t="s">
        <v>1297</v>
      </c>
      <c r="H95" s="35" t="s">
        <v>2847</v>
      </c>
      <c r="I95" s="35" t="s">
        <v>59</v>
      </c>
      <c r="J95" s="35" t="s">
        <v>34</v>
      </c>
      <c r="K95" s="35" t="s">
        <v>35</v>
      </c>
      <c r="L95" s="35" t="s">
        <v>877</v>
      </c>
      <c r="M95" s="39">
        <v>31.0</v>
      </c>
      <c r="N95" s="40">
        <v>46180.0</v>
      </c>
      <c r="O95" s="42" t="b">
        <v>1</v>
      </c>
      <c r="P95" s="44">
        <v>46181.0</v>
      </c>
      <c r="Q95" s="34"/>
      <c r="R95" s="34"/>
      <c r="S95" s="34"/>
      <c r="T95" s="34"/>
    </row>
    <row r="96" ht="15.75" customHeight="1">
      <c r="B96" s="33">
        <v>46176.0</v>
      </c>
      <c r="C96" s="35">
        <v>16129.0</v>
      </c>
      <c r="D96" s="35">
        <v>300.0</v>
      </c>
      <c r="E96" s="37">
        <v>12.3</v>
      </c>
      <c r="F96" s="38">
        <f t="shared" si="1"/>
        <v>3690</v>
      </c>
      <c r="G96" s="35" t="s">
        <v>1301</v>
      </c>
      <c r="H96" s="35" t="s">
        <v>35</v>
      </c>
      <c r="I96" s="35" t="s">
        <v>59</v>
      </c>
      <c r="J96" s="35" t="s">
        <v>34</v>
      </c>
      <c r="K96" s="35" t="s">
        <v>35</v>
      </c>
      <c r="L96" s="35" t="s">
        <v>877</v>
      </c>
      <c r="M96" s="39">
        <v>31.0</v>
      </c>
      <c r="N96" s="40">
        <v>46180.0</v>
      </c>
      <c r="O96" s="42" t="b">
        <v>1</v>
      </c>
      <c r="P96" s="44">
        <v>46181.0</v>
      </c>
      <c r="Q96" s="34"/>
      <c r="R96" s="34"/>
      <c r="S96" s="34"/>
      <c r="T96" s="34"/>
    </row>
    <row r="97" ht="15.75" customHeight="1">
      <c r="B97" s="33">
        <v>46176.0</v>
      </c>
      <c r="C97" s="35">
        <v>16130.0</v>
      </c>
      <c r="D97" s="35">
        <v>5000.0</v>
      </c>
      <c r="E97" s="37">
        <v>10.0</v>
      </c>
      <c r="F97" s="38">
        <f t="shared" si="1"/>
        <v>50000</v>
      </c>
      <c r="G97" s="35" t="s">
        <v>1310</v>
      </c>
      <c r="H97" s="35" t="s">
        <v>35</v>
      </c>
      <c r="I97" s="35" t="s">
        <v>59</v>
      </c>
      <c r="J97" s="35" t="s">
        <v>34</v>
      </c>
      <c r="K97" s="35" t="s">
        <v>35</v>
      </c>
      <c r="L97" s="35" t="s">
        <v>877</v>
      </c>
      <c r="M97" s="39">
        <v>31.0</v>
      </c>
      <c r="N97" s="40">
        <v>46180.0</v>
      </c>
      <c r="O97" s="42" t="b">
        <v>1</v>
      </c>
      <c r="P97" s="44">
        <v>46181.0</v>
      </c>
      <c r="Q97" s="34"/>
      <c r="R97" s="34"/>
      <c r="S97" s="34"/>
      <c r="T97" s="34"/>
    </row>
    <row r="98" ht="15.75" customHeight="1">
      <c r="B98" s="33">
        <v>46176.0</v>
      </c>
      <c r="C98" s="46" t="s">
        <v>2851</v>
      </c>
      <c r="D98" s="35">
        <v>50.0</v>
      </c>
      <c r="E98" s="37">
        <v>85.5</v>
      </c>
      <c r="F98" s="38">
        <f t="shared" si="1"/>
        <v>4275</v>
      </c>
      <c r="G98" s="35" t="s">
        <v>163</v>
      </c>
      <c r="H98" s="35" t="s">
        <v>164</v>
      </c>
      <c r="I98" s="35" t="s">
        <v>32</v>
      </c>
      <c r="J98" s="35" t="s">
        <v>34</v>
      </c>
      <c r="K98" s="35" t="s">
        <v>35</v>
      </c>
      <c r="L98" s="35" t="s">
        <v>46</v>
      </c>
      <c r="M98" s="39">
        <v>1.0</v>
      </c>
      <c r="N98" s="51" t="str">
        <f>IF(B98&lt;TODAY()-2,"ATRASADO","EM DIA")</f>
        <v>ATRASADO</v>
      </c>
      <c r="O98" s="42" t="b">
        <v>0</v>
      </c>
      <c r="P98" s="44"/>
      <c r="Q98" s="34"/>
      <c r="R98" s="34"/>
      <c r="S98" s="34"/>
      <c r="T98" s="34"/>
    </row>
    <row r="99" ht="15.75" customHeight="1">
      <c r="B99" s="33">
        <v>46176.0</v>
      </c>
      <c r="C99" s="46" t="s">
        <v>2855</v>
      </c>
      <c r="D99" s="35">
        <v>200.0</v>
      </c>
      <c r="E99" s="37">
        <v>2.7</v>
      </c>
      <c r="F99" s="38">
        <f t="shared" si="1"/>
        <v>540</v>
      </c>
      <c r="G99" s="35" t="s">
        <v>2856</v>
      </c>
      <c r="H99" s="35" t="s">
        <v>2857</v>
      </c>
      <c r="I99" s="35" t="s">
        <v>59</v>
      </c>
      <c r="J99" s="35" t="s">
        <v>34</v>
      </c>
      <c r="K99" s="35" t="s">
        <v>35</v>
      </c>
      <c r="L99" s="35" t="s">
        <v>87</v>
      </c>
      <c r="M99" s="39">
        <v>31.0</v>
      </c>
      <c r="N99" s="40">
        <v>46181.0</v>
      </c>
      <c r="O99" s="42" t="b">
        <v>1</v>
      </c>
      <c r="P99" s="44">
        <v>46177.0</v>
      </c>
      <c r="Q99" s="34"/>
      <c r="R99" s="34"/>
      <c r="S99" s="34"/>
      <c r="T99" s="34"/>
    </row>
    <row r="100" ht="15.75" customHeight="1">
      <c r="B100" s="33">
        <v>46176.0</v>
      </c>
      <c r="C100" s="46" t="s">
        <v>2861</v>
      </c>
      <c r="D100" s="35">
        <v>1566.0</v>
      </c>
      <c r="E100" s="37">
        <v>130.0</v>
      </c>
      <c r="F100" s="38">
        <f t="shared" si="1"/>
        <v>203580</v>
      </c>
      <c r="G100" s="35" t="s">
        <v>2863</v>
      </c>
      <c r="H100" s="35" t="s">
        <v>2865</v>
      </c>
      <c r="I100" s="35" t="s">
        <v>39</v>
      </c>
      <c r="J100" s="35" t="s">
        <v>40</v>
      </c>
      <c r="K100" s="35" t="s">
        <v>35</v>
      </c>
      <c r="L100" s="35" t="s">
        <v>151</v>
      </c>
      <c r="M100" s="39">
        <v>31.0</v>
      </c>
      <c r="N100" s="40">
        <v>46204.0</v>
      </c>
      <c r="O100" s="42" t="b">
        <v>0</v>
      </c>
      <c r="P100" s="44"/>
      <c r="Q100" s="34"/>
      <c r="R100" s="34"/>
      <c r="S100" s="34"/>
      <c r="T100" s="34"/>
    </row>
    <row r="101" ht="15.75" customHeight="1">
      <c r="B101" s="33">
        <v>46176.0</v>
      </c>
      <c r="C101" s="46" t="s">
        <v>2861</v>
      </c>
      <c r="D101" s="35">
        <v>2262.0</v>
      </c>
      <c r="E101" s="37">
        <v>179.9</v>
      </c>
      <c r="F101" s="38">
        <f t="shared" si="1"/>
        <v>406933.8</v>
      </c>
      <c r="G101" s="35" t="s">
        <v>2870</v>
      </c>
      <c r="H101" s="35" t="s">
        <v>2871</v>
      </c>
      <c r="I101" s="35" t="s">
        <v>39</v>
      </c>
      <c r="J101" s="35" t="s">
        <v>40</v>
      </c>
      <c r="K101" s="35" t="s">
        <v>35</v>
      </c>
      <c r="L101" s="35" t="s">
        <v>151</v>
      </c>
      <c r="M101" s="39">
        <v>31.0</v>
      </c>
      <c r="N101" s="40">
        <v>46204.0</v>
      </c>
      <c r="O101" s="42" t="b">
        <v>0</v>
      </c>
      <c r="P101" s="36"/>
      <c r="Q101" s="34"/>
      <c r="R101" s="34"/>
      <c r="S101" s="34"/>
      <c r="T101" s="34"/>
    </row>
    <row r="102" ht="15.75" customHeight="1">
      <c r="B102" s="33">
        <v>46176.0</v>
      </c>
      <c r="C102" s="46" t="s">
        <v>2861</v>
      </c>
      <c r="D102" s="35">
        <v>872.0</v>
      </c>
      <c r="E102" s="37">
        <v>215.0</v>
      </c>
      <c r="F102" s="38">
        <f t="shared" si="1"/>
        <v>187480</v>
      </c>
      <c r="G102" s="35" t="s">
        <v>2874</v>
      </c>
      <c r="H102" s="35" t="s">
        <v>2875</v>
      </c>
      <c r="I102" s="35" t="s">
        <v>39</v>
      </c>
      <c r="J102" s="35" t="s">
        <v>40</v>
      </c>
      <c r="K102" s="35" t="s">
        <v>35</v>
      </c>
      <c r="L102" s="35" t="s">
        <v>151</v>
      </c>
      <c r="M102" s="39">
        <v>31.0</v>
      </c>
      <c r="N102" s="51" t="str">
        <f>IF(B102&lt;TODAY()-2,"ATRASADO","EM DIA")</f>
        <v>ATRASADO</v>
      </c>
      <c r="O102" s="42" t="b">
        <v>0</v>
      </c>
      <c r="P102" s="44"/>
      <c r="Q102" s="34"/>
      <c r="R102" s="34"/>
      <c r="S102" s="34"/>
      <c r="T102" s="34"/>
    </row>
    <row r="103" ht="15.75" customHeight="1">
      <c r="B103" s="33">
        <v>46176.0</v>
      </c>
      <c r="C103" s="35">
        <v>16155.0</v>
      </c>
      <c r="D103" s="35">
        <v>1000.0</v>
      </c>
      <c r="E103" s="37">
        <v>118.0</v>
      </c>
      <c r="F103" s="38">
        <f t="shared" si="1"/>
        <v>118000</v>
      </c>
      <c r="G103" s="35" t="s">
        <v>874</v>
      </c>
      <c r="H103" s="35" t="s">
        <v>874</v>
      </c>
      <c r="I103" s="35" t="s">
        <v>41</v>
      </c>
      <c r="J103" s="35" t="s">
        <v>40</v>
      </c>
      <c r="K103" s="35" t="s">
        <v>35</v>
      </c>
      <c r="L103" s="35" t="s">
        <v>877</v>
      </c>
      <c r="M103" s="39">
        <v>1.0</v>
      </c>
      <c r="N103" s="40">
        <v>46176.0</v>
      </c>
      <c r="O103" s="42" t="b">
        <v>0</v>
      </c>
      <c r="P103" s="44"/>
      <c r="Q103" s="34"/>
      <c r="R103" s="34"/>
      <c r="S103" s="34"/>
      <c r="T103" s="34"/>
    </row>
    <row r="104" ht="15.75" customHeight="1">
      <c r="B104" s="33">
        <v>46176.0</v>
      </c>
      <c r="C104" s="35" t="s">
        <v>35</v>
      </c>
      <c r="D104" s="35">
        <v>13.0</v>
      </c>
      <c r="E104" s="37">
        <v>760.91</v>
      </c>
      <c r="F104" s="38">
        <f t="shared" si="1"/>
        <v>9891.83</v>
      </c>
      <c r="G104" s="35" t="s">
        <v>2882</v>
      </c>
      <c r="H104" s="35" t="s">
        <v>35</v>
      </c>
      <c r="I104" s="35" t="s">
        <v>32</v>
      </c>
      <c r="J104" s="35" t="s">
        <v>34</v>
      </c>
      <c r="K104" s="35" t="s">
        <v>35</v>
      </c>
      <c r="L104" s="35" t="s">
        <v>365</v>
      </c>
      <c r="M104" s="39">
        <v>1.0</v>
      </c>
      <c r="N104" s="40">
        <v>46182.0</v>
      </c>
      <c r="O104" s="42" t="b">
        <v>0</v>
      </c>
      <c r="P104" s="45"/>
      <c r="Q104" s="34"/>
      <c r="R104" s="34"/>
      <c r="S104" s="34"/>
      <c r="T104" s="35"/>
    </row>
    <row r="105" ht="15.75" customHeight="1">
      <c r="B105" s="33">
        <v>46176.0</v>
      </c>
      <c r="C105" s="35" t="s">
        <v>35</v>
      </c>
      <c r="D105" s="35">
        <v>8.0</v>
      </c>
      <c r="E105" s="37">
        <v>760.91</v>
      </c>
      <c r="F105" s="38">
        <f t="shared" si="1"/>
        <v>6087.28</v>
      </c>
      <c r="G105" s="35" t="s">
        <v>2885</v>
      </c>
      <c r="H105" s="35" t="s">
        <v>35</v>
      </c>
      <c r="I105" s="35" t="s">
        <v>32</v>
      </c>
      <c r="J105" s="35" t="s">
        <v>34</v>
      </c>
      <c r="K105" s="35" t="s">
        <v>35</v>
      </c>
      <c r="L105" s="35" t="s">
        <v>365</v>
      </c>
      <c r="M105" s="39">
        <v>1.0</v>
      </c>
      <c r="N105" s="40">
        <v>46182.0</v>
      </c>
      <c r="O105" s="42" t="b">
        <v>0</v>
      </c>
      <c r="P105" s="44"/>
      <c r="Q105" s="34"/>
      <c r="R105" s="34"/>
      <c r="S105" s="34"/>
      <c r="T105" s="34"/>
    </row>
    <row r="106" ht="15.75" customHeight="1">
      <c r="B106" s="33">
        <v>46176.0</v>
      </c>
      <c r="C106" s="35" t="s">
        <v>2889</v>
      </c>
      <c r="D106" s="35">
        <v>4.0</v>
      </c>
      <c r="E106" s="37">
        <v>1738.86</v>
      </c>
      <c r="F106" s="38">
        <f t="shared" si="1"/>
        <v>6955.44</v>
      </c>
      <c r="G106" s="35" t="s">
        <v>2891</v>
      </c>
      <c r="H106" s="35">
        <v>2.8913968E7</v>
      </c>
      <c r="I106" s="35" t="s">
        <v>39</v>
      </c>
      <c r="J106" s="35" t="s">
        <v>35</v>
      </c>
      <c r="K106" s="35" t="s">
        <v>35</v>
      </c>
      <c r="L106" s="35" t="s">
        <v>318</v>
      </c>
      <c r="M106" s="39">
        <v>1.0</v>
      </c>
      <c r="N106" s="40">
        <v>46188.0</v>
      </c>
      <c r="O106" s="42" t="b">
        <v>0</v>
      </c>
      <c r="P106" s="44"/>
      <c r="Q106" s="34"/>
      <c r="R106" s="34"/>
      <c r="S106" s="34"/>
      <c r="T106" s="34"/>
    </row>
    <row r="107" ht="15.75" customHeight="1">
      <c r="B107" s="33">
        <v>46176.0</v>
      </c>
      <c r="C107" s="35">
        <v>18557.0</v>
      </c>
      <c r="D107" s="35">
        <v>60.0</v>
      </c>
      <c r="E107" s="37">
        <v>65.36</v>
      </c>
      <c r="F107" s="38">
        <f t="shared" si="1"/>
        <v>3921.6</v>
      </c>
      <c r="G107" s="35" t="s">
        <v>2283</v>
      </c>
      <c r="H107" s="35" t="s">
        <v>2396</v>
      </c>
      <c r="I107" s="35" t="s">
        <v>41</v>
      </c>
      <c r="J107" s="35" t="s">
        <v>34</v>
      </c>
      <c r="K107" s="35" t="s">
        <v>35</v>
      </c>
      <c r="L107" s="35" t="s">
        <v>96</v>
      </c>
      <c r="M107" s="39">
        <v>31.0</v>
      </c>
      <c r="N107" s="40">
        <v>46180.0</v>
      </c>
      <c r="O107" s="42" t="b">
        <v>1</v>
      </c>
      <c r="P107" s="44">
        <v>46181.0</v>
      </c>
      <c r="Q107" s="34"/>
      <c r="R107" s="34"/>
      <c r="S107" s="34"/>
      <c r="T107" s="34"/>
    </row>
    <row r="108" ht="15.75" customHeight="1">
      <c r="B108" s="33">
        <v>46176.0</v>
      </c>
      <c r="C108" s="35">
        <v>18557.0</v>
      </c>
      <c r="D108" s="35">
        <v>30.0</v>
      </c>
      <c r="E108" s="37">
        <v>132.91</v>
      </c>
      <c r="F108" s="38">
        <f t="shared" si="1"/>
        <v>3987.3</v>
      </c>
      <c r="G108" s="35" t="s">
        <v>2897</v>
      </c>
      <c r="H108" s="35" t="s">
        <v>846</v>
      </c>
      <c r="I108" s="35" t="s">
        <v>41</v>
      </c>
      <c r="J108" s="35" t="s">
        <v>34</v>
      </c>
      <c r="K108" s="35" t="s">
        <v>35</v>
      </c>
      <c r="L108" s="35" t="s">
        <v>96</v>
      </c>
      <c r="M108" s="39">
        <v>31.0</v>
      </c>
      <c r="N108" s="40">
        <v>46180.0</v>
      </c>
      <c r="O108" s="42" t="b">
        <v>1</v>
      </c>
      <c r="P108" s="44">
        <v>46181.0</v>
      </c>
      <c r="Q108" s="34"/>
      <c r="R108" s="34"/>
      <c r="S108" s="34"/>
      <c r="T108" s="34"/>
    </row>
    <row r="109" ht="15.75" customHeight="1">
      <c r="B109" s="33">
        <v>46176.0</v>
      </c>
      <c r="C109" s="35">
        <v>18557.0</v>
      </c>
      <c r="D109" s="35">
        <v>30.0</v>
      </c>
      <c r="E109" s="37">
        <v>20.81</v>
      </c>
      <c r="F109" s="38">
        <f t="shared" si="1"/>
        <v>624.3</v>
      </c>
      <c r="G109" s="35" t="s">
        <v>2902</v>
      </c>
      <c r="H109" s="35" t="s">
        <v>2159</v>
      </c>
      <c r="I109" s="35" t="s">
        <v>41</v>
      </c>
      <c r="J109" s="35" t="s">
        <v>34</v>
      </c>
      <c r="K109" s="35" t="s">
        <v>35</v>
      </c>
      <c r="L109" s="35" t="s">
        <v>96</v>
      </c>
      <c r="M109" s="39">
        <v>31.0</v>
      </c>
      <c r="N109" s="40">
        <v>46180.0</v>
      </c>
      <c r="O109" s="42" t="b">
        <v>1</v>
      </c>
      <c r="P109" s="44">
        <v>46181.0</v>
      </c>
      <c r="Q109" s="34"/>
      <c r="R109" s="34"/>
      <c r="S109" s="34"/>
      <c r="T109" s="34"/>
    </row>
    <row r="110" ht="15.75" customHeight="1">
      <c r="B110" s="33">
        <v>46176.0</v>
      </c>
      <c r="C110" s="35">
        <v>18557.0</v>
      </c>
      <c r="D110" s="35">
        <v>10.0</v>
      </c>
      <c r="E110" s="37">
        <v>75.91</v>
      </c>
      <c r="F110" s="38">
        <f t="shared" si="1"/>
        <v>759.1</v>
      </c>
      <c r="G110" s="35" t="s">
        <v>902</v>
      </c>
      <c r="H110" s="35" t="s">
        <v>732</v>
      </c>
      <c r="I110" s="35" t="s">
        <v>41</v>
      </c>
      <c r="J110" s="35" t="s">
        <v>34</v>
      </c>
      <c r="K110" s="35" t="s">
        <v>35</v>
      </c>
      <c r="L110" s="35" t="s">
        <v>96</v>
      </c>
      <c r="M110" s="39">
        <v>31.0</v>
      </c>
      <c r="N110" s="40">
        <v>46180.0</v>
      </c>
      <c r="O110" s="42" t="b">
        <v>1</v>
      </c>
      <c r="P110" s="44">
        <v>46181.0</v>
      </c>
      <c r="Q110" s="34"/>
      <c r="R110" s="34"/>
      <c r="S110" s="34"/>
      <c r="T110" s="34"/>
    </row>
    <row r="111" ht="15.75" customHeight="1">
      <c r="B111" s="33">
        <v>46176.0</v>
      </c>
      <c r="C111" s="35">
        <v>18557.0</v>
      </c>
      <c r="D111" s="35">
        <v>20.0</v>
      </c>
      <c r="E111" s="37">
        <v>75.91</v>
      </c>
      <c r="F111" s="38">
        <f t="shared" si="1"/>
        <v>1518.2</v>
      </c>
      <c r="G111" s="35" t="s">
        <v>2262</v>
      </c>
      <c r="H111" s="35" t="s">
        <v>2263</v>
      </c>
      <c r="I111" s="35" t="s">
        <v>41</v>
      </c>
      <c r="J111" s="35" t="s">
        <v>34</v>
      </c>
      <c r="K111" s="35" t="s">
        <v>35</v>
      </c>
      <c r="L111" s="35" t="s">
        <v>96</v>
      </c>
      <c r="M111" s="39">
        <v>31.0</v>
      </c>
      <c r="N111" s="40">
        <v>46180.0</v>
      </c>
      <c r="O111" s="42" t="b">
        <v>1</v>
      </c>
      <c r="P111" s="44">
        <v>46181.0</v>
      </c>
      <c r="Q111" s="34"/>
      <c r="R111" s="34"/>
      <c r="S111" s="34"/>
      <c r="T111" s="34"/>
    </row>
    <row r="112" ht="15.75" customHeight="1">
      <c r="B112" s="33">
        <v>46176.0</v>
      </c>
      <c r="C112" s="35">
        <v>18557.0</v>
      </c>
      <c r="D112" s="35">
        <v>40.0</v>
      </c>
      <c r="E112" s="37">
        <v>33.16</v>
      </c>
      <c r="F112" s="38">
        <f t="shared" si="1"/>
        <v>1326.4</v>
      </c>
      <c r="G112" s="35" t="s">
        <v>2913</v>
      </c>
      <c r="H112" s="35" t="s">
        <v>855</v>
      </c>
      <c r="I112" s="35" t="s">
        <v>41</v>
      </c>
      <c r="J112" s="35" t="s">
        <v>34</v>
      </c>
      <c r="K112" s="35" t="s">
        <v>35</v>
      </c>
      <c r="L112" s="35" t="s">
        <v>96</v>
      </c>
      <c r="M112" s="39">
        <v>31.0</v>
      </c>
      <c r="N112" s="40">
        <v>46180.0</v>
      </c>
      <c r="O112" s="42" t="b">
        <v>1</v>
      </c>
      <c r="P112" s="44">
        <v>46181.0</v>
      </c>
      <c r="Q112" s="34"/>
      <c r="R112" s="34"/>
      <c r="S112" s="34"/>
      <c r="T112" s="34"/>
    </row>
    <row r="113" ht="15.75" customHeight="1">
      <c r="B113" s="33">
        <v>46176.0</v>
      </c>
      <c r="C113" s="35">
        <v>18557.0</v>
      </c>
      <c r="D113" s="35">
        <v>10.0</v>
      </c>
      <c r="E113" s="37">
        <v>94.91</v>
      </c>
      <c r="F113" s="38">
        <f t="shared" si="1"/>
        <v>949.1</v>
      </c>
      <c r="G113" s="35" t="s">
        <v>2916</v>
      </c>
      <c r="H113" s="35" t="s">
        <v>1340</v>
      </c>
      <c r="I113" s="35" t="s">
        <v>41</v>
      </c>
      <c r="J113" s="35" t="s">
        <v>34</v>
      </c>
      <c r="K113" s="35" t="s">
        <v>35</v>
      </c>
      <c r="L113" s="35" t="s">
        <v>96</v>
      </c>
      <c r="M113" s="39">
        <v>31.0</v>
      </c>
      <c r="N113" s="40">
        <v>46180.0</v>
      </c>
      <c r="O113" s="42" t="b">
        <v>1</v>
      </c>
      <c r="P113" s="44">
        <v>46181.0</v>
      </c>
      <c r="Q113" s="44"/>
      <c r="R113" s="34"/>
      <c r="S113" s="34"/>
      <c r="T113" s="34"/>
    </row>
    <row r="114" ht="15.75" customHeight="1">
      <c r="B114" s="33">
        <v>46176.0</v>
      </c>
      <c r="C114" s="35">
        <v>18557.0</v>
      </c>
      <c r="D114" s="35">
        <v>12.0</v>
      </c>
      <c r="E114" s="37">
        <v>217.46</v>
      </c>
      <c r="F114" s="38">
        <f t="shared" si="1"/>
        <v>2609.52</v>
      </c>
      <c r="G114" s="35" t="s">
        <v>2920</v>
      </c>
      <c r="H114" s="35" t="s">
        <v>2921</v>
      </c>
      <c r="I114" s="35" t="s">
        <v>41</v>
      </c>
      <c r="J114" s="35" t="s">
        <v>34</v>
      </c>
      <c r="K114" s="35" t="s">
        <v>35</v>
      </c>
      <c r="L114" s="35" t="s">
        <v>96</v>
      </c>
      <c r="M114" s="39">
        <v>31.0</v>
      </c>
      <c r="N114" s="40">
        <v>46180.0</v>
      </c>
      <c r="O114" s="42" t="b">
        <v>1</v>
      </c>
      <c r="P114" s="44">
        <v>46181.0</v>
      </c>
      <c r="Q114" s="34"/>
      <c r="R114" s="34"/>
      <c r="S114" s="34"/>
      <c r="T114" s="34"/>
    </row>
    <row r="115" ht="15.75" customHeight="1">
      <c r="B115" s="33">
        <v>46176.0</v>
      </c>
      <c r="C115" s="35">
        <v>18557.0</v>
      </c>
      <c r="D115" s="35">
        <v>12.0</v>
      </c>
      <c r="E115" s="37">
        <v>217.46</v>
      </c>
      <c r="F115" s="38">
        <f t="shared" si="1"/>
        <v>2609.52</v>
      </c>
      <c r="G115" s="35" t="s">
        <v>485</v>
      </c>
      <c r="H115" s="35" t="s">
        <v>487</v>
      </c>
      <c r="I115" s="35" t="s">
        <v>41</v>
      </c>
      <c r="J115" s="35" t="s">
        <v>34</v>
      </c>
      <c r="K115" s="35" t="s">
        <v>35</v>
      </c>
      <c r="L115" s="35" t="s">
        <v>96</v>
      </c>
      <c r="M115" s="39">
        <v>31.0</v>
      </c>
      <c r="N115" s="40">
        <v>46180.0</v>
      </c>
      <c r="O115" s="42" t="b">
        <v>1</v>
      </c>
      <c r="P115" s="44">
        <v>46181.0</v>
      </c>
      <c r="Q115" s="34"/>
      <c r="R115" s="34"/>
      <c r="S115" s="34"/>
      <c r="T115" s="34"/>
    </row>
    <row r="116" ht="15.75" customHeight="1">
      <c r="B116" s="33">
        <v>46176.0</v>
      </c>
      <c r="C116" s="35">
        <v>18557.0</v>
      </c>
      <c r="D116" s="35">
        <v>18.0</v>
      </c>
      <c r="E116" s="37">
        <v>104.49</v>
      </c>
      <c r="F116" s="38">
        <f t="shared" si="1"/>
        <v>1880.82</v>
      </c>
      <c r="G116" s="35" t="s">
        <v>912</v>
      </c>
      <c r="H116" s="35" t="s">
        <v>914</v>
      </c>
      <c r="I116" s="35" t="s">
        <v>41</v>
      </c>
      <c r="J116" s="35" t="s">
        <v>34</v>
      </c>
      <c r="K116" s="35" t="s">
        <v>35</v>
      </c>
      <c r="L116" s="35" t="s">
        <v>96</v>
      </c>
      <c r="M116" s="39">
        <v>31.0</v>
      </c>
      <c r="N116" s="40">
        <v>46180.0</v>
      </c>
      <c r="O116" s="42" t="b">
        <v>1</v>
      </c>
      <c r="P116" s="44">
        <v>46181.0</v>
      </c>
      <c r="Q116" s="34"/>
      <c r="R116" s="34"/>
      <c r="S116" s="34"/>
      <c r="T116" s="34"/>
    </row>
    <row r="117" ht="15.75" customHeight="1">
      <c r="B117" s="33">
        <v>46177.0</v>
      </c>
      <c r="C117" s="35">
        <v>606075.0</v>
      </c>
      <c r="D117" s="35">
        <v>600.0</v>
      </c>
      <c r="E117" s="37">
        <v>6.8</v>
      </c>
      <c r="F117" s="38">
        <f t="shared" si="1"/>
        <v>4080</v>
      </c>
      <c r="G117" s="35" t="s">
        <v>2931</v>
      </c>
      <c r="H117" s="35" t="s">
        <v>2933</v>
      </c>
      <c r="I117" s="35" t="s">
        <v>59</v>
      </c>
      <c r="J117" s="35" t="s">
        <v>34</v>
      </c>
      <c r="K117" s="35" t="s">
        <v>35</v>
      </c>
      <c r="L117" s="35" t="s">
        <v>160</v>
      </c>
      <c r="M117" s="39">
        <v>31.0</v>
      </c>
      <c r="N117" s="40">
        <v>46177.0</v>
      </c>
      <c r="O117" s="42" t="b">
        <v>1</v>
      </c>
      <c r="P117" s="44">
        <v>46177.0</v>
      </c>
      <c r="Q117" s="34"/>
      <c r="R117" s="34"/>
      <c r="S117" s="34"/>
      <c r="T117" s="34"/>
    </row>
    <row r="118" ht="15.75" customHeight="1">
      <c r="B118" s="33">
        <v>46178.0</v>
      </c>
      <c r="C118" s="35">
        <v>606094.0</v>
      </c>
      <c r="D118" s="35">
        <v>100.0</v>
      </c>
      <c r="E118" s="37">
        <v>10.4</v>
      </c>
      <c r="F118" s="38">
        <f t="shared" si="1"/>
        <v>1040</v>
      </c>
      <c r="G118" s="35" t="s">
        <v>2943</v>
      </c>
      <c r="H118" s="35" t="s">
        <v>2847</v>
      </c>
      <c r="I118" s="35" t="s">
        <v>59</v>
      </c>
      <c r="J118" s="35" t="s">
        <v>34</v>
      </c>
      <c r="K118" s="35" t="s">
        <v>35</v>
      </c>
      <c r="L118" s="35" t="s">
        <v>160</v>
      </c>
      <c r="M118" s="39">
        <v>31.0</v>
      </c>
      <c r="N118" s="40">
        <v>46180.0</v>
      </c>
      <c r="O118" s="42" t="b">
        <v>1</v>
      </c>
      <c r="P118" s="44">
        <v>46181.0</v>
      </c>
      <c r="Q118" s="34"/>
      <c r="R118" s="34"/>
      <c r="S118" s="34"/>
      <c r="T118" s="34"/>
    </row>
    <row r="119" ht="15.75" customHeight="1">
      <c r="B119" s="33">
        <v>46178.0</v>
      </c>
      <c r="C119" s="35">
        <v>606094.0</v>
      </c>
      <c r="D119" s="35">
        <v>60.0</v>
      </c>
      <c r="E119" s="37">
        <v>24.8</v>
      </c>
      <c r="F119" s="38">
        <f t="shared" si="1"/>
        <v>1488</v>
      </c>
      <c r="G119" s="35" t="s">
        <v>2947</v>
      </c>
      <c r="H119" s="35" t="s">
        <v>2948</v>
      </c>
      <c r="I119" s="35" t="s">
        <v>59</v>
      </c>
      <c r="J119" s="35" t="s">
        <v>34</v>
      </c>
      <c r="K119" s="35" t="s">
        <v>35</v>
      </c>
      <c r="L119" s="35" t="s">
        <v>160</v>
      </c>
      <c r="M119" s="39">
        <v>31.0</v>
      </c>
      <c r="N119" s="40">
        <v>46180.0</v>
      </c>
      <c r="O119" s="42" t="b">
        <v>1</v>
      </c>
      <c r="P119" s="44">
        <v>46181.0</v>
      </c>
      <c r="Q119" s="34"/>
      <c r="R119" s="34"/>
      <c r="S119" s="34"/>
      <c r="T119" s="34"/>
    </row>
    <row r="120" ht="15.75" customHeight="1">
      <c r="B120" s="33">
        <v>46178.0</v>
      </c>
      <c r="C120" s="35">
        <v>606094.0</v>
      </c>
      <c r="D120" s="35">
        <v>80.0</v>
      </c>
      <c r="E120" s="37">
        <v>26.4</v>
      </c>
      <c r="F120" s="38">
        <f t="shared" si="1"/>
        <v>2112</v>
      </c>
      <c r="G120" s="35" t="s">
        <v>2952</v>
      </c>
      <c r="H120" s="35" t="s">
        <v>2953</v>
      </c>
      <c r="I120" s="35" t="s">
        <v>59</v>
      </c>
      <c r="J120" s="35" t="s">
        <v>34</v>
      </c>
      <c r="K120" s="35" t="s">
        <v>35</v>
      </c>
      <c r="L120" s="35" t="s">
        <v>160</v>
      </c>
      <c r="M120" s="39">
        <v>31.0</v>
      </c>
      <c r="N120" s="40">
        <v>46180.0</v>
      </c>
      <c r="O120" s="42" t="b">
        <v>1</v>
      </c>
      <c r="P120" s="44">
        <v>46181.0</v>
      </c>
      <c r="Q120" s="34"/>
      <c r="R120" s="34"/>
      <c r="S120" s="34"/>
      <c r="T120" s="34"/>
    </row>
    <row r="121" ht="15.75" customHeight="1">
      <c r="B121" s="33">
        <v>46178.0</v>
      </c>
      <c r="C121" s="35">
        <v>606094.0</v>
      </c>
      <c r="D121" s="35">
        <v>60.0</v>
      </c>
      <c r="E121" s="37">
        <v>36.0</v>
      </c>
      <c r="F121" s="38">
        <f t="shared" si="1"/>
        <v>2160</v>
      </c>
      <c r="G121" s="35" t="s">
        <v>2957</v>
      </c>
      <c r="H121" s="35" t="s">
        <v>2959</v>
      </c>
      <c r="I121" s="35" t="s">
        <v>59</v>
      </c>
      <c r="J121" s="35" t="s">
        <v>34</v>
      </c>
      <c r="K121" s="35" t="s">
        <v>35</v>
      </c>
      <c r="L121" s="35" t="s">
        <v>160</v>
      </c>
      <c r="M121" s="39">
        <v>31.0</v>
      </c>
      <c r="N121" s="40">
        <v>46180.0</v>
      </c>
      <c r="O121" s="42" t="b">
        <v>1</v>
      </c>
      <c r="P121" s="44">
        <v>46181.0</v>
      </c>
      <c r="Q121" s="34"/>
      <c r="R121" s="34"/>
      <c r="S121" s="34"/>
      <c r="T121" s="34"/>
    </row>
    <row r="122" ht="15.75" customHeight="1">
      <c r="B122" s="33">
        <v>46178.0</v>
      </c>
      <c r="C122" s="35">
        <v>606094.0</v>
      </c>
      <c r="D122" s="35">
        <v>250.0</v>
      </c>
      <c r="E122" s="37">
        <v>7.92</v>
      </c>
      <c r="F122" s="38">
        <f t="shared" si="1"/>
        <v>1980</v>
      </c>
      <c r="G122" s="35" t="s">
        <v>2961</v>
      </c>
      <c r="H122" s="35" t="s">
        <v>2962</v>
      </c>
      <c r="I122" s="35" t="s">
        <v>59</v>
      </c>
      <c r="J122" s="35" t="s">
        <v>34</v>
      </c>
      <c r="K122" s="35" t="s">
        <v>35</v>
      </c>
      <c r="L122" s="35" t="s">
        <v>160</v>
      </c>
      <c r="M122" s="39">
        <v>31.0</v>
      </c>
      <c r="N122" s="40">
        <v>46180.0</v>
      </c>
      <c r="O122" s="42" t="b">
        <v>1</v>
      </c>
      <c r="P122" s="44">
        <v>46181.0</v>
      </c>
      <c r="Q122" s="34"/>
      <c r="R122" s="34"/>
      <c r="S122" s="34"/>
      <c r="T122" s="34"/>
    </row>
    <row r="123" ht="15.75" customHeight="1">
      <c r="B123" s="33">
        <v>46178.0</v>
      </c>
      <c r="C123" s="35">
        <v>606094.0</v>
      </c>
      <c r="D123" s="35">
        <v>100.0</v>
      </c>
      <c r="E123" s="37">
        <v>20.0</v>
      </c>
      <c r="F123" s="38">
        <f t="shared" si="1"/>
        <v>2000</v>
      </c>
      <c r="G123" s="35" t="s">
        <v>2964</v>
      </c>
      <c r="H123" s="35" t="s">
        <v>2965</v>
      </c>
      <c r="I123" s="35" t="s">
        <v>59</v>
      </c>
      <c r="J123" s="35" t="s">
        <v>34</v>
      </c>
      <c r="K123" s="35" t="s">
        <v>35</v>
      </c>
      <c r="L123" s="35" t="s">
        <v>160</v>
      </c>
      <c r="M123" s="39">
        <v>31.0</v>
      </c>
      <c r="N123" s="40">
        <v>46180.0</v>
      </c>
      <c r="O123" s="42" t="b">
        <v>1</v>
      </c>
      <c r="P123" s="44">
        <v>46181.0</v>
      </c>
      <c r="Q123" s="34"/>
      <c r="R123" s="34"/>
      <c r="S123" s="34"/>
      <c r="T123" s="34"/>
    </row>
    <row r="124" ht="15.75" customHeight="1">
      <c r="B124" s="33">
        <v>46178.0</v>
      </c>
      <c r="C124" s="35">
        <v>606094.0</v>
      </c>
      <c r="D124" s="35">
        <v>100.0</v>
      </c>
      <c r="E124" s="37">
        <v>18.4</v>
      </c>
      <c r="F124" s="38">
        <f t="shared" si="1"/>
        <v>1840</v>
      </c>
      <c r="G124" s="35" t="s">
        <v>2970</v>
      </c>
      <c r="H124" s="35" t="s">
        <v>2971</v>
      </c>
      <c r="I124" s="35" t="s">
        <v>59</v>
      </c>
      <c r="J124" s="35" t="s">
        <v>34</v>
      </c>
      <c r="K124" s="35" t="s">
        <v>35</v>
      </c>
      <c r="L124" s="35" t="s">
        <v>160</v>
      </c>
      <c r="M124" s="39">
        <v>31.0</v>
      </c>
      <c r="N124" s="40">
        <v>46180.0</v>
      </c>
      <c r="O124" s="42" t="b">
        <v>1</v>
      </c>
      <c r="P124" s="44">
        <v>46181.0</v>
      </c>
      <c r="Q124" s="34"/>
      <c r="R124" s="34"/>
      <c r="S124" s="34"/>
      <c r="T124" s="34"/>
    </row>
    <row r="125" ht="15.75" customHeight="1">
      <c r="B125" s="33">
        <v>46178.0</v>
      </c>
      <c r="C125" s="35">
        <v>606094.0</v>
      </c>
      <c r="D125" s="35">
        <v>30.0</v>
      </c>
      <c r="E125" s="37">
        <v>32.0</v>
      </c>
      <c r="F125" s="38">
        <f t="shared" si="1"/>
        <v>960</v>
      </c>
      <c r="G125" s="35" t="s">
        <v>2972</v>
      </c>
      <c r="H125" s="35" t="s">
        <v>2973</v>
      </c>
      <c r="I125" s="35" t="s">
        <v>59</v>
      </c>
      <c r="J125" s="35" t="s">
        <v>34</v>
      </c>
      <c r="K125" s="35" t="s">
        <v>35</v>
      </c>
      <c r="L125" s="35" t="s">
        <v>160</v>
      </c>
      <c r="M125" s="39">
        <v>31.0</v>
      </c>
      <c r="N125" s="40">
        <v>46180.0</v>
      </c>
      <c r="O125" s="42" t="b">
        <v>1</v>
      </c>
      <c r="P125" s="44">
        <v>46181.0</v>
      </c>
      <c r="Q125" s="34"/>
      <c r="R125" s="34"/>
      <c r="S125" s="34"/>
      <c r="T125" s="34"/>
    </row>
    <row r="126" ht="15.75" customHeight="1">
      <c r="B126" s="33">
        <v>46178.0</v>
      </c>
      <c r="C126" s="35">
        <v>606094.0</v>
      </c>
      <c r="D126" s="35">
        <v>200.0</v>
      </c>
      <c r="E126" s="37">
        <v>11.2</v>
      </c>
      <c r="F126" s="38">
        <f t="shared" si="1"/>
        <v>2240</v>
      </c>
      <c r="G126" s="35" t="s">
        <v>2974</v>
      </c>
      <c r="H126" s="35" t="s">
        <v>2975</v>
      </c>
      <c r="I126" s="35" t="s">
        <v>59</v>
      </c>
      <c r="J126" s="35" t="s">
        <v>34</v>
      </c>
      <c r="K126" s="35" t="s">
        <v>35</v>
      </c>
      <c r="L126" s="35" t="s">
        <v>160</v>
      </c>
      <c r="M126" s="39">
        <v>31.0</v>
      </c>
      <c r="N126" s="40">
        <v>46180.0</v>
      </c>
      <c r="O126" s="42" t="b">
        <v>1</v>
      </c>
      <c r="P126" s="44">
        <v>46181.0</v>
      </c>
      <c r="Q126" s="34"/>
      <c r="R126" s="34"/>
      <c r="S126" s="34"/>
      <c r="T126" s="34"/>
    </row>
    <row r="127" ht="15.75" customHeight="1">
      <c r="B127" s="33">
        <v>46178.0</v>
      </c>
      <c r="C127" s="35">
        <v>606094.0</v>
      </c>
      <c r="D127" s="35">
        <v>144.0</v>
      </c>
      <c r="E127" s="37">
        <v>16.0</v>
      </c>
      <c r="F127" s="38">
        <f t="shared" si="1"/>
        <v>2304</v>
      </c>
      <c r="G127" s="35" t="s">
        <v>2977</v>
      </c>
      <c r="H127" s="35" t="s">
        <v>2978</v>
      </c>
      <c r="I127" s="35" t="s">
        <v>59</v>
      </c>
      <c r="J127" s="35" t="s">
        <v>34</v>
      </c>
      <c r="K127" s="35" t="s">
        <v>35</v>
      </c>
      <c r="L127" s="35" t="s">
        <v>160</v>
      </c>
      <c r="M127" s="39">
        <v>31.0</v>
      </c>
      <c r="N127" s="40">
        <v>46180.0</v>
      </c>
      <c r="O127" s="42" t="b">
        <v>1</v>
      </c>
      <c r="P127" s="44">
        <v>46181.0</v>
      </c>
      <c r="Q127" s="34"/>
      <c r="R127" s="34"/>
      <c r="S127" s="34"/>
      <c r="T127" s="34"/>
    </row>
    <row r="128" ht="15.75" customHeight="1">
      <c r="B128" s="33">
        <v>46178.0</v>
      </c>
      <c r="C128" s="46" t="s">
        <v>2979</v>
      </c>
      <c r="D128" s="35">
        <v>60.0</v>
      </c>
      <c r="E128" s="37">
        <v>8.91</v>
      </c>
      <c r="F128" s="38">
        <f t="shared" si="1"/>
        <v>534.6</v>
      </c>
      <c r="G128" s="35" t="s">
        <v>2981</v>
      </c>
      <c r="H128" s="35" t="s">
        <v>2982</v>
      </c>
      <c r="I128" s="35" t="s">
        <v>59</v>
      </c>
      <c r="J128" s="35" t="s">
        <v>34</v>
      </c>
      <c r="K128" s="35" t="s">
        <v>35</v>
      </c>
      <c r="L128" s="35" t="s">
        <v>241</v>
      </c>
      <c r="M128" s="39">
        <v>31.0</v>
      </c>
      <c r="N128" s="40">
        <v>46180.0</v>
      </c>
      <c r="O128" s="42" t="b">
        <v>1</v>
      </c>
      <c r="P128" s="44">
        <v>46181.0</v>
      </c>
      <c r="Q128" s="34"/>
      <c r="R128" s="34"/>
      <c r="S128" s="34"/>
      <c r="T128" s="34"/>
    </row>
    <row r="129" ht="15.75" customHeight="1">
      <c r="B129" s="33">
        <v>46178.0</v>
      </c>
      <c r="C129" s="46" t="s">
        <v>2979</v>
      </c>
      <c r="D129" s="35">
        <v>24.0</v>
      </c>
      <c r="E129" s="37">
        <v>54.0</v>
      </c>
      <c r="F129" s="38">
        <f t="shared" si="1"/>
        <v>1296</v>
      </c>
      <c r="G129" s="35" t="s">
        <v>2985</v>
      </c>
      <c r="H129" s="35" t="s">
        <v>2986</v>
      </c>
      <c r="I129" s="35" t="s">
        <v>59</v>
      </c>
      <c r="J129" s="35" t="s">
        <v>34</v>
      </c>
      <c r="K129" s="35" t="s">
        <v>35</v>
      </c>
      <c r="L129" s="35" t="s">
        <v>241</v>
      </c>
      <c r="M129" s="39">
        <v>31.0</v>
      </c>
      <c r="N129" s="40">
        <v>46180.0</v>
      </c>
      <c r="O129" s="42" t="b">
        <v>1</v>
      </c>
      <c r="P129" s="44">
        <v>46181.0</v>
      </c>
      <c r="Q129" s="34"/>
      <c r="R129" s="34"/>
      <c r="S129" s="34"/>
      <c r="T129" s="34"/>
    </row>
    <row r="130" ht="15.75" customHeight="1">
      <c r="B130" s="33">
        <v>46178.0</v>
      </c>
      <c r="C130" s="46" t="s">
        <v>2979</v>
      </c>
      <c r="D130" s="35">
        <v>20.0</v>
      </c>
      <c r="E130" s="37">
        <v>61.2</v>
      </c>
      <c r="F130" s="38">
        <f t="shared" si="1"/>
        <v>1224</v>
      </c>
      <c r="G130" s="35" t="s">
        <v>2990</v>
      </c>
      <c r="H130" s="35" t="s">
        <v>2992</v>
      </c>
      <c r="I130" s="35" t="s">
        <v>59</v>
      </c>
      <c r="J130" s="35" t="s">
        <v>34</v>
      </c>
      <c r="K130" s="35" t="s">
        <v>35</v>
      </c>
      <c r="L130" s="35" t="s">
        <v>241</v>
      </c>
      <c r="M130" s="39">
        <v>31.0</v>
      </c>
      <c r="N130" s="40">
        <v>46180.0</v>
      </c>
      <c r="O130" s="42" t="b">
        <v>1</v>
      </c>
      <c r="P130" s="44">
        <v>46181.0</v>
      </c>
      <c r="Q130" s="34"/>
      <c r="R130" s="34"/>
      <c r="S130" s="34"/>
      <c r="T130" s="34"/>
    </row>
    <row r="131" ht="15.75" customHeight="1">
      <c r="B131" s="33">
        <v>46178.0</v>
      </c>
      <c r="C131" s="46" t="s">
        <v>2979</v>
      </c>
      <c r="D131" s="35">
        <v>24.0</v>
      </c>
      <c r="E131" s="37">
        <v>27.9</v>
      </c>
      <c r="F131" s="38">
        <f t="shared" si="1"/>
        <v>669.6</v>
      </c>
      <c r="G131" s="35" t="s">
        <v>2027</v>
      </c>
      <c r="H131" s="35" t="s">
        <v>2995</v>
      </c>
      <c r="I131" s="35" t="s">
        <v>59</v>
      </c>
      <c r="J131" s="35" t="s">
        <v>34</v>
      </c>
      <c r="K131" s="35" t="s">
        <v>35</v>
      </c>
      <c r="L131" s="35" t="s">
        <v>241</v>
      </c>
      <c r="M131" s="39">
        <v>31.0</v>
      </c>
      <c r="N131" s="40">
        <v>46180.0</v>
      </c>
      <c r="O131" s="42" t="b">
        <v>1</v>
      </c>
      <c r="P131" s="44">
        <v>46181.0</v>
      </c>
      <c r="Q131" s="34"/>
      <c r="R131" s="34"/>
      <c r="S131" s="34"/>
      <c r="T131" s="34"/>
    </row>
    <row r="132" ht="15.75" customHeight="1">
      <c r="B132" s="33">
        <v>46178.0</v>
      </c>
      <c r="C132" s="46" t="s">
        <v>2979</v>
      </c>
      <c r="D132" s="35">
        <v>20.0</v>
      </c>
      <c r="E132" s="37">
        <v>31.5</v>
      </c>
      <c r="F132" s="38">
        <f t="shared" si="1"/>
        <v>630</v>
      </c>
      <c r="G132" s="35" t="s">
        <v>2997</v>
      </c>
      <c r="H132" s="35" t="s">
        <v>2998</v>
      </c>
      <c r="I132" s="35" t="s">
        <v>59</v>
      </c>
      <c r="J132" s="35" t="s">
        <v>34</v>
      </c>
      <c r="K132" s="35" t="s">
        <v>35</v>
      </c>
      <c r="L132" s="35" t="s">
        <v>241</v>
      </c>
      <c r="M132" s="39">
        <v>31.0</v>
      </c>
      <c r="N132" s="40">
        <v>46180.0</v>
      </c>
      <c r="O132" s="42" t="b">
        <v>1</v>
      </c>
      <c r="P132" s="44">
        <v>46181.0</v>
      </c>
      <c r="Q132" s="34"/>
      <c r="R132" s="34"/>
      <c r="S132" s="34"/>
      <c r="T132" s="34"/>
    </row>
    <row r="133" ht="15.75" customHeight="1">
      <c r="B133" s="33">
        <v>46178.0</v>
      </c>
      <c r="C133" s="46" t="s">
        <v>3001</v>
      </c>
      <c r="D133" s="35">
        <v>20.0</v>
      </c>
      <c r="E133" s="37">
        <v>73.0</v>
      </c>
      <c r="F133" s="38">
        <f t="shared" si="1"/>
        <v>1460</v>
      </c>
      <c r="G133" s="35" t="s">
        <v>3002</v>
      </c>
      <c r="H133" s="35" t="s">
        <v>3003</v>
      </c>
      <c r="I133" s="35" t="s">
        <v>59</v>
      </c>
      <c r="J133" s="35" t="s">
        <v>34</v>
      </c>
      <c r="K133" s="35" t="s">
        <v>35</v>
      </c>
      <c r="L133" s="35" t="s">
        <v>151</v>
      </c>
      <c r="M133" s="39">
        <v>31.0</v>
      </c>
      <c r="N133" s="40">
        <v>46180.0</v>
      </c>
      <c r="O133" s="42" t="b">
        <v>1</v>
      </c>
      <c r="P133" s="44">
        <v>46181.0</v>
      </c>
      <c r="Q133" s="34"/>
      <c r="R133" s="34"/>
      <c r="S133" s="34"/>
      <c r="T133" s="34"/>
    </row>
    <row r="134" ht="15.75" customHeight="1">
      <c r="B134" s="33">
        <v>46178.0</v>
      </c>
      <c r="C134" s="46" t="s">
        <v>3001</v>
      </c>
      <c r="D134" s="35">
        <v>30.0</v>
      </c>
      <c r="E134" s="37">
        <v>50.0</v>
      </c>
      <c r="F134" s="38">
        <f t="shared" si="1"/>
        <v>1500</v>
      </c>
      <c r="G134" s="35" t="s">
        <v>3007</v>
      </c>
      <c r="H134" s="35" t="s">
        <v>3009</v>
      </c>
      <c r="I134" s="35" t="s">
        <v>59</v>
      </c>
      <c r="J134" s="35" t="s">
        <v>34</v>
      </c>
      <c r="K134" s="35" t="s">
        <v>35</v>
      </c>
      <c r="L134" s="35" t="s">
        <v>151</v>
      </c>
      <c r="M134" s="39">
        <v>31.0</v>
      </c>
      <c r="N134" s="40">
        <v>46180.0</v>
      </c>
      <c r="O134" s="42" t="b">
        <v>1</v>
      </c>
      <c r="P134" s="44">
        <v>46181.0</v>
      </c>
      <c r="Q134" s="34"/>
      <c r="R134" s="34"/>
      <c r="S134" s="34"/>
      <c r="T134" s="34"/>
    </row>
    <row r="135" ht="15.75" customHeight="1">
      <c r="B135" s="33">
        <v>46178.0</v>
      </c>
      <c r="C135" s="46" t="s">
        <v>3001</v>
      </c>
      <c r="D135" s="35">
        <v>7.0</v>
      </c>
      <c r="E135" s="37">
        <v>620.0</v>
      </c>
      <c r="F135" s="38">
        <f t="shared" si="1"/>
        <v>4340</v>
      </c>
      <c r="G135" s="35" t="s">
        <v>3013</v>
      </c>
      <c r="H135" s="35" t="s">
        <v>3014</v>
      </c>
      <c r="I135" s="35" t="s">
        <v>59</v>
      </c>
      <c r="J135" s="35" t="s">
        <v>34</v>
      </c>
      <c r="K135" s="35" t="s">
        <v>35</v>
      </c>
      <c r="L135" s="35" t="s">
        <v>151</v>
      </c>
      <c r="M135" s="39">
        <v>31.0</v>
      </c>
      <c r="N135" s="40">
        <v>46180.0</v>
      </c>
      <c r="O135" s="42" t="b">
        <v>1</v>
      </c>
      <c r="P135" s="44">
        <v>46181.0</v>
      </c>
      <c r="Q135" s="34"/>
      <c r="R135" s="34"/>
      <c r="S135" s="34"/>
      <c r="T135" s="34"/>
    </row>
    <row r="136" ht="15.75" customHeight="1">
      <c r="B136" s="33">
        <v>46178.0</v>
      </c>
      <c r="C136" s="46" t="s">
        <v>3001</v>
      </c>
      <c r="D136" s="35">
        <v>50.0</v>
      </c>
      <c r="E136" s="37">
        <v>23.0</v>
      </c>
      <c r="F136" s="38">
        <f t="shared" si="1"/>
        <v>1150</v>
      </c>
      <c r="G136" s="35" t="s">
        <v>2684</v>
      </c>
      <c r="H136" s="35" t="s">
        <v>3017</v>
      </c>
      <c r="I136" s="35" t="s">
        <v>59</v>
      </c>
      <c r="J136" s="35" t="s">
        <v>34</v>
      </c>
      <c r="K136" s="35" t="s">
        <v>35</v>
      </c>
      <c r="L136" s="35" t="s">
        <v>151</v>
      </c>
      <c r="M136" s="39">
        <v>31.0</v>
      </c>
      <c r="N136" s="40">
        <v>46180.0</v>
      </c>
      <c r="O136" s="42" t="b">
        <v>1</v>
      </c>
      <c r="P136" s="44">
        <v>46181.0</v>
      </c>
      <c r="Q136" s="34"/>
      <c r="R136" s="34"/>
      <c r="S136" s="34"/>
      <c r="T136" s="34"/>
    </row>
    <row r="137" ht="15.75" customHeight="1">
      <c r="B137" s="33">
        <v>46178.0</v>
      </c>
      <c r="C137" s="46" t="s">
        <v>3001</v>
      </c>
      <c r="D137" s="35">
        <v>10.0</v>
      </c>
      <c r="E137" s="37">
        <v>158.0</v>
      </c>
      <c r="F137" s="38">
        <f t="shared" si="1"/>
        <v>1580</v>
      </c>
      <c r="G137" s="35" t="s">
        <v>3002</v>
      </c>
      <c r="H137" s="35" t="s">
        <v>3021</v>
      </c>
      <c r="I137" s="35" t="s">
        <v>59</v>
      </c>
      <c r="J137" s="35" t="s">
        <v>34</v>
      </c>
      <c r="K137" s="35" t="s">
        <v>35</v>
      </c>
      <c r="L137" s="35" t="s">
        <v>151</v>
      </c>
      <c r="M137" s="39">
        <v>31.0</v>
      </c>
      <c r="N137" s="40">
        <v>46180.0</v>
      </c>
      <c r="O137" s="42" t="b">
        <v>1</v>
      </c>
      <c r="P137" s="44">
        <v>46181.0</v>
      </c>
      <c r="Q137" s="34"/>
      <c r="R137" s="34"/>
      <c r="S137" s="34"/>
      <c r="T137" s="34"/>
    </row>
    <row r="138" ht="15.75" customHeight="1">
      <c r="B138" s="33">
        <v>46178.0</v>
      </c>
      <c r="C138" s="46" t="s">
        <v>3001</v>
      </c>
      <c r="D138" s="35">
        <v>20.0</v>
      </c>
      <c r="E138" s="37">
        <v>68.0</v>
      </c>
      <c r="F138" s="38">
        <f t="shared" si="1"/>
        <v>1360</v>
      </c>
      <c r="G138" s="35" t="s">
        <v>2684</v>
      </c>
      <c r="H138" s="35" t="s">
        <v>3023</v>
      </c>
      <c r="I138" s="35" t="s">
        <v>59</v>
      </c>
      <c r="J138" s="35" t="s">
        <v>34</v>
      </c>
      <c r="K138" s="35" t="s">
        <v>35</v>
      </c>
      <c r="L138" s="35" t="s">
        <v>151</v>
      </c>
      <c r="M138" s="39">
        <v>31.0</v>
      </c>
      <c r="N138" s="40">
        <v>46180.0</v>
      </c>
      <c r="O138" s="42" t="b">
        <v>1</v>
      </c>
      <c r="P138" s="44">
        <v>46181.0</v>
      </c>
      <c r="Q138" s="34"/>
      <c r="R138" s="34"/>
      <c r="S138" s="34"/>
      <c r="T138" s="34"/>
    </row>
    <row r="139" ht="15.75" customHeight="1">
      <c r="B139" s="33">
        <v>46178.0</v>
      </c>
      <c r="C139" s="46" t="s">
        <v>3001</v>
      </c>
      <c r="D139" s="35">
        <v>40.0</v>
      </c>
      <c r="E139" s="37">
        <v>60.0</v>
      </c>
      <c r="F139" s="38">
        <f t="shared" si="1"/>
        <v>2400</v>
      </c>
      <c r="G139" s="35" t="s">
        <v>2684</v>
      </c>
      <c r="H139" s="35" t="s">
        <v>3027</v>
      </c>
      <c r="I139" s="35" t="s">
        <v>59</v>
      </c>
      <c r="J139" s="35" t="s">
        <v>34</v>
      </c>
      <c r="K139" s="35" t="s">
        <v>35</v>
      </c>
      <c r="L139" s="35" t="s">
        <v>151</v>
      </c>
      <c r="M139" s="39">
        <v>31.0</v>
      </c>
      <c r="N139" s="40">
        <v>46180.0</v>
      </c>
      <c r="O139" s="42" t="b">
        <v>1</v>
      </c>
      <c r="P139" s="44">
        <v>46181.0</v>
      </c>
      <c r="Q139" s="34"/>
      <c r="R139" s="34"/>
      <c r="S139" s="34"/>
      <c r="T139" s="34"/>
    </row>
    <row r="140" ht="15.75" customHeight="1">
      <c r="B140" s="33">
        <v>46178.0</v>
      </c>
      <c r="C140" s="46" t="s">
        <v>3001</v>
      </c>
      <c r="D140" s="35">
        <v>20.0</v>
      </c>
      <c r="E140" s="37">
        <v>40.0</v>
      </c>
      <c r="F140" s="38">
        <f t="shared" si="1"/>
        <v>800</v>
      </c>
      <c r="G140" s="35" t="s">
        <v>2684</v>
      </c>
      <c r="H140" s="35" t="s">
        <v>3029</v>
      </c>
      <c r="I140" s="35" t="s">
        <v>59</v>
      </c>
      <c r="J140" s="35" t="s">
        <v>34</v>
      </c>
      <c r="K140" s="35" t="s">
        <v>35</v>
      </c>
      <c r="L140" s="35" t="s">
        <v>151</v>
      </c>
      <c r="M140" s="39">
        <v>31.0</v>
      </c>
      <c r="N140" s="40">
        <v>46180.0</v>
      </c>
      <c r="O140" s="42" t="b">
        <v>1</v>
      </c>
      <c r="P140" s="44">
        <v>46181.0</v>
      </c>
      <c r="Q140" s="34"/>
      <c r="R140" s="34"/>
      <c r="S140" s="34"/>
      <c r="T140" s="34"/>
    </row>
    <row r="141" ht="15.75" customHeight="1">
      <c r="B141" s="33">
        <v>46178.0</v>
      </c>
      <c r="C141" s="46" t="s">
        <v>3001</v>
      </c>
      <c r="D141" s="35">
        <v>100.0</v>
      </c>
      <c r="E141" s="37">
        <v>12.5</v>
      </c>
      <c r="F141" s="38">
        <f t="shared" si="1"/>
        <v>1250</v>
      </c>
      <c r="G141" s="35" t="s">
        <v>3032</v>
      </c>
      <c r="H141" s="35" t="s">
        <v>3034</v>
      </c>
      <c r="I141" s="35" t="s">
        <v>59</v>
      </c>
      <c r="J141" s="35" t="s">
        <v>34</v>
      </c>
      <c r="K141" s="35" t="s">
        <v>35</v>
      </c>
      <c r="L141" s="35" t="s">
        <v>151</v>
      </c>
      <c r="M141" s="39">
        <v>31.0</v>
      </c>
      <c r="N141" s="40">
        <v>46180.0</v>
      </c>
      <c r="O141" s="42" t="b">
        <v>1</v>
      </c>
      <c r="P141" s="44">
        <v>46181.0</v>
      </c>
      <c r="Q141" s="34"/>
      <c r="R141" s="34"/>
      <c r="S141" s="34"/>
      <c r="T141" s="34"/>
    </row>
    <row r="142" ht="15.75" customHeight="1">
      <c r="B142" s="33">
        <v>46178.0</v>
      </c>
      <c r="C142" s="35">
        <v>920720.0</v>
      </c>
      <c r="D142" s="35">
        <v>150.0</v>
      </c>
      <c r="E142" s="37">
        <v>135.0</v>
      </c>
      <c r="F142" s="38">
        <f t="shared" si="1"/>
        <v>20250</v>
      </c>
      <c r="G142" s="35" t="s">
        <v>3039</v>
      </c>
      <c r="H142" s="35">
        <v>57944.0</v>
      </c>
      <c r="I142" s="35" t="s">
        <v>77</v>
      </c>
      <c r="J142" s="35" t="s">
        <v>79</v>
      </c>
      <c r="K142" s="35" t="s">
        <v>35</v>
      </c>
      <c r="L142" s="35" t="s">
        <v>43</v>
      </c>
      <c r="M142" s="39">
        <v>31.0</v>
      </c>
      <c r="N142" s="40">
        <v>46183.0</v>
      </c>
      <c r="O142" s="42" t="b">
        <v>1</v>
      </c>
      <c r="P142" s="45"/>
      <c r="Q142" s="34"/>
      <c r="R142" s="34"/>
      <c r="S142" s="34"/>
      <c r="T142" s="34"/>
    </row>
    <row r="143" ht="15.75" customHeight="1">
      <c r="B143" s="33">
        <v>46178.0</v>
      </c>
      <c r="C143" s="35">
        <v>3429.0</v>
      </c>
      <c r="D143" s="35">
        <v>100.0</v>
      </c>
      <c r="E143" s="37">
        <v>10.8438</v>
      </c>
      <c r="F143" s="38">
        <f t="shared" si="1"/>
        <v>1084.38</v>
      </c>
      <c r="G143" s="35" t="s">
        <v>3045</v>
      </c>
      <c r="H143" s="35">
        <v>581.0</v>
      </c>
      <c r="I143" s="35" t="s">
        <v>3046</v>
      </c>
      <c r="J143" s="35" t="s">
        <v>3047</v>
      </c>
      <c r="K143" s="35" t="s">
        <v>35</v>
      </c>
      <c r="L143" s="35" t="s">
        <v>2686</v>
      </c>
      <c r="M143" s="39">
        <v>1.0</v>
      </c>
      <c r="N143" s="40">
        <v>46183.0</v>
      </c>
      <c r="O143" s="42" t="b">
        <v>1</v>
      </c>
      <c r="P143" s="44">
        <v>46185.0</v>
      </c>
      <c r="Q143" s="34"/>
      <c r="R143" s="34"/>
      <c r="S143" s="34"/>
      <c r="T143" s="34"/>
    </row>
    <row r="144" ht="15.75" customHeight="1">
      <c r="B144" s="33">
        <v>46178.0</v>
      </c>
      <c r="C144" s="35" t="s">
        <v>35</v>
      </c>
      <c r="D144" s="35">
        <v>29.0</v>
      </c>
      <c r="E144" s="37">
        <v>453.68</v>
      </c>
      <c r="F144" s="38">
        <f t="shared" si="1"/>
        <v>13156.72</v>
      </c>
      <c r="G144" s="35" t="s">
        <v>3050</v>
      </c>
      <c r="H144" s="35" t="s">
        <v>35</v>
      </c>
      <c r="I144" s="35" t="s">
        <v>32</v>
      </c>
      <c r="J144" s="35" t="s">
        <v>34</v>
      </c>
      <c r="K144" s="35" t="s">
        <v>35</v>
      </c>
      <c r="L144" s="35" t="s">
        <v>365</v>
      </c>
      <c r="M144" s="39">
        <v>1.0</v>
      </c>
      <c r="N144" s="40">
        <v>46182.0</v>
      </c>
      <c r="O144" s="42" t="b">
        <v>1</v>
      </c>
      <c r="P144" s="44">
        <v>46185.0</v>
      </c>
      <c r="Q144" s="34"/>
      <c r="R144" s="34"/>
      <c r="S144" s="34"/>
      <c r="T144" s="34"/>
    </row>
    <row r="145" ht="15.75" customHeight="1">
      <c r="B145" s="33">
        <v>46181.0</v>
      </c>
      <c r="C145" s="46" t="s">
        <v>3054</v>
      </c>
      <c r="D145" s="35">
        <v>20.0</v>
      </c>
      <c r="E145" s="37">
        <v>250.0</v>
      </c>
      <c r="F145" s="38">
        <f t="shared" si="1"/>
        <v>5000</v>
      </c>
      <c r="G145" s="35" t="s">
        <v>171</v>
      </c>
      <c r="H145" s="35" t="s">
        <v>173</v>
      </c>
      <c r="I145" s="35" t="s">
        <v>59</v>
      </c>
      <c r="J145" s="35" t="s">
        <v>34</v>
      </c>
      <c r="K145" s="35" t="s">
        <v>35</v>
      </c>
      <c r="L145" s="35" t="s">
        <v>87</v>
      </c>
      <c r="M145" s="39">
        <v>31.0</v>
      </c>
      <c r="N145" s="40">
        <v>46182.0</v>
      </c>
      <c r="O145" s="42" t="b">
        <v>1</v>
      </c>
      <c r="P145" s="44">
        <v>46183.0</v>
      </c>
      <c r="Q145" s="34"/>
      <c r="R145" s="34"/>
      <c r="S145" s="34"/>
      <c r="T145" s="34"/>
    </row>
    <row r="146" ht="15.75" customHeight="1">
      <c r="B146" s="33">
        <v>46181.0</v>
      </c>
      <c r="C146" s="35">
        <v>19219.0</v>
      </c>
      <c r="D146" s="35">
        <v>30.0</v>
      </c>
      <c r="E146" s="37">
        <v>89.9</v>
      </c>
      <c r="F146" s="38">
        <f t="shared" si="1"/>
        <v>2697</v>
      </c>
      <c r="G146" s="35" t="s">
        <v>511</v>
      </c>
      <c r="H146" s="35" t="s">
        <v>512</v>
      </c>
      <c r="I146" s="35" t="s">
        <v>41</v>
      </c>
      <c r="J146" s="35" t="s">
        <v>34</v>
      </c>
      <c r="K146" s="35" t="s">
        <v>35</v>
      </c>
      <c r="L146" s="35" t="s">
        <v>96</v>
      </c>
      <c r="M146" s="39">
        <v>31.0</v>
      </c>
      <c r="N146" s="40">
        <v>46185.0</v>
      </c>
      <c r="O146" s="42" t="b">
        <v>1</v>
      </c>
      <c r="P146" s="44">
        <v>46185.0</v>
      </c>
      <c r="Q146" s="34"/>
      <c r="R146" s="34"/>
      <c r="S146" s="34"/>
      <c r="T146" s="34"/>
    </row>
    <row r="147" ht="15.75" customHeight="1">
      <c r="B147" s="33">
        <v>46181.0</v>
      </c>
      <c r="C147" s="35">
        <v>19219.0</v>
      </c>
      <c r="D147" s="35">
        <v>20.0</v>
      </c>
      <c r="E147" s="37">
        <v>89.9</v>
      </c>
      <c r="F147" s="38">
        <f t="shared" si="1"/>
        <v>1798</v>
      </c>
      <c r="G147" s="35" t="s">
        <v>2191</v>
      </c>
      <c r="H147" s="35" t="s">
        <v>2192</v>
      </c>
      <c r="I147" s="35" t="s">
        <v>41</v>
      </c>
      <c r="J147" s="35" t="s">
        <v>34</v>
      </c>
      <c r="K147" s="35" t="s">
        <v>35</v>
      </c>
      <c r="L147" s="35" t="s">
        <v>96</v>
      </c>
      <c r="M147" s="39">
        <v>31.0</v>
      </c>
      <c r="N147" s="40">
        <v>46185.0</v>
      </c>
      <c r="O147" s="42" t="b">
        <v>1</v>
      </c>
      <c r="P147" s="44">
        <v>46185.0</v>
      </c>
      <c r="Q147" s="34"/>
      <c r="R147" s="34"/>
      <c r="S147" s="34"/>
      <c r="T147" s="34"/>
    </row>
    <row r="148" ht="15.75" customHeight="1">
      <c r="B148" s="33">
        <v>46181.0</v>
      </c>
      <c r="C148" s="35">
        <v>19219.0</v>
      </c>
      <c r="D148" s="35">
        <v>100.0</v>
      </c>
      <c r="E148" s="37">
        <v>15.99</v>
      </c>
      <c r="F148" s="38">
        <f t="shared" si="1"/>
        <v>1599</v>
      </c>
      <c r="G148" s="35" t="s">
        <v>3058</v>
      </c>
      <c r="H148" s="35" t="s">
        <v>828</v>
      </c>
      <c r="I148" s="35" t="s">
        <v>41</v>
      </c>
      <c r="J148" s="35" t="s">
        <v>34</v>
      </c>
      <c r="K148" s="35" t="s">
        <v>35</v>
      </c>
      <c r="L148" s="35" t="s">
        <v>96</v>
      </c>
      <c r="M148" s="39">
        <v>31.0</v>
      </c>
      <c r="N148" s="40">
        <v>46185.0</v>
      </c>
      <c r="O148" s="42" t="b">
        <v>1</v>
      </c>
      <c r="P148" s="44">
        <v>46185.0</v>
      </c>
      <c r="Q148" s="34"/>
      <c r="R148" s="34"/>
      <c r="S148" s="34"/>
      <c r="T148" s="34"/>
    </row>
    <row r="149" ht="15.75" customHeight="1">
      <c r="B149" s="33">
        <v>46181.0</v>
      </c>
      <c r="C149" s="35">
        <v>19219.0</v>
      </c>
      <c r="D149" s="35">
        <v>50.0</v>
      </c>
      <c r="E149" s="37">
        <v>115.9</v>
      </c>
      <c r="F149" s="38">
        <f t="shared" si="1"/>
        <v>5795</v>
      </c>
      <c r="G149" s="35" t="s">
        <v>416</v>
      </c>
      <c r="H149" s="35" t="s">
        <v>1820</v>
      </c>
      <c r="I149" s="35" t="s">
        <v>41</v>
      </c>
      <c r="J149" s="35" t="s">
        <v>34</v>
      </c>
      <c r="K149" s="35" t="s">
        <v>35</v>
      </c>
      <c r="L149" s="35" t="s">
        <v>96</v>
      </c>
      <c r="M149" s="39">
        <v>31.0</v>
      </c>
      <c r="N149" s="40">
        <v>46185.0</v>
      </c>
      <c r="O149" s="42" t="b">
        <v>1</v>
      </c>
      <c r="P149" s="44">
        <v>46185.0</v>
      </c>
      <c r="Q149" s="34"/>
      <c r="R149" s="34"/>
      <c r="S149" s="34"/>
      <c r="T149" s="34"/>
    </row>
    <row r="150" ht="15.75" customHeight="1">
      <c r="B150" s="33">
        <v>46181.0</v>
      </c>
      <c r="C150" s="35">
        <v>19219.0</v>
      </c>
      <c r="D150" s="35">
        <v>50.0</v>
      </c>
      <c r="E150" s="37">
        <v>89.9</v>
      </c>
      <c r="F150" s="38">
        <f t="shared" si="1"/>
        <v>4495</v>
      </c>
      <c r="G150" s="35" t="s">
        <v>1619</v>
      </c>
      <c r="H150" s="35" t="s">
        <v>3065</v>
      </c>
      <c r="I150" s="35" t="s">
        <v>41</v>
      </c>
      <c r="J150" s="35" t="s">
        <v>34</v>
      </c>
      <c r="K150" s="35" t="s">
        <v>35</v>
      </c>
      <c r="L150" s="35" t="s">
        <v>96</v>
      </c>
      <c r="M150" s="39">
        <v>31.0</v>
      </c>
      <c r="N150" s="40">
        <v>46185.0</v>
      </c>
      <c r="O150" s="42" t="b">
        <v>1</v>
      </c>
      <c r="P150" s="44">
        <v>46185.0</v>
      </c>
      <c r="Q150" s="34"/>
      <c r="R150" s="34"/>
      <c r="S150" s="34"/>
      <c r="T150" s="34"/>
    </row>
    <row r="151" ht="15.75" customHeight="1">
      <c r="B151" s="33">
        <v>46181.0</v>
      </c>
      <c r="C151" s="35">
        <v>19219.0</v>
      </c>
      <c r="D151" s="35">
        <v>200.0</v>
      </c>
      <c r="E151" s="37">
        <v>169.9</v>
      </c>
      <c r="F151" s="38">
        <f t="shared" si="1"/>
        <v>33980</v>
      </c>
      <c r="G151" s="35" t="s">
        <v>1278</v>
      </c>
      <c r="H151" s="35" t="s">
        <v>184</v>
      </c>
      <c r="I151" s="35" t="s">
        <v>41</v>
      </c>
      <c r="J151" s="35" t="s">
        <v>34</v>
      </c>
      <c r="K151" s="35" t="s">
        <v>35</v>
      </c>
      <c r="L151" s="35" t="s">
        <v>96</v>
      </c>
      <c r="M151" s="39">
        <v>31.0</v>
      </c>
      <c r="N151" s="40">
        <v>46185.0</v>
      </c>
      <c r="O151" s="42" t="b">
        <v>1</v>
      </c>
      <c r="P151" s="44">
        <v>46185.0</v>
      </c>
      <c r="Q151" s="34"/>
      <c r="R151" s="34"/>
      <c r="S151" s="34"/>
      <c r="T151" s="34"/>
    </row>
    <row r="152" ht="15.75" customHeight="1">
      <c r="B152" s="33">
        <v>46181.0</v>
      </c>
      <c r="C152" s="35">
        <v>19219.0</v>
      </c>
      <c r="D152" s="35">
        <v>42.0</v>
      </c>
      <c r="E152" s="37">
        <v>139.9</v>
      </c>
      <c r="F152" s="38">
        <f t="shared" si="1"/>
        <v>5875.8</v>
      </c>
      <c r="G152" s="35" t="s">
        <v>2637</v>
      </c>
      <c r="H152" s="35" t="s">
        <v>541</v>
      </c>
      <c r="I152" s="35" t="s">
        <v>41</v>
      </c>
      <c r="J152" s="35" t="s">
        <v>34</v>
      </c>
      <c r="K152" s="35" t="s">
        <v>35</v>
      </c>
      <c r="L152" s="35" t="s">
        <v>96</v>
      </c>
      <c r="M152" s="39">
        <v>31.0</v>
      </c>
      <c r="N152" s="40">
        <v>46185.0</v>
      </c>
      <c r="O152" s="42" t="b">
        <v>1</v>
      </c>
      <c r="P152" s="44">
        <v>46185.0</v>
      </c>
      <c r="Q152" s="34"/>
      <c r="R152" s="34"/>
      <c r="S152" s="34"/>
      <c r="T152" s="34"/>
    </row>
    <row r="153" ht="15.75" customHeight="1">
      <c r="B153" s="33">
        <v>46181.0</v>
      </c>
      <c r="C153" s="35">
        <v>19219.0</v>
      </c>
      <c r="D153" s="35">
        <v>50.0</v>
      </c>
      <c r="E153" s="37">
        <v>99.9</v>
      </c>
      <c r="F153" s="38">
        <f t="shared" si="1"/>
        <v>4995</v>
      </c>
      <c r="G153" s="35" t="s">
        <v>2202</v>
      </c>
      <c r="H153" s="35" t="s">
        <v>2203</v>
      </c>
      <c r="I153" s="35" t="s">
        <v>41</v>
      </c>
      <c r="J153" s="35" t="s">
        <v>34</v>
      </c>
      <c r="K153" s="35" t="s">
        <v>35</v>
      </c>
      <c r="L153" s="35" t="s">
        <v>96</v>
      </c>
      <c r="M153" s="39">
        <v>31.0</v>
      </c>
      <c r="N153" s="40">
        <v>46185.0</v>
      </c>
      <c r="O153" s="42" t="b">
        <v>1</v>
      </c>
      <c r="P153" s="44">
        <v>46185.0</v>
      </c>
      <c r="Q153" s="34"/>
      <c r="R153" s="34"/>
      <c r="S153" s="34"/>
      <c r="T153" s="34"/>
    </row>
    <row r="154" ht="15.75" customHeight="1">
      <c r="B154" s="33">
        <v>46181.0</v>
      </c>
      <c r="C154" s="46" t="s">
        <v>3083</v>
      </c>
      <c r="D154" s="35">
        <v>20.0</v>
      </c>
      <c r="E154" s="37">
        <v>25.2</v>
      </c>
      <c r="F154" s="38">
        <f t="shared" si="1"/>
        <v>504</v>
      </c>
      <c r="G154" s="35" t="s">
        <v>3084</v>
      </c>
      <c r="H154" s="35" t="s">
        <v>3086</v>
      </c>
      <c r="I154" s="35" t="s">
        <v>59</v>
      </c>
      <c r="J154" s="35" t="s">
        <v>34</v>
      </c>
      <c r="K154" s="35" t="s">
        <v>35</v>
      </c>
      <c r="L154" s="35" t="s">
        <v>87</v>
      </c>
      <c r="M154" s="39">
        <v>31.0</v>
      </c>
      <c r="N154" s="40">
        <v>46181.0</v>
      </c>
      <c r="O154" s="42" t="b">
        <v>1</v>
      </c>
      <c r="P154" s="44">
        <v>46182.0</v>
      </c>
      <c r="Q154" s="34"/>
      <c r="R154" s="34"/>
      <c r="S154" s="34"/>
      <c r="T154" s="34"/>
    </row>
    <row r="155" ht="15.75" customHeight="1">
      <c r="B155" s="33">
        <v>46181.0</v>
      </c>
      <c r="C155" s="46" t="s">
        <v>3083</v>
      </c>
      <c r="D155" s="35">
        <v>6.0</v>
      </c>
      <c r="E155" s="37">
        <v>367.0</v>
      </c>
      <c r="F155" s="38">
        <f t="shared" si="1"/>
        <v>2202</v>
      </c>
      <c r="G155" s="35" t="s">
        <v>2810</v>
      </c>
      <c r="H155" s="35" t="s">
        <v>2896</v>
      </c>
      <c r="I155" s="35" t="s">
        <v>59</v>
      </c>
      <c r="J155" s="35" t="s">
        <v>34</v>
      </c>
      <c r="K155" s="35" t="s">
        <v>35</v>
      </c>
      <c r="L155" s="35" t="s">
        <v>87</v>
      </c>
      <c r="M155" s="39">
        <v>31.0</v>
      </c>
      <c r="N155" s="40">
        <v>46181.0</v>
      </c>
      <c r="O155" s="42" t="b">
        <v>1</v>
      </c>
      <c r="P155" s="44">
        <v>46182.0</v>
      </c>
      <c r="Q155" s="34"/>
      <c r="R155" s="34"/>
      <c r="S155" s="34"/>
      <c r="T155" s="34"/>
    </row>
    <row r="156" ht="15.75" customHeight="1">
      <c r="B156" s="33">
        <v>46181.0</v>
      </c>
      <c r="C156" s="46" t="s">
        <v>3083</v>
      </c>
      <c r="D156" s="35">
        <v>40.0</v>
      </c>
      <c r="E156" s="37">
        <v>11.2</v>
      </c>
      <c r="F156" s="38">
        <f t="shared" si="1"/>
        <v>448</v>
      </c>
      <c r="G156" s="35" t="s">
        <v>3098</v>
      </c>
      <c r="H156" s="35" t="s">
        <v>3099</v>
      </c>
      <c r="I156" s="35" t="s">
        <v>59</v>
      </c>
      <c r="J156" s="35" t="s">
        <v>34</v>
      </c>
      <c r="K156" s="35" t="s">
        <v>35</v>
      </c>
      <c r="L156" s="35" t="s">
        <v>87</v>
      </c>
      <c r="M156" s="39">
        <v>31.0</v>
      </c>
      <c r="N156" s="40">
        <v>46181.0</v>
      </c>
      <c r="O156" s="42" t="b">
        <v>1</v>
      </c>
      <c r="P156" s="44">
        <v>46182.0</v>
      </c>
      <c r="Q156" s="34"/>
      <c r="R156" s="34"/>
      <c r="S156" s="34"/>
      <c r="T156" s="34"/>
    </row>
    <row r="157" ht="15.75" customHeight="1">
      <c r="B157" s="33">
        <v>46181.0</v>
      </c>
      <c r="C157" s="35">
        <v>18876.0</v>
      </c>
      <c r="D157" s="35">
        <v>48.0</v>
      </c>
      <c r="E157" s="37">
        <v>44.9</v>
      </c>
      <c r="F157" s="38">
        <f t="shared" si="1"/>
        <v>2155.2</v>
      </c>
      <c r="G157" s="35" t="s">
        <v>3102</v>
      </c>
      <c r="H157" s="35" t="s">
        <v>477</v>
      </c>
      <c r="I157" s="35" t="s">
        <v>41</v>
      </c>
      <c r="J157" s="35" t="s">
        <v>34</v>
      </c>
      <c r="K157" s="35" t="s">
        <v>35</v>
      </c>
      <c r="L157" s="35" t="s">
        <v>96</v>
      </c>
      <c r="M157" s="39">
        <v>31.0</v>
      </c>
      <c r="N157" s="40">
        <v>46185.0</v>
      </c>
      <c r="O157" s="42" t="b">
        <v>1</v>
      </c>
      <c r="P157" s="44">
        <v>46185.0</v>
      </c>
      <c r="Q157" s="34"/>
      <c r="R157" s="34"/>
      <c r="S157" s="34"/>
      <c r="T157" s="34"/>
    </row>
    <row r="158" ht="15.75" customHeight="1">
      <c r="B158" s="33">
        <v>46181.0</v>
      </c>
      <c r="C158" s="35">
        <v>18876.0</v>
      </c>
      <c r="D158" s="35">
        <v>24.0</v>
      </c>
      <c r="E158" s="37">
        <v>44.9</v>
      </c>
      <c r="F158" s="38">
        <f t="shared" si="1"/>
        <v>1077.6</v>
      </c>
      <c r="G158" s="35" t="s">
        <v>3106</v>
      </c>
      <c r="H158" s="35" t="s">
        <v>480</v>
      </c>
      <c r="I158" s="35" t="s">
        <v>41</v>
      </c>
      <c r="J158" s="35" t="s">
        <v>34</v>
      </c>
      <c r="K158" s="35" t="s">
        <v>35</v>
      </c>
      <c r="L158" s="35" t="s">
        <v>96</v>
      </c>
      <c r="M158" s="39">
        <v>31.0</v>
      </c>
      <c r="N158" s="40">
        <v>46185.0</v>
      </c>
      <c r="O158" s="42" t="b">
        <v>1</v>
      </c>
      <c r="P158" s="44">
        <v>46185.0</v>
      </c>
      <c r="Q158" s="34"/>
      <c r="R158" s="34"/>
      <c r="S158" s="34"/>
      <c r="T158" s="34"/>
    </row>
    <row r="159" ht="15.75" customHeight="1">
      <c r="B159" s="33">
        <v>46181.0</v>
      </c>
      <c r="C159" s="35">
        <v>18876.0</v>
      </c>
      <c r="D159" s="35">
        <v>12.0</v>
      </c>
      <c r="E159" s="37">
        <v>199.9</v>
      </c>
      <c r="F159" s="38">
        <f t="shared" si="1"/>
        <v>2398.8</v>
      </c>
      <c r="G159" s="35" t="s">
        <v>3109</v>
      </c>
      <c r="H159" s="35" t="s">
        <v>3110</v>
      </c>
      <c r="I159" s="35" t="s">
        <v>41</v>
      </c>
      <c r="J159" s="35" t="s">
        <v>34</v>
      </c>
      <c r="K159" s="35" t="s">
        <v>35</v>
      </c>
      <c r="L159" s="35" t="s">
        <v>96</v>
      </c>
      <c r="M159" s="39">
        <v>31.0</v>
      </c>
      <c r="N159" s="40">
        <v>46185.0</v>
      </c>
      <c r="O159" s="42" t="b">
        <v>1</v>
      </c>
      <c r="P159" s="44">
        <v>46185.0</v>
      </c>
      <c r="Q159" s="34"/>
      <c r="R159" s="34"/>
      <c r="S159" s="34"/>
      <c r="T159" s="34"/>
    </row>
    <row r="160" ht="15.75" customHeight="1">
      <c r="B160" s="33">
        <v>46181.0</v>
      </c>
      <c r="C160" s="35">
        <v>18876.0</v>
      </c>
      <c r="D160" s="35">
        <v>12.0</v>
      </c>
      <c r="E160" s="37">
        <v>159.9</v>
      </c>
      <c r="F160" s="38">
        <f t="shared" si="1"/>
        <v>1918.8</v>
      </c>
      <c r="G160" s="35" t="s">
        <v>3112</v>
      </c>
      <c r="H160" s="35" t="s">
        <v>3114</v>
      </c>
      <c r="I160" s="35" t="s">
        <v>41</v>
      </c>
      <c r="J160" s="35" t="s">
        <v>34</v>
      </c>
      <c r="K160" s="35" t="s">
        <v>35</v>
      </c>
      <c r="L160" s="35" t="s">
        <v>96</v>
      </c>
      <c r="M160" s="39">
        <v>31.0</v>
      </c>
      <c r="N160" s="40">
        <v>46185.0</v>
      </c>
      <c r="O160" s="42" t="b">
        <v>1</v>
      </c>
      <c r="P160" s="44">
        <v>46185.0</v>
      </c>
      <c r="Q160" s="34"/>
      <c r="R160" s="34"/>
      <c r="S160" s="34"/>
      <c r="T160" s="34"/>
    </row>
    <row r="161" ht="15.75" customHeight="1">
      <c r="B161" s="33">
        <v>46181.0</v>
      </c>
      <c r="C161" s="35">
        <v>18876.0</v>
      </c>
      <c r="D161" s="35">
        <v>72.0</v>
      </c>
      <c r="E161" s="37">
        <v>55.9</v>
      </c>
      <c r="F161" s="38">
        <f t="shared" si="1"/>
        <v>4024.8</v>
      </c>
      <c r="G161" s="35" t="s">
        <v>3117</v>
      </c>
      <c r="H161" s="35" t="s">
        <v>3118</v>
      </c>
      <c r="I161" s="35" t="s">
        <v>41</v>
      </c>
      <c r="J161" s="35" t="s">
        <v>34</v>
      </c>
      <c r="K161" s="35" t="s">
        <v>35</v>
      </c>
      <c r="L161" s="35" t="s">
        <v>96</v>
      </c>
      <c r="M161" s="39">
        <v>31.0</v>
      </c>
      <c r="N161" s="40">
        <v>46185.0</v>
      </c>
      <c r="O161" s="42" t="b">
        <v>1</v>
      </c>
      <c r="P161" s="44">
        <v>46185.0</v>
      </c>
      <c r="Q161" s="34"/>
      <c r="R161" s="34"/>
      <c r="S161" s="34"/>
      <c r="T161" s="34"/>
    </row>
    <row r="162" ht="15.75" customHeight="1">
      <c r="B162" s="33">
        <v>46181.0</v>
      </c>
      <c r="C162" s="35">
        <v>18876.0</v>
      </c>
      <c r="D162" s="35">
        <v>80.0</v>
      </c>
      <c r="E162" s="37">
        <v>26.99</v>
      </c>
      <c r="F162" s="38">
        <f t="shared" si="1"/>
        <v>2159.2</v>
      </c>
      <c r="G162" s="35" t="s">
        <v>3123</v>
      </c>
      <c r="H162" s="35" t="s">
        <v>3127</v>
      </c>
      <c r="I162" s="35" t="s">
        <v>41</v>
      </c>
      <c r="J162" s="35" t="s">
        <v>34</v>
      </c>
      <c r="K162" s="35" t="s">
        <v>35</v>
      </c>
      <c r="L162" s="35" t="s">
        <v>96</v>
      </c>
      <c r="M162" s="39">
        <v>31.0</v>
      </c>
      <c r="N162" s="40">
        <v>46185.0</v>
      </c>
      <c r="O162" s="42" t="b">
        <v>1</v>
      </c>
      <c r="P162" s="35" t="s">
        <v>3130</v>
      </c>
      <c r="Q162" s="34"/>
      <c r="R162" s="34"/>
      <c r="S162" s="34"/>
      <c r="T162" s="34"/>
    </row>
    <row r="163" ht="15.75" customHeight="1">
      <c r="B163" s="33">
        <v>46181.0</v>
      </c>
      <c r="C163" s="35">
        <v>18876.0</v>
      </c>
      <c r="D163" s="35">
        <v>50.0</v>
      </c>
      <c r="E163" s="37">
        <v>19.99</v>
      </c>
      <c r="F163" s="38">
        <f t="shared" si="1"/>
        <v>999.5</v>
      </c>
      <c r="G163" s="35" t="s">
        <v>3134</v>
      </c>
      <c r="H163" s="35" t="s">
        <v>3135</v>
      </c>
      <c r="I163" s="35" t="s">
        <v>41</v>
      </c>
      <c r="J163" s="35" t="s">
        <v>34</v>
      </c>
      <c r="K163" s="35" t="s">
        <v>35</v>
      </c>
      <c r="L163" s="35" t="s">
        <v>96</v>
      </c>
      <c r="M163" s="39">
        <v>31.0</v>
      </c>
      <c r="N163" s="40">
        <v>46185.0</v>
      </c>
      <c r="O163" s="42" t="b">
        <v>1</v>
      </c>
      <c r="P163" s="44">
        <v>46185.0</v>
      </c>
      <c r="Q163" s="34"/>
      <c r="R163" s="34"/>
      <c r="S163" s="34"/>
      <c r="T163" s="34"/>
    </row>
    <row r="164" ht="15.75" customHeight="1">
      <c r="B164" s="33">
        <v>46181.0</v>
      </c>
      <c r="C164" s="35">
        <v>18876.0</v>
      </c>
      <c r="D164" s="35">
        <v>30.0</v>
      </c>
      <c r="E164" s="37">
        <v>46.9</v>
      </c>
      <c r="F164" s="38">
        <f t="shared" si="1"/>
        <v>1407</v>
      </c>
      <c r="G164" s="35" t="s">
        <v>3139</v>
      </c>
      <c r="H164" s="35" t="s">
        <v>1214</v>
      </c>
      <c r="I164" s="35" t="s">
        <v>41</v>
      </c>
      <c r="J164" s="35" t="s">
        <v>34</v>
      </c>
      <c r="K164" s="35" t="s">
        <v>35</v>
      </c>
      <c r="L164" s="35" t="s">
        <v>96</v>
      </c>
      <c r="M164" s="39">
        <v>31.0</v>
      </c>
      <c r="N164" s="40">
        <v>46185.0</v>
      </c>
      <c r="O164" s="42" t="b">
        <v>1</v>
      </c>
      <c r="P164" s="44">
        <v>46185.0</v>
      </c>
      <c r="Q164" s="34"/>
      <c r="R164" s="34"/>
      <c r="S164" s="34"/>
      <c r="T164" s="34"/>
    </row>
    <row r="165" ht="15.75" customHeight="1">
      <c r="B165" s="33">
        <v>46181.0</v>
      </c>
      <c r="C165" s="35">
        <v>18876.0</v>
      </c>
      <c r="D165" s="35">
        <v>20.0</v>
      </c>
      <c r="E165" s="37">
        <v>50.9</v>
      </c>
      <c r="F165" s="38">
        <f t="shared" si="1"/>
        <v>1018</v>
      </c>
      <c r="G165" s="35" t="s">
        <v>3147</v>
      </c>
      <c r="H165" s="35" t="s">
        <v>533</v>
      </c>
      <c r="I165" s="35" t="s">
        <v>41</v>
      </c>
      <c r="J165" s="35" t="s">
        <v>34</v>
      </c>
      <c r="K165" s="35" t="s">
        <v>35</v>
      </c>
      <c r="L165" s="35" t="s">
        <v>96</v>
      </c>
      <c r="M165" s="39">
        <v>31.0</v>
      </c>
      <c r="N165" s="40">
        <v>46185.0</v>
      </c>
      <c r="O165" s="42" t="b">
        <v>1</v>
      </c>
      <c r="P165" s="44">
        <v>46185.0</v>
      </c>
      <c r="Q165" s="34"/>
      <c r="R165" s="34"/>
      <c r="S165" s="34"/>
      <c r="T165" s="34"/>
    </row>
    <row r="166" ht="15.75" customHeight="1">
      <c r="B166" s="33">
        <v>46181.0</v>
      </c>
      <c r="C166" s="35">
        <v>18887.0</v>
      </c>
      <c r="D166" s="35">
        <v>100.0</v>
      </c>
      <c r="E166" s="37">
        <v>8.99</v>
      </c>
      <c r="F166" s="38">
        <f t="shared" si="1"/>
        <v>899</v>
      </c>
      <c r="G166" s="35" t="s">
        <v>2406</v>
      </c>
      <c r="H166" s="35" t="s">
        <v>2407</v>
      </c>
      <c r="I166" s="35" t="s">
        <v>240</v>
      </c>
      <c r="J166" s="35" t="s">
        <v>1036</v>
      </c>
      <c r="K166" s="35" t="s">
        <v>1334</v>
      </c>
      <c r="L166" s="35" t="s">
        <v>96</v>
      </c>
      <c r="M166" s="39">
        <v>31.0</v>
      </c>
      <c r="N166" s="40">
        <v>46189.0</v>
      </c>
      <c r="O166" s="42" t="b">
        <v>1</v>
      </c>
      <c r="P166" s="44">
        <v>46190.0</v>
      </c>
      <c r="Q166" s="34"/>
      <c r="R166" s="34"/>
      <c r="S166" s="34"/>
      <c r="T166" s="34"/>
    </row>
    <row r="167" ht="15.75" customHeight="1">
      <c r="B167" s="33">
        <v>46181.0</v>
      </c>
      <c r="C167" s="35">
        <v>18887.0</v>
      </c>
      <c r="D167" s="35">
        <v>50.0</v>
      </c>
      <c r="E167" s="37">
        <v>156.0</v>
      </c>
      <c r="F167" s="38">
        <f t="shared" si="1"/>
        <v>7800</v>
      </c>
      <c r="G167" s="35" t="s">
        <v>2932</v>
      </c>
      <c r="H167" s="35" t="s">
        <v>2934</v>
      </c>
      <c r="I167" s="35" t="s">
        <v>240</v>
      </c>
      <c r="J167" s="35" t="s">
        <v>1036</v>
      </c>
      <c r="K167" s="35" t="s">
        <v>1334</v>
      </c>
      <c r="L167" s="35" t="s">
        <v>96</v>
      </c>
      <c r="M167" s="39">
        <v>31.0</v>
      </c>
      <c r="N167" s="40">
        <v>46189.0</v>
      </c>
      <c r="O167" s="42" t="b">
        <v>1</v>
      </c>
      <c r="P167" s="44">
        <v>46190.0</v>
      </c>
      <c r="Q167" s="34"/>
      <c r="R167" s="34"/>
      <c r="S167" s="34"/>
      <c r="T167" s="34"/>
    </row>
    <row r="168" ht="15.75" customHeight="1">
      <c r="B168" s="33">
        <v>46181.0</v>
      </c>
      <c r="C168" s="35">
        <v>18887.0</v>
      </c>
      <c r="D168" s="35">
        <v>10.0</v>
      </c>
      <c r="E168" s="37">
        <v>199.9</v>
      </c>
      <c r="F168" s="38">
        <f t="shared" si="1"/>
        <v>1999</v>
      </c>
      <c r="G168" s="35" t="s">
        <v>3155</v>
      </c>
      <c r="H168" s="35" t="s">
        <v>3157</v>
      </c>
      <c r="I168" s="35" t="s">
        <v>240</v>
      </c>
      <c r="J168" s="35" t="s">
        <v>1036</v>
      </c>
      <c r="K168" s="35" t="s">
        <v>1334</v>
      </c>
      <c r="L168" s="35" t="s">
        <v>96</v>
      </c>
      <c r="M168" s="39">
        <v>31.0</v>
      </c>
      <c r="N168" s="40">
        <v>46189.0</v>
      </c>
      <c r="O168" s="42" t="b">
        <v>1</v>
      </c>
      <c r="P168" s="44">
        <v>46190.0</v>
      </c>
      <c r="Q168" s="34"/>
      <c r="R168" s="34"/>
      <c r="S168" s="34"/>
      <c r="T168" s="34"/>
    </row>
    <row r="169" ht="15.75" customHeight="1">
      <c r="B169" s="33">
        <v>46181.0</v>
      </c>
      <c r="C169" s="35">
        <v>18887.0</v>
      </c>
      <c r="D169" s="35">
        <v>60.0</v>
      </c>
      <c r="E169" s="37">
        <v>28.8</v>
      </c>
      <c r="F169" s="38">
        <f t="shared" si="1"/>
        <v>1728</v>
      </c>
      <c r="G169" s="35" t="s">
        <v>2940</v>
      </c>
      <c r="H169" s="35" t="s">
        <v>2942</v>
      </c>
      <c r="I169" s="35" t="s">
        <v>240</v>
      </c>
      <c r="J169" s="35" t="s">
        <v>1036</v>
      </c>
      <c r="K169" s="35" t="s">
        <v>1334</v>
      </c>
      <c r="L169" s="35" t="s">
        <v>96</v>
      </c>
      <c r="M169" s="39">
        <v>31.0</v>
      </c>
      <c r="N169" s="40">
        <v>46189.0</v>
      </c>
      <c r="O169" s="42" t="b">
        <v>1</v>
      </c>
      <c r="P169" s="44">
        <v>46190.0</v>
      </c>
      <c r="Q169" s="34"/>
      <c r="R169" s="34"/>
      <c r="S169" s="34"/>
      <c r="T169" s="34"/>
    </row>
    <row r="170" ht="15.75" customHeight="1">
      <c r="B170" s="33">
        <v>46181.0</v>
      </c>
      <c r="C170" s="35">
        <v>18918.0</v>
      </c>
      <c r="D170" s="35">
        <v>8.0</v>
      </c>
      <c r="E170" s="37">
        <v>289.9</v>
      </c>
      <c r="F170" s="38">
        <f t="shared" si="1"/>
        <v>2319.2</v>
      </c>
      <c r="G170" s="35" t="s">
        <v>2116</v>
      </c>
      <c r="H170" s="35" t="s">
        <v>408</v>
      </c>
      <c r="I170" s="35" t="s">
        <v>32</v>
      </c>
      <c r="J170" s="35" t="s">
        <v>34</v>
      </c>
      <c r="K170" s="35" t="s">
        <v>35</v>
      </c>
      <c r="L170" s="35" t="s">
        <v>96</v>
      </c>
      <c r="M170" s="39">
        <v>31.0</v>
      </c>
      <c r="N170" s="40">
        <v>46189.0</v>
      </c>
      <c r="O170" s="42" t="b">
        <v>1</v>
      </c>
      <c r="P170" s="44">
        <v>46190.0</v>
      </c>
      <c r="Q170" s="34"/>
      <c r="R170" s="34"/>
      <c r="S170" s="34"/>
      <c r="T170" s="34"/>
    </row>
    <row r="171" ht="15.75" customHeight="1">
      <c r="B171" s="33">
        <v>46181.0</v>
      </c>
      <c r="C171" s="46" t="s">
        <v>3170</v>
      </c>
      <c r="D171" s="35">
        <v>100.0</v>
      </c>
      <c r="E171" s="37">
        <v>139.0</v>
      </c>
      <c r="F171" s="38">
        <f t="shared" si="1"/>
        <v>13900</v>
      </c>
      <c r="G171" s="35" t="s">
        <v>3173</v>
      </c>
      <c r="H171" s="35" t="s">
        <v>3174</v>
      </c>
      <c r="I171" s="35" t="s">
        <v>32</v>
      </c>
      <c r="J171" s="35" t="s">
        <v>34</v>
      </c>
      <c r="K171" s="35" t="s">
        <v>35</v>
      </c>
      <c r="L171" s="35" t="s">
        <v>87</v>
      </c>
      <c r="M171" s="39">
        <v>31.0</v>
      </c>
      <c r="N171" s="40">
        <v>46182.0</v>
      </c>
      <c r="O171" s="42" t="b">
        <v>1</v>
      </c>
      <c r="P171" s="44">
        <v>46183.0</v>
      </c>
      <c r="Q171" s="34"/>
      <c r="R171" s="34"/>
      <c r="S171" s="34"/>
      <c r="T171" s="34"/>
    </row>
    <row r="172" ht="15.75" customHeight="1">
      <c r="B172" s="33">
        <v>46181.0</v>
      </c>
      <c r="C172" s="46" t="s">
        <v>3170</v>
      </c>
      <c r="D172" s="35">
        <v>50.0</v>
      </c>
      <c r="E172" s="37">
        <v>335.0</v>
      </c>
      <c r="F172" s="38">
        <f t="shared" si="1"/>
        <v>16750</v>
      </c>
      <c r="G172" s="35" t="s">
        <v>3178</v>
      </c>
      <c r="H172" s="35" t="s">
        <v>2548</v>
      </c>
      <c r="I172" s="35" t="s">
        <v>32</v>
      </c>
      <c r="J172" s="35" t="s">
        <v>34</v>
      </c>
      <c r="K172" s="35" t="s">
        <v>35</v>
      </c>
      <c r="L172" s="35" t="s">
        <v>87</v>
      </c>
      <c r="M172" s="39">
        <v>31.0</v>
      </c>
      <c r="N172" s="40">
        <v>46182.0</v>
      </c>
      <c r="O172" s="42" t="b">
        <v>1</v>
      </c>
      <c r="P172" s="44">
        <v>46183.0</v>
      </c>
      <c r="Q172" s="34"/>
      <c r="R172" s="34"/>
      <c r="S172" s="34"/>
      <c r="T172" s="34"/>
    </row>
    <row r="173" ht="15.75" customHeight="1">
      <c r="B173" s="33">
        <v>46181.0</v>
      </c>
      <c r="C173" s="35">
        <v>226619.0</v>
      </c>
      <c r="D173" s="35">
        <v>120.0</v>
      </c>
      <c r="E173" s="37">
        <v>155.82</v>
      </c>
      <c r="F173" s="38">
        <f t="shared" si="1"/>
        <v>18698.4</v>
      </c>
      <c r="G173" s="35" t="s">
        <v>3181</v>
      </c>
      <c r="H173" s="35" t="s">
        <v>3182</v>
      </c>
      <c r="I173" s="35" t="s">
        <v>59</v>
      </c>
      <c r="J173" s="35" t="s">
        <v>34</v>
      </c>
      <c r="K173" s="35" t="s">
        <v>35</v>
      </c>
      <c r="L173" s="35" t="s">
        <v>193</v>
      </c>
      <c r="M173" s="39">
        <v>31.0</v>
      </c>
      <c r="N173" s="74" t="s">
        <v>2507</v>
      </c>
      <c r="O173" s="42" t="b">
        <v>0</v>
      </c>
      <c r="P173" s="44"/>
      <c r="Q173" s="34"/>
      <c r="R173" s="44">
        <v>46183.0</v>
      </c>
      <c r="S173" s="34"/>
      <c r="T173" s="34"/>
    </row>
    <row r="174" ht="15.75" customHeight="1">
      <c r="B174" s="33">
        <v>46181.0</v>
      </c>
      <c r="C174" s="46" t="s">
        <v>3184</v>
      </c>
      <c r="D174" s="35">
        <v>500.0</v>
      </c>
      <c r="E174" s="37">
        <v>65.0</v>
      </c>
      <c r="F174" s="38">
        <f t="shared" si="1"/>
        <v>32500</v>
      </c>
      <c r="G174" s="35" t="s">
        <v>3185</v>
      </c>
      <c r="H174" s="35" t="s">
        <v>35</v>
      </c>
      <c r="I174" s="35" t="s">
        <v>32</v>
      </c>
      <c r="J174" s="35" t="s">
        <v>34</v>
      </c>
      <c r="K174" s="35" t="s">
        <v>35</v>
      </c>
      <c r="L174" s="35" t="s">
        <v>1760</v>
      </c>
      <c r="M174" s="39">
        <v>1.0</v>
      </c>
      <c r="N174" s="40">
        <v>46192.0</v>
      </c>
      <c r="O174" s="42" t="b">
        <v>1</v>
      </c>
      <c r="P174" s="44">
        <v>46192.0</v>
      </c>
      <c r="Q174" s="34"/>
      <c r="R174" s="33">
        <v>46182.0</v>
      </c>
      <c r="S174" s="34"/>
      <c r="T174" s="34"/>
    </row>
    <row r="175" ht="15.75" customHeight="1">
      <c r="B175" s="33">
        <v>46181.0</v>
      </c>
      <c r="C175" s="46" t="s">
        <v>3187</v>
      </c>
      <c r="D175" s="35">
        <v>200.0</v>
      </c>
      <c r="E175" s="37">
        <v>28.8</v>
      </c>
      <c r="F175" s="38">
        <f t="shared" si="1"/>
        <v>5760</v>
      </c>
      <c r="G175" s="35" t="s">
        <v>2772</v>
      </c>
      <c r="H175" s="35" t="s">
        <v>1022</v>
      </c>
      <c r="I175" s="35" t="s">
        <v>174</v>
      </c>
      <c r="J175" s="35" t="s">
        <v>175</v>
      </c>
      <c r="K175" s="35" t="s">
        <v>35</v>
      </c>
      <c r="L175" s="35" t="s">
        <v>62</v>
      </c>
      <c r="M175" s="39">
        <v>1.0</v>
      </c>
      <c r="N175" s="40">
        <v>46182.0</v>
      </c>
      <c r="O175" s="42" t="b">
        <v>1</v>
      </c>
      <c r="P175" s="44">
        <v>46188.0</v>
      </c>
      <c r="Q175" s="34"/>
      <c r="R175" s="34"/>
      <c r="S175" s="34"/>
      <c r="T175" s="34"/>
    </row>
    <row r="176" ht="15.75" customHeight="1">
      <c r="B176" s="33">
        <v>46181.0</v>
      </c>
      <c r="C176" s="46" t="s">
        <v>3187</v>
      </c>
      <c r="D176" s="35">
        <v>200.0</v>
      </c>
      <c r="E176" s="37">
        <v>52.2</v>
      </c>
      <c r="F176" s="38">
        <f t="shared" si="1"/>
        <v>10440</v>
      </c>
      <c r="G176" s="35" t="s">
        <v>453</v>
      </c>
      <c r="H176" s="35" t="s">
        <v>454</v>
      </c>
      <c r="I176" s="35" t="s">
        <v>174</v>
      </c>
      <c r="J176" s="35" t="s">
        <v>175</v>
      </c>
      <c r="K176" s="35" t="s">
        <v>35</v>
      </c>
      <c r="L176" s="35" t="s">
        <v>62</v>
      </c>
      <c r="M176" s="39">
        <v>1.0</v>
      </c>
      <c r="N176" s="40">
        <v>46182.0</v>
      </c>
      <c r="O176" s="42" t="b">
        <v>1</v>
      </c>
      <c r="P176" s="44">
        <v>46188.0</v>
      </c>
      <c r="Q176" s="34"/>
      <c r="R176" s="34"/>
      <c r="S176" s="34"/>
      <c r="T176" s="34"/>
    </row>
    <row r="177" ht="15.75" customHeight="1">
      <c r="B177" s="33">
        <v>46181.0</v>
      </c>
      <c r="C177" s="46" t="s">
        <v>3187</v>
      </c>
      <c r="D177" s="35">
        <v>64.0</v>
      </c>
      <c r="E177" s="37">
        <v>135.0</v>
      </c>
      <c r="F177" s="38">
        <f t="shared" si="1"/>
        <v>8640</v>
      </c>
      <c r="G177" s="35" t="s">
        <v>821</v>
      </c>
      <c r="H177" s="35" t="s">
        <v>744</v>
      </c>
      <c r="I177" s="35" t="s">
        <v>174</v>
      </c>
      <c r="J177" s="35" t="s">
        <v>175</v>
      </c>
      <c r="K177" s="35" t="s">
        <v>35</v>
      </c>
      <c r="L177" s="35" t="s">
        <v>62</v>
      </c>
      <c r="M177" s="39">
        <v>1.0</v>
      </c>
      <c r="N177" s="40">
        <v>46182.0</v>
      </c>
      <c r="O177" s="42" t="b">
        <v>1</v>
      </c>
      <c r="P177" s="44">
        <v>46188.0</v>
      </c>
      <c r="Q177" s="34"/>
      <c r="R177" s="34"/>
      <c r="S177" s="34"/>
      <c r="T177" s="34"/>
    </row>
    <row r="178" ht="15.75" customHeight="1">
      <c r="B178" s="33">
        <v>46181.0</v>
      </c>
      <c r="C178" s="35">
        <v>18706.0</v>
      </c>
      <c r="D178" s="35">
        <v>200.0</v>
      </c>
      <c r="E178" s="37">
        <v>5.115</v>
      </c>
      <c r="F178" s="38">
        <f t="shared" si="1"/>
        <v>1023</v>
      </c>
      <c r="G178" s="35" t="s">
        <v>3196</v>
      </c>
      <c r="H178" s="35" t="s">
        <v>3197</v>
      </c>
      <c r="I178" s="35" t="s">
        <v>41</v>
      </c>
      <c r="J178" s="35" t="s">
        <v>34</v>
      </c>
      <c r="K178" s="35" t="s">
        <v>35</v>
      </c>
      <c r="L178" s="35" t="s">
        <v>210</v>
      </c>
      <c r="M178" s="39">
        <v>1.0</v>
      </c>
      <c r="N178" s="40">
        <v>46182.0</v>
      </c>
      <c r="O178" s="42" t="b">
        <v>1</v>
      </c>
      <c r="P178" s="44">
        <v>46183.0</v>
      </c>
      <c r="Q178" s="34"/>
      <c r="R178" s="34"/>
      <c r="S178" s="34"/>
      <c r="T178" s="34"/>
    </row>
    <row r="179" ht="15.75" customHeight="1">
      <c r="B179" s="33">
        <v>46181.0</v>
      </c>
      <c r="C179" s="35">
        <v>18706.0</v>
      </c>
      <c r="D179" s="35">
        <v>100.0</v>
      </c>
      <c r="E179" s="37">
        <v>6.51</v>
      </c>
      <c r="F179" s="38">
        <f t="shared" si="1"/>
        <v>651</v>
      </c>
      <c r="G179" s="35" t="s">
        <v>3201</v>
      </c>
      <c r="H179" s="35" t="s">
        <v>3202</v>
      </c>
      <c r="I179" s="35" t="s">
        <v>41</v>
      </c>
      <c r="J179" s="35" t="s">
        <v>34</v>
      </c>
      <c r="K179" s="35" t="s">
        <v>35</v>
      </c>
      <c r="L179" s="35" t="s">
        <v>210</v>
      </c>
      <c r="M179" s="39">
        <v>1.0</v>
      </c>
      <c r="N179" s="40">
        <v>46182.0</v>
      </c>
      <c r="O179" s="42" t="b">
        <v>1</v>
      </c>
      <c r="P179" s="44">
        <v>46183.0</v>
      </c>
      <c r="Q179" s="34"/>
      <c r="R179" s="34"/>
      <c r="S179" s="34"/>
      <c r="T179" s="34"/>
    </row>
    <row r="180" ht="15.75" customHeight="1">
      <c r="B180" s="33">
        <v>46181.0</v>
      </c>
      <c r="C180" s="35">
        <v>18706.0</v>
      </c>
      <c r="D180" s="35">
        <v>50.0</v>
      </c>
      <c r="E180" s="37">
        <v>8.37</v>
      </c>
      <c r="F180" s="38">
        <f t="shared" si="1"/>
        <v>418.5</v>
      </c>
      <c r="G180" s="35" t="s">
        <v>1792</v>
      </c>
      <c r="H180" s="35" t="s">
        <v>1793</v>
      </c>
      <c r="I180" s="35" t="s">
        <v>41</v>
      </c>
      <c r="J180" s="35" t="s">
        <v>34</v>
      </c>
      <c r="K180" s="35" t="s">
        <v>35</v>
      </c>
      <c r="L180" s="35" t="s">
        <v>210</v>
      </c>
      <c r="M180" s="39">
        <v>1.0</v>
      </c>
      <c r="N180" s="40">
        <v>46182.0</v>
      </c>
      <c r="O180" s="42" t="b">
        <v>1</v>
      </c>
      <c r="P180" s="44">
        <v>46183.0</v>
      </c>
      <c r="Q180" s="34"/>
      <c r="R180" s="34"/>
      <c r="S180" s="34"/>
      <c r="T180" s="34"/>
    </row>
    <row r="181" ht="15.75" customHeight="1">
      <c r="B181" s="33">
        <v>46181.0</v>
      </c>
      <c r="C181" s="35">
        <v>18706.0</v>
      </c>
      <c r="D181" s="35">
        <v>50.0</v>
      </c>
      <c r="E181" s="37">
        <v>15.81</v>
      </c>
      <c r="F181" s="38">
        <f t="shared" si="1"/>
        <v>790.5</v>
      </c>
      <c r="G181" s="35" t="s">
        <v>2222</v>
      </c>
      <c r="H181" s="35" t="s">
        <v>2223</v>
      </c>
      <c r="I181" s="35" t="s">
        <v>41</v>
      </c>
      <c r="J181" s="35" t="s">
        <v>34</v>
      </c>
      <c r="K181" s="35" t="s">
        <v>35</v>
      </c>
      <c r="L181" s="35" t="s">
        <v>210</v>
      </c>
      <c r="M181" s="39">
        <v>1.0</v>
      </c>
      <c r="N181" s="40">
        <v>46182.0</v>
      </c>
      <c r="O181" s="42" t="b">
        <v>1</v>
      </c>
      <c r="P181" s="44">
        <v>46183.0</v>
      </c>
      <c r="Q181" s="34"/>
      <c r="R181" s="34"/>
      <c r="S181" s="34"/>
      <c r="T181" s="34"/>
    </row>
    <row r="182" ht="15.75" customHeight="1">
      <c r="B182" s="33">
        <v>46181.0</v>
      </c>
      <c r="C182" s="35">
        <v>18706.0</v>
      </c>
      <c r="D182" s="35">
        <v>200.0</v>
      </c>
      <c r="E182" s="37">
        <v>5.301</v>
      </c>
      <c r="F182" s="38">
        <f t="shared" si="1"/>
        <v>1060.2</v>
      </c>
      <c r="G182" s="35" t="s">
        <v>387</v>
      </c>
      <c r="H182" s="35" t="s">
        <v>1692</v>
      </c>
      <c r="I182" s="35" t="s">
        <v>41</v>
      </c>
      <c r="J182" s="35" t="s">
        <v>34</v>
      </c>
      <c r="K182" s="35" t="s">
        <v>35</v>
      </c>
      <c r="L182" s="35" t="s">
        <v>210</v>
      </c>
      <c r="M182" s="39">
        <v>1.0</v>
      </c>
      <c r="N182" s="40">
        <v>46182.0</v>
      </c>
      <c r="O182" s="42" t="b">
        <v>1</v>
      </c>
      <c r="P182" s="44">
        <v>46183.0</v>
      </c>
      <c r="Q182" s="34"/>
      <c r="R182" s="34"/>
      <c r="S182" s="34"/>
      <c r="T182" s="34"/>
    </row>
    <row r="183" ht="15.75" customHeight="1">
      <c r="B183" s="33">
        <v>46181.0</v>
      </c>
      <c r="C183" s="35">
        <v>18706.0</v>
      </c>
      <c r="D183" s="35">
        <v>200.0</v>
      </c>
      <c r="E183" s="37">
        <v>6.975</v>
      </c>
      <c r="F183" s="38">
        <f t="shared" si="1"/>
        <v>1395</v>
      </c>
      <c r="G183" s="35" t="s">
        <v>3204</v>
      </c>
      <c r="H183" s="35" t="s">
        <v>3205</v>
      </c>
      <c r="I183" s="35" t="s">
        <v>41</v>
      </c>
      <c r="J183" s="35" t="s">
        <v>34</v>
      </c>
      <c r="K183" s="35" t="s">
        <v>35</v>
      </c>
      <c r="L183" s="35" t="s">
        <v>210</v>
      </c>
      <c r="M183" s="39">
        <v>1.0</v>
      </c>
      <c r="N183" s="40">
        <v>46182.0</v>
      </c>
      <c r="O183" s="42" t="b">
        <v>1</v>
      </c>
      <c r="P183" s="44">
        <v>46183.0</v>
      </c>
      <c r="Q183" s="34"/>
      <c r="R183" s="34"/>
      <c r="S183" s="34"/>
      <c r="T183" s="35"/>
    </row>
    <row r="184" ht="15.75" customHeight="1">
      <c r="B184" s="33">
        <v>46181.0</v>
      </c>
      <c r="C184" s="35">
        <v>18706.0</v>
      </c>
      <c r="D184" s="35">
        <v>200.0</v>
      </c>
      <c r="E184" s="37">
        <v>6.975</v>
      </c>
      <c r="F184" s="38">
        <f t="shared" si="1"/>
        <v>1395</v>
      </c>
      <c r="G184" s="35" t="s">
        <v>3207</v>
      </c>
      <c r="H184" s="35" t="s">
        <v>3208</v>
      </c>
      <c r="I184" s="35" t="s">
        <v>41</v>
      </c>
      <c r="J184" s="35" t="s">
        <v>34</v>
      </c>
      <c r="K184" s="35" t="s">
        <v>35</v>
      </c>
      <c r="L184" s="35" t="s">
        <v>210</v>
      </c>
      <c r="M184" s="39">
        <v>1.0</v>
      </c>
      <c r="N184" s="40">
        <v>46182.0</v>
      </c>
      <c r="O184" s="42" t="b">
        <v>1</v>
      </c>
      <c r="P184" s="44">
        <v>46183.0</v>
      </c>
      <c r="Q184" s="34"/>
      <c r="R184" s="34"/>
      <c r="S184" s="34"/>
      <c r="T184" s="34"/>
    </row>
    <row r="185" ht="15.75" customHeight="1">
      <c r="B185" s="33">
        <v>46181.0</v>
      </c>
      <c r="C185" s="35">
        <v>18706.0</v>
      </c>
      <c r="D185" s="35">
        <v>200.0</v>
      </c>
      <c r="E185" s="37">
        <v>10.044</v>
      </c>
      <c r="F185" s="38">
        <f t="shared" si="1"/>
        <v>2008.8</v>
      </c>
      <c r="G185" s="35" t="s">
        <v>3210</v>
      </c>
      <c r="H185" s="35" t="s">
        <v>3212</v>
      </c>
      <c r="I185" s="35" t="s">
        <v>41</v>
      </c>
      <c r="J185" s="35" t="s">
        <v>34</v>
      </c>
      <c r="K185" s="35" t="s">
        <v>35</v>
      </c>
      <c r="L185" s="35" t="s">
        <v>210</v>
      </c>
      <c r="M185" s="39">
        <v>1.0</v>
      </c>
      <c r="N185" s="40">
        <v>46182.0</v>
      </c>
      <c r="O185" s="42" t="b">
        <v>1</v>
      </c>
      <c r="P185" s="44">
        <v>46183.0</v>
      </c>
      <c r="Q185" s="34"/>
      <c r="R185" s="34"/>
      <c r="S185" s="34"/>
      <c r="T185" s="34"/>
    </row>
    <row r="186" ht="15.75" customHeight="1">
      <c r="B186" s="33">
        <v>46181.0</v>
      </c>
      <c r="C186" s="35">
        <v>18706.0</v>
      </c>
      <c r="D186" s="35">
        <v>200.0</v>
      </c>
      <c r="E186" s="37">
        <v>18.507</v>
      </c>
      <c r="F186" s="38">
        <f t="shared" si="1"/>
        <v>3701.4</v>
      </c>
      <c r="G186" s="35" t="s">
        <v>1383</v>
      </c>
      <c r="H186" s="35" t="s">
        <v>3217</v>
      </c>
      <c r="I186" s="35" t="s">
        <v>41</v>
      </c>
      <c r="J186" s="35" t="s">
        <v>34</v>
      </c>
      <c r="K186" s="35" t="s">
        <v>35</v>
      </c>
      <c r="L186" s="35" t="s">
        <v>210</v>
      </c>
      <c r="M186" s="39">
        <v>1.0</v>
      </c>
      <c r="N186" s="40">
        <v>46182.0</v>
      </c>
      <c r="O186" s="42" t="b">
        <v>1</v>
      </c>
      <c r="P186" s="44">
        <v>46183.0</v>
      </c>
      <c r="Q186" s="34"/>
      <c r="R186" s="34"/>
      <c r="S186" s="34"/>
      <c r="T186" s="34"/>
    </row>
    <row r="187" ht="15.75" customHeight="1">
      <c r="B187" s="33">
        <v>46181.0</v>
      </c>
      <c r="C187" s="35">
        <v>18706.0</v>
      </c>
      <c r="D187" s="35">
        <v>150.0</v>
      </c>
      <c r="E187" s="37">
        <v>10.695</v>
      </c>
      <c r="F187" s="38">
        <f t="shared" si="1"/>
        <v>1604.25</v>
      </c>
      <c r="G187" s="35" t="s">
        <v>3221</v>
      </c>
      <c r="H187" s="35" t="s">
        <v>3222</v>
      </c>
      <c r="I187" s="35" t="s">
        <v>41</v>
      </c>
      <c r="J187" s="35" t="s">
        <v>34</v>
      </c>
      <c r="K187" s="35" t="s">
        <v>35</v>
      </c>
      <c r="L187" s="35" t="s">
        <v>210</v>
      </c>
      <c r="M187" s="39">
        <v>1.0</v>
      </c>
      <c r="N187" s="40">
        <v>46182.0</v>
      </c>
      <c r="O187" s="42" t="b">
        <v>1</v>
      </c>
      <c r="P187" s="44">
        <v>46183.0</v>
      </c>
      <c r="Q187" s="34"/>
      <c r="R187" s="34"/>
      <c r="S187" s="34"/>
      <c r="T187" s="34"/>
    </row>
    <row r="188" ht="15.75" customHeight="1">
      <c r="B188" s="33">
        <v>46181.0</v>
      </c>
      <c r="C188" s="35">
        <v>18706.0</v>
      </c>
      <c r="D188" s="35">
        <v>24.0</v>
      </c>
      <c r="E188" s="37">
        <v>52.08</v>
      </c>
      <c r="F188" s="38">
        <f t="shared" si="1"/>
        <v>1249.92</v>
      </c>
      <c r="G188" s="35" t="s">
        <v>3221</v>
      </c>
      <c r="H188" s="35" t="s">
        <v>3225</v>
      </c>
      <c r="I188" s="35" t="s">
        <v>41</v>
      </c>
      <c r="J188" s="35" t="s">
        <v>34</v>
      </c>
      <c r="K188" s="35" t="s">
        <v>35</v>
      </c>
      <c r="L188" s="35" t="s">
        <v>210</v>
      </c>
      <c r="M188" s="39">
        <v>1.0</v>
      </c>
      <c r="N188" s="40">
        <v>46182.0</v>
      </c>
      <c r="O188" s="42" t="b">
        <v>1</v>
      </c>
      <c r="P188" s="44">
        <v>46183.0</v>
      </c>
      <c r="Q188" s="34"/>
      <c r="R188" s="34"/>
      <c r="S188" s="34"/>
      <c r="T188" s="34"/>
    </row>
    <row r="189" ht="15.75" customHeight="1">
      <c r="B189" s="33">
        <v>46181.0</v>
      </c>
      <c r="C189" s="35">
        <v>18706.0</v>
      </c>
      <c r="D189" s="35">
        <v>60.0</v>
      </c>
      <c r="E189" s="37">
        <v>22.32</v>
      </c>
      <c r="F189" s="38">
        <f t="shared" si="1"/>
        <v>1339.2</v>
      </c>
      <c r="G189" s="35" t="s">
        <v>3221</v>
      </c>
      <c r="H189" s="35" t="s">
        <v>3230</v>
      </c>
      <c r="I189" s="35" t="s">
        <v>41</v>
      </c>
      <c r="J189" s="35" t="s">
        <v>34</v>
      </c>
      <c r="K189" s="35" t="s">
        <v>35</v>
      </c>
      <c r="L189" s="35" t="s">
        <v>210</v>
      </c>
      <c r="M189" s="39">
        <v>1.0</v>
      </c>
      <c r="N189" s="40">
        <v>46182.0</v>
      </c>
      <c r="O189" s="42" t="b">
        <v>1</v>
      </c>
      <c r="P189" s="44">
        <v>46183.0</v>
      </c>
      <c r="Q189" s="34"/>
      <c r="R189" s="34"/>
      <c r="S189" s="34"/>
      <c r="T189" s="34"/>
    </row>
    <row r="190" ht="15.75" customHeight="1">
      <c r="B190" s="33">
        <v>46181.0</v>
      </c>
      <c r="C190" s="35" t="s">
        <v>35</v>
      </c>
      <c r="D190" s="35">
        <v>20.0</v>
      </c>
      <c r="E190" s="37">
        <v>250.0</v>
      </c>
      <c r="F190" s="38">
        <f t="shared" si="1"/>
        <v>5000</v>
      </c>
      <c r="G190" s="35" t="s">
        <v>226</v>
      </c>
      <c r="H190" s="35" t="s">
        <v>227</v>
      </c>
      <c r="I190" s="35" t="s">
        <v>32</v>
      </c>
      <c r="J190" s="35" t="s">
        <v>34</v>
      </c>
      <c r="K190" s="35" t="s">
        <v>35</v>
      </c>
      <c r="L190" s="35" t="s">
        <v>314</v>
      </c>
      <c r="M190" s="39">
        <v>31.0</v>
      </c>
      <c r="N190" s="40">
        <v>46184.0</v>
      </c>
      <c r="O190" s="42" t="b">
        <v>1</v>
      </c>
      <c r="P190" s="44">
        <v>46184.0</v>
      </c>
      <c r="Q190" s="34"/>
      <c r="R190" s="33">
        <v>46182.0</v>
      </c>
      <c r="S190" s="34"/>
      <c r="T190" s="35"/>
    </row>
    <row r="191" ht="15.75" customHeight="1">
      <c r="B191" s="33">
        <v>46181.0</v>
      </c>
      <c r="C191" s="35" t="s">
        <v>35</v>
      </c>
      <c r="D191" s="35">
        <v>6.0</v>
      </c>
      <c r="E191" s="37">
        <v>190.0</v>
      </c>
      <c r="F191" s="38">
        <f t="shared" si="1"/>
        <v>1140</v>
      </c>
      <c r="G191" s="35" t="s">
        <v>3243</v>
      </c>
      <c r="H191" s="35" t="s">
        <v>35</v>
      </c>
      <c r="I191" s="35" t="s">
        <v>157</v>
      </c>
      <c r="J191" s="35" t="s">
        <v>34</v>
      </c>
      <c r="K191" s="35" t="s">
        <v>35</v>
      </c>
      <c r="L191" s="35" t="s">
        <v>2794</v>
      </c>
      <c r="M191" s="39">
        <v>31.0</v>
      </c>
      <c r="N191" s="40">
        <v>46185.0</v>
      </c>
      <c r="O191" s="42" t="b">
        <v>1</v>
      </c>
      <c r="P191" s="44">
        <v>46185.0</v>
      </c>
      <c r="Q191" s="34"/>
      <c r="R191" s="33">
        <v>46181.0</v>
      </c>
      <c r="S191" s="34"/>
      <c r="T191" s="34"/>
    </row>
    <row r="192" ht="15.75" customHeight="1">
      <c r="B192" s="33">
        <v>46182.0</v>
      </c>
      <c r="C192" s="35" t="s">
        <v>35</v>
      </c>
      <c r="D192" s="35">
        <v>10.0</v>
      </c>
      <c r="E192" s="37">
        <v>806.5</v>
      </c>
      <c r="F192" s="38">
        <f t="shared" si="1"/>
        <v>8065</v>
      </c>
      <c r="G192" s="35" t="s">
        <v>3248</v>
      </c>
      <c r="H192" s="35" t="s">
        <v>3249</v>
      </c>
      <c r="I192" s="35" t="s">
        <v>157</v>
      </c>
      <c r="J192" s="35" t="s">
        <v>34</v>
      </c>
      <c r="K192" s="35" t="s">
        <v>35</v>
      </c>
      <c r="L192" s="35" t="s">
        <v>365</v>
      </c>
      <c r="M192" s="39">
        <v>1.0</v>
      </c>
      <c r="N192" s="40">
        <v>46181.0</v>
      </c>
      <c r="O192" s="42" t="b">
        <v>0</v>
      </c>
      <c r="P192" s="44"/>
      <c r="Q192" s="34"/>
      <c r="R192" s="34"/>
      <c r="S192" s="34"/>
      <c r="T192" s="34"/>
    </row>
    <row r="193" ht="15.0" customHeight="1">
      <c r="B193" s="33">
        <v>46182.0</v>
      </c>
      <c r="C193" s="46" t="s">
        <v>3255</v>
      </c>
      <c r="D193" s="35">
        <v>12.0</v>
      </c>
      <c r="E193" s="37">
        <v>286.0</v>
      </c>
      <c r="F193" s="38">
        <f t="shared" si="1"/>
        <v>3432</v>
      </c>
      <c r="G193" s="35" t="s">
        <v>303</v>
      </c>
      <c r="H193" s="35" t="s">
        <v>2895</v>
      </c>
      <c r="I193" s="35" t="s">
        <v>41</v>
      </c>
      <c r="J193" s="35" t="s">
        <v>34</v>
      </c>
      <c r="K193" s="35" t="s">
        <v>35</v>
      </c>
      <c r="L193" s="35" t="s">
        <v>87</v>
      </c>
      <c r="M193" s="39">
        <v>31.0</v>
      </c>
      <c r="N193" s="40">
        <v>46183.0</v>
      </c>
      <c r="O193" s="42" t="b">
        <v>1</v>
      </c>
      <c r="P193" s="44">
        <v>46183.0</v>
      </c>
      <c r="Q193" s="34"/>
      <c r="R193" s="34"/>
      <c r="S193" s="34"/>
      <c r="T193" s="34"/>
    </row>
    <row r="194" ht="15.75" customHeight="1">
      <c r="B194" s="33">
        <v>46182.0</v>
      </c>
      <c r="C194" s="46" t="s">
        <v>3259</v>
      </c>
      <c r="D194" s="35">
        <v>100.0</v>
      </c>
      <c r="E194" s="37">
        <v>300.0</v>
      </c>
      <c r="F194" s="38">
        <f t="shared" si="1"/>
        <v>30000</v>
      </c>
      <c r="G194" s="35" t="s">
        <v>2838</v>
      </c>
      <c r="H194" s="35" t="s">
        <v>1158</v>
      </c>
      <c r="I194" s="35" t="s">
        <v>41</v>
      </c>
      <c r="J194" s="35" t="s">
        <v>34</v>
      </c>
      <c r="K194" s="35" t="s">
        <v>35</v>
      </c>
      <c r="L194" s="35" t="s">
        <v>87</v>
      </c>
      <c r="M194" s="39">
        <v>31.0</v>
      </c>
      <c r="N194" s="40">
        <v>46184.0</v>
      </c>
      <c r="O194" s="42" t="b">
        <v>1</v>
      </c>
      <c r="P194" s="44">
        <v>46188.0</v>
      </c>
      <c r="Q194" s="34"/>
      <c r="R194" s="34"/>
      <c r="S194" s="34"/>
      <c r="T194" s="34"/>
    </row>
    <row r="195" ht="15.75" customHeight="1">
      <c r="B195" s="33">
        <v>46182.0</v>
      </c>
      <c r="C195" s="46" t="s">
        <v>3269</v>
      </c>
      <c r="D195" s="35">
        <v>100.0</v>
      </c>
      <c r="E195" s="37">
        <v>250.0</v>
      </c>
      <c r="F195" s="38">
        <f t="shared" si="1"/>
        <v>25000</v>
      </c>
      <c r="G195" s="35" t="s">
        <v>171</v>
      </c>
      <c r="H195" s="35" t="s">
        <v>173</v>
      </c>
      <c r="I195" s="35" t="s">
        <v>59</v>
      </c>
      <c r="J195" s="35" t="s">
        <v>34</v>
      </c>
      <c r="K195" s="35" t="s">
        <v>35</v>
      </c>
      <c r="L195" s="35" t="s">
        <v>87</v>
      </c>
      <c r="M195" s="39">
        <v>31.0</v>
      </c>
      <c r="N195" s="40">
        <v>46188.0</v>
      </c>
      <c r="O195" s="42" t="b">
        <v>1</v>
      </c>
      <c r="P195" s="44">
        <v>46190.0</v>
      </c>
      <c r="Q195" s="34"/>
      <c r="R195" s="34"/>
      <c r="S195" s="34"/>
      <c r="T195" s="34"/>
    </row>
    <row r="196" ht="15.75" customHeight="1">
      <c r="B196" s="33">
        <v>46182.0</v>
      </c>
      <c r="C196" s="46" t="s">
        <v>3270</v>
      </c>
      <c r="D196" s="35">
        <v>10.0</v>
      </c>
      <c r="E196" s="37">
        <v>232.0</v>
      </c>
      <c r="F196" s="38">
        <f t="shared" si="1"/>
        <v>2320</v>
      </c>
      <c r="G196" s="35" t="s">
        <v>303</v>
      </c>
      <c r="H196" s="35" t="s">
        <v>3271</v>
      </c>
      <c r="I196" s="35" t="s">
        <v>32</v>
      </c>
      <c r="J196" s="35" t="s">
        <v>34</v>
      </c>
      <c r="K196" s="35" t="s">
        <v>35</v>
      </c>
      <c r="L196" s="35" t="s">
        <v>87</v>
      </c>
      <c r="M196" s="39">
        <v>31.0</v>
      </c>
      <c r="N196" s="40">
        <v>46183.0</v>
      </c>
      <c r="O196" s="42" t="b">
        <v>1</v>
      </c>
      <c r="P196" s="44">
        <v>46183.0</v>
      </c>
      <c r="Q196" s="34"/>
      <c r="R196" s="34"/>
      <c r="S196" s="34"/>
      <c r="T196" s="34"/>
    </row>
    <row r="197" ht="15.75" customHeight="1">
      <c r="B197" s="33">
        <v>46182.0</v>
      </c>
      <c r="C197" s="46" t="s">
        <v>3270</v>
      </c>
      <c r="D197" s="35">
        <v>100.0</v>
      </c>
      <c r="E197" s="37">
        <v>94.5</v>
      </c>
      <c r="F197" s="38">
        <f t="shared" si="1"/>
        <v>9450</v>
      </c>
      <c r="G197" s="35" t="s">
        <v>3272</v>
      </c>
      <c r="H197" s="35" t="s">
        <v>3273</v>
      </c>
      <c r="I197" s="35" t="s">
        <v>32</v>
      </c>
      <c r="J197" s="35" t="s">
        <v>34</v>
      </c>
      <c r="K197" s="35" t="s">
        <v>35</v>
      </c>
      <c r="L197" s="35" t="s">
        <v>87</v>
      </c>
      <c r="M197" s="39">
        <v>31.0</v>
      </c>
      <c r="N197" s="40">
        <v>46183.0</v>
      </c>
      <c r="O197" s="42" t="b">
        <v>1</v>
      </c>
      <c r="P197" s="44">
        <v>46183.0</v>
      </c>
      <c r="Q197" s="34"/>
      <c r="R197" s="34"/>
      <c r="S197" s="34"/>
      <c r="T197" s="34"/>
    </row>
    <row r="198" ht="15.75" customHeight="1">
      <c r="B198" s="33">
        <v>46182.0</v>
      </c>
      <c r="C198" s="46" t="s">
        <v>3270</v>
      </c>
      <c r="D198" s="35">
        <v>60.0</v>
      </c>
      <c r="E198" s="37">
        <v>34.2</v>
      </c>
      <c r="F198" s="38">
        <f t="shared" si="1"/>
        <v>2052</v>
      </c>
      <c r="G198" s="35" t="s">
        <v>3275</v>
      </c>
      <c r="H198" s="35" t="s">
        <v>3276</v>
      </c>
      <c r="I198" s="35" t="s">
        <v>32</v>
      </c>
      <c r="J198" s="35" t="s">
        <v>34</v>
      </c>
      <c r="K198" s="35" t="s">
        <v>35</v>
      </c>
      <c r="L198" s="35" t="s">
        <v>87</v>
      </c>
      <c r="M198" s="39">
        <v>31.0</v>
      </c>
      <c r="N198" s="40">
        <v>46183.0</v>
      </c>
      <c r="O198" s="42" t="b">
        <v>1</v>
      </c>
      <c r="P198" s="44">
        <v>46183.0</v>
      </c>
      <c r="Q198" s="34"/>
      <c r="R198" s="34"/>
      <c r="S198" s="34"/>
      <c r="T198" s="34"/>
    </row>
    <row r="199" ht="15.75" customHeight="1">
      <c r="B199" s="33">
        <v>46182.0</v>
      </c>
      <c r="C199" s="35">
        <v>921152.0</v>
      </c>
      <c r="D199" s="35">
        <v>1000.0</v>
      </c>
      <c r="E199" s="37">
        <v>135.0</v>
      </c>
      <c r="F199" s="38">
        <f t="shared" si="1"/>
        <v>135000</v>
      </c>
      <c r="G199" s="35" t="s">
        <v>3039</v>
      </c>
      <c r="H199" s="35">
        <v>57944.0</v>
      </c>
      <c r="I199" s="35" t="s">
        <v>59</v>
      </c>
      <c r="J199" s="35" t="s">
        <v>34</v>
      </c>
      <c r="K199" s="35" t="s">
        <v>35</v>
      </c>
      <c r="L199" s="35" t="s">
        <v>43</v>
      </c>
      <c r="M199" s="39">
        <v>31.0</v>
      </c>
      <c r="N199" s="51" t="str">
        <f>IF(B199&lt;TODAY()-2,"ATRASADO","EM DIA")</f>
        <v>ATRASADO</v>
      </c>
      <c r="O199" s="42" t="b">
        <v>0</v>
      </c>
      <c r="P199" s="44"/>
      <c r="Q199" s="34"/>
      <c r="R199" s="34"/>
      <c r="S199" s="34"/>
      <c r="T199" s="34"/>
    </row>
    <row r="200" ht="15.75" customHeight="1">
      <c r="B200" s="33">
        <v>46182.0</v>
      </c>
      <c r="C200" s="35">
        <v>19091.0</v>
      </c>
      <c r="D200" s="35">
        <v>20.0</v>
      </c>
      <c r="E200" s="37">
        <v>89.9</v>
      </c>
      <c r="F200" s="38">
        <f t="shared" si="1"/>
        <v>1798</v>
      </c>
      <c r="G200" s="35" t="s">
        <v>207</v>
      </c>
      <c r="H200" s="35" t="s">
        <v>208</v>
      </c>
      <c r="I200" s="35" t="s">
        <v>32</v>
      </c>
      <c r="J200" s="35" t="s">
        <v>34</v>
      </c>
      <c r="K200" s="35" t="s">
        <v>35</v>
      </c>
      <c r="L200" s="35" t="s">
        <v>96</v>
      </c>
      <c r="M200" s="39">
        <v>1.0</v>
      </c>
      <c r="N200" s="40">
        <v>46188.0</v>
      </c>
      <c r="O200" s="42" t="b">
        <v>1</v>
      </c>
      <c r="P200" s="44">
        <v>46190.0</v>
      </c>
      <c r="Q200" s="34"/>
      <c r="R200" s="34"/>
      <c r="S200" s="34"/>
      <c r="T200" s="34"/>
    </row>
    <row r="201" ht="15.75" customHeight="1">
      <c r="B201" s="33">
        <v>46183.0</v>
      </c>
      <c r="C201" s="46" t="s">
        <v>3281</v>
      </c>
      <c r="D201" s="35">
        <v>20.0</v>
      </c>
      <c r="E201" s="37">
        <v>522.0</v>
      </c>
      <c r="F201" s="38">
        <f t="shared" si="1"/>
        <v>10440</v>
      </c>
      <c r="G201" s="35" t="s">
        <v>3283</v>
      </c>
      <c r="H201" s="35" t="s">
        <v>3284</v>
      </c>
      <c r="I201" s="35" t="s">
        <v>41</v>
      </c>
      <c r="J201" s="35" t="s">
        <v>40</v>
      </c>
      <c r="K201" s="35" t="s">
        <v>35</v>
      </c>
      <c r="L201" s="35" t="s">
        <v>46</v>
      </c>
      <c r="M201" s="39">
        <v>1.0</v>
      </c>
      <c r="N201" s="40">
        <v>46183.0</v>
      </c>
      <c r="O201" s="42" t="b">
        <v>1</v>
      </c>
      <c r="P201" s="44">
        <v>46188.0</v>
      </c>
      <c r="Q201" s="34"/>
      <c r="R201" s="34"/>
      <c r="S201" s="34"/>
      <c r="T201" s="34"/>
    </row>
    <row r="202" ht="15.75" customHeight="1">
      <c r="B202" s="33">
        <v>46183.0</v>
      </c>
      <c r="C202" s="35">
        <v>90404.0</v>
      </c>
      <c r="D202" s="35">
        <v>30.0</v>
      </c>
      <c r="E202" s="37">
        <v>25.0</v>
      </c>
      <c r="F202" s="38">
        <f t="shared" si="1"/>
        <v>750</v>
      </c>
      <c r="G202" s="35" t="s">
        <v>3286</v>
      </c>
      <c r="H202" s="35" t="s">
        <v>3287</v>
      </c>
      <c r="I202" s="35" t="s">
        <v>41</v>
      </c>
      <c r="J202" s="35" t="s">
        <v>34</v>
      </c>
      <c r="K202" s="35" t="s">
        <v>35</v>
      </c>
      <c r="L202" s="35" t="s">
        <v>1250</v>
      </c>
      <c r="M202" s="39">
        <v>31.0</v>
      </c>
      <c r="N202" s="40">
        <v>46188.0</v>
      </c>
      <c r="O202" s="42" t="b">
        <v>1</v>
      </c>
      <c r="P202" s="44">
        <v>46188.0</v>
      </c>
      <c r="Q202" s="34"/>
      <c r="R202" s="33">
        <v>46183.0</v>
      </c>
      <c r="S202" s="34"/>
      <c r="T202" s="34"/>
    </row>
    <row r="203" ht="15.75" customHeight="1">
      <c r="B203" s="33">
        <v>46183.0</v>
      </c>
      <c r="C203" s="35">
        <v>90404.0</v>
      </c>
      <c r="D203" s="35">
        <v>170.0</v>
      </c>
      <c r="E203" s="37">
        <v>25.0</v>
      </c>
      <c r="F203" s="38">
        <f t="shared" si="1"/>
        <v>4250</v>
      </c>
      <c r="G203" s="35" t="s">
        <v>3286</v>
      </c>
      <c r="H203" s="35" t="s">
        <v>3287</v>
      </c>
      <c r="I203" s="35" t="s">
        <v>41</v>
      </c>
      <c r="J203" s="35" t="s">
        <v>40</v>
      </c>
      <c r="K203" s="35" t="s">
        <v>35</v>
      </c>
      <c r="L203" s="35" t="s">
        <v>1250</v>
      </c>
      <c r="M203" s="39">
        <v>31.0</v>
      </c>
      <c r="N203" s="40">
        <v>46188.0</v>
      </c>
      <c r="O203" s="42" t="b">
        <v>1</v>
      </c>
      <c r="P203" s="44">
        <v>46188.0</v>
      </c>
      <c r="Q203" s="34"/>
      <c r="R203" s="33">
        <v>46183.0</v>
      </c>
      <c r="S203" s="34"/>
      <c r="T203" s="34"/>
    </row>
    <row r="204" ht="15.75" customHeight="1">
      <c r="B204" s="33">
        <v>46183.0</v>
      </c>
      <c r="C204" s="46" t="s">
        <v>3292</v>
      </c>
      <c r="D204" s="35">
        <v>1.0</v>
      </c>
      <c r="E204" s="37">
        <v>10400.0</v>
      </c>
      <c r="F204" s="38">
        <f t="shared" si="1"/>
        <v>10400</v>
      </c>
      <c r="G204" s="35" t="s">
        <v>3293</v>
      </c>
      <c r="H204" s="35" t="s">
        <v>2314</v>
      </c>
      <c r="I204" s="35" t="s">
        <v>39</v>
      </c>
      <c r="J204" s="35" t="s">
        <v>183</v>
      </c>
      <c r="K204" s="35" t="s">
        <v>35</v>
      </c>
      <c r="L204" s="35" t="s">
        <v>151</v>
      </c>
      <c r="M204" s="39">
        <v>31.0</v>
      </c>
      <c r="N204" s="40">
        <v>46184.0</v>
      </c>
      <c r="O204" s="42" t="b">
        <v>0</v>
      </c>
      <c r="P204" s="44"/>
      <c r="Q204" s="34"/>
      <c r="R204" s="34"/>
      <c r="S204" s="34"/>
      <c r="T204" s="34"/>
    </row>
    <row r="205" ht="15.75" customHeight="1">
      <c r="B205" s="33">
        <v>46183.0</v>
      </c>
      <c r="C205" s="46" t="s">
        <v>3292</v>
      </c>
      <c r="D205" s="35">
        <v>1.0</v>
      </c>
      <c r="E205" s="37">
        <v>600.0</v>
      </c>
      <c r="F205" s="38">
        <f t="shared" si="1"/>
        <v>600</v>
      </c>
      <c r="G205" s="35" t="s">
        <v>3294</v>
      </c>
      <c r="H205" s="35" t="s">
        <v>2318</v>
      </c>
      <c r="I205" s="35" t="s">
        <v>39</v>
      </c>
      <c r="J205" s="35" t="s">
        <v>183</v>
      </c>
      <c r="K205" s="35" t="s">
        <v>35</v>
      </c>
      <c r="L205" s="35" t="s">
        <v>151</v>
      </c>
      <c r="M205" s="39">
        <v>31.0</v>
      </c>
      <c r="N205" s="40">
        <v>46184.0</v>
      </c>
      <c r="O205" s="42" t="b">
        <v>0</v>
      </c>
      <c r="P205" s="44"/>
      <c r="Q205" s="34"/>
      <c r="R205" s="34"/>
      <c r="S205" s="34"/>
      <c r="T205" s="34"/>
    </row>
    <row r="206" ht="15.75" customHeight="1">
      <c r="B206" s="33">
        <v>46183.0</v>
      </c>
      <c r="C206" s="35">
        <v>14205.0</v>
      </c>
      <c r="D206" s="35">
        <v>6.0</v>
      </c>
      <c r="E206" s="37">
        <v>193.5</v>
      </c>
      <c r="F206" s="38">
        <f t="shared" si="1"/>
        <v>1161</v>
      </c>
      <c r="G206" s="35" t="s">
        <v>3296</v>
      </c>
      <c r="H206" s="35" t="s">
        <v>3297</v>
      </c>
      <c r="I206" s="35" t="s">
        <v>77</v>
      </c>
      <c r="J206" s="35" t="s">
        <v>79</v>
      </c>
      <c r="K206" s="35" t="s">
        <v>35</v>
      </c>
      <c r="L206" s="35" t="s">
        <v>279</v>
      </c>
      <c r="M206" s="39">
        <v>1.0</v>
      </c>
      <c r="N206" s="40">
        <v>46184.0</v>
      </c>
      <c r="O206" s="42" t="b">
        <v>1</v>
      </c>
      <c r="P206" s="44"/>
      <c r="Q206" s="34"/>
      <c r="R206" s="34"/>
      <c r="S206" s="34"/>
      <c r="T206" s="34"/>
    </row>
    <row r="207" ht="15.75" customHeight="1">
      <c r="B207" s="33">
        <v>46183.0</v>
      </c>
      <c r="C207" s="35">
        <v>14205.0</v>
      </c>
      <c r="D207" s="35">
        <v>10.0</v>
      </c>
      <c r="E207" s="37">
        <v>36.0</v>
      </c>
      <c r="F207" s="38">
        <f t="shared" si="1"/>
        <v>360</v>
      </c>
      <c r="G207" s="35" t="s">
        <v>3301</v>
      </c>
      <c r="H207" s="35" t="s">
        <v>3302</v>
      </c>
      <c r="I207" s="35" t="s">
        <v>77</v>
      </c>
      <c r="J207" s="35" t="s">
        <v>79</v>
      </c>
      <c r="K207" s="35" t="s">
        <v>35</v>
      </c>
      <c r="L207" s="35" t="s">
        <v>279</v>
      </c>
      <c r="M207" s="39">
        <v>1.0</v>
      </c>
      <c r="N207" s="40">
        <v>46184.0</v>
      </c>
      <c r="O207" s="42" t="b">
        <v>1</v>
      </c>
      <c r="P207" s="44"/>
      <c r="Q207" s="34"/>
      <c r="R207" s="34"/>
      <c r="S207" s="34"/>
      <c r="T207" s="34"/>
    </row>
    <row r="208" ht="15.75" customHeight="1">
      <c r="B208" s="33">
        <v>46183.0</v>
      </c>
      <c r="C208" s="46" t="s">
        <v>3303</v>
      </c>
      <c r="D208" s="35">
        <v>100.0</v>
      </c>
      <c r="E208" s="37">
        <v>9.0</v>
      </c>
      <c r="F208" s="38">
        <f t="shared" si="1"/>
        <v>900</v>
      </c>
      <c r="G208" s="35" t="s">
        <v>3304</v>
      </c>
      <c r="H208" s="35" t="s">
        <v>3305</v>
      </c>
      <c r="I208" s="35" t="s">
        <v>77</v>
      </c>
      <c r="J208" s="35" t="s">
        <v>79</v>
      </c>
      <c r="K208" s="35" t="s">
        <v>35</v>
      </c>
      <c r="L208" s="35" t="s">
        <v>87</v>
      </c>
      <c r="M208" s="39">
        <v>1.0</v>
      </c>
      <c r="N208" s="40">
        <v>46197.0</v>
      </c>
      <c r="O208" s="42" t="b">
        <v>1</v>
      </c>
      <c r="P208" s="44"/>
      <c r="Q208" s="34"/>
      <c r="R208" s="34"/>
      <c r="S208" s="34"/>
      <c r="T208" s="34"/>
    </row>
    <row r="209" ht="15.75" customHeight="1">
      <c r="B209" s="33">
        <v>46183.0</v>
      </c>
      <c r="C209" s="46" t="s">
        <v>3303</v>
      </c>
      <c r="D209" s="35">
        <v>100.0</v>
      </c>
      <c r="E209" s="37">
        <v>40.5</v>
      </c>
      <c r="F209" s="38">
        <f t="shared" si="1"/>
        <v>4050</v>
      </c>
      <c r="G209" s="35" t="s">
        <v>3306</v>
      </c>
      <c r="H209" s="35" t="s">
        <v>3307</v>
      </c>
      <c r="I209" s="35" t="s">
        <v>77</v>
      </c>
      <c r="J209" s="35" t="s">
        <v>79</v>
      </c>
      <c r="K209" s="35" t="s">
        <v>35</v>
      </c>
      <c r="L209" s="35" t="s">
        <v>87</v>
      </c>
      <c r="M209" s="39">
        <v>1.0</v>
      </c>
      <c r="N209" s="40">
        <v>46197.0</v>
      </c>
      <c r="O209" s="42" t="b">
        <v>1</v>
      </c>
      <c r="P209" s="44"/>
      <c r="Q209" s="34"/>
      <c r="R209" s="34"/>
      <c r="S209" s="34"/>
      <c r="T209" s="34"/>
    </row>
    <row r="210" ht="15.75" customHeight="1">
      <c r="B210" s="33">
        <v>46183.0</v>
      </c>
      <c r="C210" s="46" t="s">
        <v>3303</v>
      </c>
      <c r="D210" s="35">
        <v>50.0</v>
      </c>
      <c r="E210" s="37">
        <v>44.5</v>
      </c>
      <c r="F210" s="38">
        <f t="shared" si="1"/>
        <v>2225</v>
      </c>
      <c r="G210" s="35" t="s">
        <v>3308</v>
      </c>
      <c r="H210" s="35" t="s">
        <v>3309</v>
      </c>
      <c r="I210" s="35" t="s">
        <v>77</v>
      </c>
      <c r="J210" s="35" t="s">
        <v>79</v>
      </c>
      <c r="K210" s="35" t="s">
        <v>35</v>
      </c>
      <c r="L210" s="35" t="s">
        <v>87</v>
      </c>
      <c r="M210" s="39">
        <v>1.0</v>
      </c>
      <c r="N210" s="40">
        <v>46197.0</v>
      </c>
      <c r="O210" s="42" t="b">
        <v>1</v>
      </c>
      <c r="P210" s="44"/>
      <c r="Q210" s="34"/>
      <c r="R210" s="34"/>
      <c r="S210" s="34"/>
      <c r="T210" s="34"/>
    </row>
    <row r="211" ht="15.75" customHeight="1">
      <c r="B211" s="33">
        <v>46183.0</v>
      </c>
      <c r="C211" s="46" t="s">
        <v>3303</v>
      </c>
      <c r="D211" s="35">
        <v>100.0</v>
      </c>
      <c r="E211" s="37">
        <v>44.5</v>
      </c>
      <c r="F211" s="38">
        <f t="shared" si="1"/>
        <v>4450</v>
      </c>
      <c r="G211" s="35" t="s">
        <v>3310</v>
      </c>
      <c r="H211" s="35" t="s">
        <v>3311</v>
      </c>
      <c r="I211" s="35" t="s">
        <v>77</v>
      </c>
      <c r="J211" s="35" t="s">
        <v>79</v>
      </c>
      <c r="K211" s="35" t="s">
        <v>35</v>
      </c>
      <c r="L211" s="35" t="s">
        <v>87</v>
      </c>
      <c r="M211" s="39">
        <v>1.0</v>
      </c>
      <c r="N211" s="40">
        <v>46197.0</v>
      </c>
      <c r="O211" s="42" t="b">
        <v>1</v>
      </c>
      <c r="P211" s="44"/>
      <c r="Q211" s="34"/>
      <c r="R211" s="34"/>
      <c r="S211" s="34"/>
      <c r="T211" s="34"/>
    </row>
    <row r="212" ht="15.75" customHeight="1">
      <c r="B212" s="33">
        <v>46183.0</v>
      </c>
      <c r="C212" s="35">
        <v>613108.0</v>
      </c>
      <c r="D212" s="35">
        <v>100.0</v>
      </c>
      <c r="E212" s="37">
        <v>28.0</v>
      </c>
      <c r="F212" s="38">
        <f t="shared" si="1"/>
        <v>2800</v>
      </c>
      <c r="G212" s="35" t="s">
        <v>3312</v>
      </c>
      <c r="H212" s="35" t="s">
        <v>1799</v>
      </c>
      <c r="I212" s="35" t="s">
        <v>41</v>
      </c>
      <c r="J212" s="35" t="s">
        <v>34</v>
      </c>
      <c r="K212" s="35" t="s">
        <v>35</v>
      </c>
      <c r="L212" s="35" t="s">
        <v>160</v>
      </c>
      <c r="M212" s="39">
        <v>1.0</v>
      </c>
      <c r="N212" s="40">
        <v>46189.0</v>
      </c>
      <c r="O212" s="42" t="b">
        <v>1</v>
      </c>
      <c r="P212" s="44">
        <v>46190.0</v>
      </c>
      <c r="Q212" s="34"/>
      <c r="R212" s="34"/>
      <c r="S212" s="34"/>
      <c r="T212" s="34"/>
    </row>
    <row r="213" ht="15.75" customHeight="1">
      <c r="B213" s="33">
        <v>46183.0</v>
      </c>
      <c r="C213" s="35">
        <v>10122.0</v>
      </c>
      <c r="D213" s="35">
        <v>1500.0</v>
      </c>
      <c r="E213" s="37">
        <v>80.0</v>
      </c>
      <c r="F213" s="38">
        <f t="shared" si="1"/>
        <v>120000</v>
      </c>
      <c r="G213" s="35" t="s">
        <v>3313</v>
      </c>
      <c r="H213" s="35" t="s">
        <v>1151</v>
      </c>
      <c r="I213" s="35" t="s">
        <v>59</v>
      </c>
      <c r="J213" s="35" t="s">
        <v>34</v>
      </c>
      <c r="K213" s="35" t="s">
        <v>35</v>
      </c>
      <c r="L213" s="35" t="s">
        <v>87</v>
      </c>
      <c r="M213" s="39">
        <v>1.0</v>
      </c>
      <c r="N213" s="51" t="str">
        <f>IF(B213&lt;TODAY()-2,"ATRASADO","EM DIA")</f>
        <v>ATRASADO</v>
      </c>
      <c r="O213" s="42" t="b">
        <v>0</v>
      </c>
      <c r="P213" s="44"/>
      <c r="Q213" s="34"/>
      <c r="R213" s="34"/>
      <c r="S213" s="34"/>
      <c r="T213" s="34"/>
    </row>
    <row r="214" ht="15.75" customHeight="1">
      <c r="B214" s="33">
        <v>46183.0</v>
      </c>
      <c r="C214" s="35">
        <v>10122.0</v>
      </c>
      <c r="D214" s="35">
        <v>500.0</v>
      </c>
      <c r="E214" s="37">
        <v>80.0</v>
      </c>
      <c r="F214" s="38">
        <f t="shared" si="1"/>
        <v>40000</v>
      </c>
      <c r="G214" s="35" t="s">
        <v>3313</v>
      </c>
      <c r="H214" s="35" t="s">
        <v>1151</v>
      </c>
      <c r="I214" s="35" t="s">
        <v>59</v>
      </c>
      <c r="J214" s="35" t="s">
        <v>40</v>
      </c>
      <c r="K214" s="35" t="s">
        <v>35</v>
      </c>
      <c r="L214" s="35" t="s">
        <v>87</v>
      </c>
      <c r="M214" s="39">
        <v>1.0</v>
      </c>
      <c r="N214" s="40">
        <v>46188.0</v>
      </c>
      <c r="O214" s="42" t="b">
        <v>1</v>
      </c>
      <c r="P214" s="44">
        <v>46188.0</v>
      </c>
      <c r="Q214" s="34"/>
      <c r="R214" s="34"/>
      <c r="S214" s="34"/>
      <c r="T214" s="34"/>
    </row>
    <row r="215" ht="15.75" customHeight="1">
      <c r="B215" s="33">
        <v>46183.0</v>
      </c>
      <c r="C215" s="58">
        <v>2126.0</v>
      </c>
      <c r="D215" s="35">
        <v>2.0</v>
      </c>
      <c r="E215" s="37">
        <v>1899.0</v>
      </c>
      <c r="F215" s="38">
        <f t="shared" si="1"/>
        <v>3798</v>
      </c>
      <c r="G215" s="35" t="s">
        <v>3314</v>
      </c>
      <c r="H215" s="35">
        <v>96635.0</v>
      </c>
      <c r="I215" s="35" t="s">
        <v>174</v>
      </c>
      <c r="J215" s="35" t="s">
        <v>175</v>
      </c>
      <c r="K215" s="35" t="s">
        <v>35</v>
      </c>
      <c r="L215" s="35" t="s">
        <v>2400</v>
      </c>
      <c r="M215" s="39">
        <v>1.0</v>
      </c>
      <c r="N215" s="40">
        <v>46184.0</v>
      </c>
      <c r="O215" s="42" t="b">
        <v>1</v>
      </c>
      <c r="P215" s="44">
        <v>46184.0</v>
      </c>
      <c r="Q215" s="34"/>
      <c r="R215" s="34"/>
      <c r="S215" s="34"/>
      <c r="T215" s="34"/>
    </row>
    <row r="216" ht="15.75" customHeight="1">
      <c r="B216" s="33">
        <v>46183.0</v>
      </c>
      <c r="C216" s="58">
        <v>5153.0</v>
      </c>
      <c r="D216" s="35">
        <v>2.0</v>
      </c>
      <c r="E216" s="37">
        <v>1899.0</v>
      </c>
      <c r="F216" s="38">
        <f t="shared" si="1"/>
        <v>3798</v>
      </c>
      <c r="G216" s="35" t="s">
        <v>3314</v>
      </c>
      <c r="H216" s="35">
        <v>96635.0</v>
      </c>
      <c r="I216" s="35" t="s">
        <v>174</v>
      </c>
      <c r="J216" s="35" t="s">
        <v>175</v>
      </c>
      <c r="K216" s="35" t="s">
        <v>35</v>
      </c>
      <c r="L216" s="35" t="s">
        <v>2400</v>
      </c>
      <c r="M216" s="39">
        <v>1.0</v>
      </c>
      <c r="N216" s="40">
        <v>46184.0</v>
      </c>
      <c r="O216" s="42" t="b">
        <v>1</v>
      </c>
      <c r="P216" s="44">
        <v>46184.0</v>
      </c>
      <c r="Q216" s="34"/>
      <c r="R216" s="34"/>
      <c r="S216" s="34"/>
      <c r="T216" s="35"/>
    </row>
    <row r="217" ht="15.75" customHeight="1">
      <c r="B217" s="33">
        <v>46183.0</v>
      </c>
      <c r="C217" s="35">
        <v>921326.0</v>
      </c>
      <c r="D217" s="35">
        <v>100.0</v>
      </c>
      <c r="E217" s="37">
        <v>135.0</v>
      </c>
      <c r="F217" s="38">
        <f t="shared" si="1"/>
        <v>13500</v>
      </c>
      <c r="G217" s="35" t="s">
        <v>3039</v>
      </c>
      <c r="H217" s="35">
        <v>57944.0</v>
      </c>
      <c r="I217" s="35" t="s">
        <v>59</v>
      </c>
      <c r="J217" s="35" t="s">
        <v>34</v>
      </c>
      <c r="K217" s="35" t="s">
        <v>35</v>
      </c>
      <c r="L217" s="35" t="s">
        <v>43</v>
      </c>
      <c r="M217" s="39">
        <v>31.0</v>
      </c>
      <c r="N217" s="40">
        <v>46190.0</v>
      </c>
      <c r="O217" s="42" t="b">
        <v>1</v>
      </c>
      <c r="P217" s="44">
        <v>46191.0</v>
      </c>
      <c r="Q217" s="34"/>
      <c r="R217" s="34"/>
      <c r="S217" s="34"/>
      <c r="T217" s="35"/>
    </row>
    <row r="218" ht="15.75" customHeight="1">
      <c r="B218" s="33">
        <v>46183.0</v>
      </c>
      <c r="C218" s="35">
        <v>921326.0</v>
      </c>
      <c r="D218" s="35">
        <v>350.0</v>
      </c>
      <c r="E218" s="37">
        <v>135.0</v>
      </c>
      <c r="F218" s="38">
        <f t="shared" si="1"/>
        <v>47250</v>
      </c>
      <c r="G218" s="35" t="s">
        <v>3315</v>
      </c>
      <c r="H218" s="35">
        <v>57966.0</v>
      </c>
      <c r="I218" s="35" t="s">
        <v>59</v>
      </c>
      <c r="J218" s="35" t="s">
        <v>34</v>
      </c>
      <c r="K218" s="35" t="s">
        <v>35</v>
      </c>
      <c r="L218" s="35" t="s">
        <v>43</v>
      </c>
      <c r="M218" s="39">
        <v>31.0</v>
      </c>
      <c r="N218" s="40">
        <v>46190.0</v>
      </c>
      <c r="O218" s="42" t="b">
        <v>1</v>
      </c>
      <c r="P218" s="44">
        <v>46191.0</v>
      </c>
      <c r="Q218" s="34"/>
      <c r="R218" s="34"/>
      <c r="S218" s="34"/>
      <c r="T218" s="34"/>
    </row>
    <row r="219" ht="15.75" customHeight="1">
      <c r="B219" s="33">
        <v>46183.0</v>
      </c>
      <c r="C219" s="35" t="s">
        <v>35</v>
      </c>
      <c r="D219" s="35">
        <v>3.0</v>
      </c>
      <c r="E219" s="37">
        <v>810.0</v>
      </c>
      <c r="F219" s="38">
        <f t="shared" si="1"/>
        <v>2430</v>
      </c>
      <c r="G219" s="35" t="s">
        <v>2729</v>
      </c>
      <c r="H219" s="35" t="s">
        <v>35</v>
      </c>
      <c r="I219" s="35" t="s">
        <v>41</v>
      </c>
      <c r="J219" s="35" t="s">
        <v>34</v>
      </c>
      <c r="K219" s="35" t="s">
        <v>35</v>
      </c>
      <c r="L219" s="35" t="s">
        <v>1676</v>
      </c>
      <c r="M219" s="39">
        <v>31.0</v>
      </c>
      <c r="N219" s="40">
        <v>46185.0</v>
      </c>
      <c r="O219" s="42" t="b">
        <v>1</v>
      </c>
      <c r="P219" s="44">
        <v>46185.0</v>
      </c>
      <c r="Q219" s="34"/>
      <c r="R219" s="35" t="s">
        <v>3316</v>
      </c>
      <c r="S219" s="34"/>
      <c r="T219" s="34"/>
    </row>
    <row r="220" ht="15.75" customHeight="1">
      <c r="B220" s="33">
        <v>46183.0</v>
      </c>
      <c r="C220" s="35">
        <v>14150.0</v>
      </c>
      <c r="D220" s="35">
        <v>800.0</v>
      </c>
      <c r="E220" s="37">
        <v>12.058</v>
      </c>
      <c r="F220" s="38">
        <f t="shared" si="1"/>
        <v>9646.4</v>
      </c>
      <c r="G220" s="35" t="s">
        <v>3317</v>
      </c>
      <c r="H220" s="35" t="s">
        <v>35</v>
      </c>
      <c r="I220" s="35" t="s">
        <v>35</v>
      </c>
      <c r="J220" s="35" t="s">
        <v>35</v>
      </c>
      <c r="K220" s="35" t="s">
        <v>35</v>
      </c>
      <c r="L220" s="35" t="s">
        <v>2086</v>
      </c>
      <c r="M220" s="39">
        <v>31.0</v>
      </c>
      <c r="N220" s="40">
        <v>46185.0</v>
      </c>
      <c r="O220" s="42" t="b">
        <v>0</v>
      </c>
      <c r="P220" s="44"/>
      <c r="Q220" s="34"/>
      <c r="R220" s="34"/>
      <c r="S220" s="34"/>
      <c r="T220" s="34"/>
    </row>
    <row r="221" ht="15.75" customHeight="1">
      <c r="B221" s="33">
        <v>46183.0</v>
      </c>
      <c r="C221" s="35">
        <v>14150.0</v>
      </c>
      <c r="D221" s="35">
        <v>600.0</v>
      </c>
      <c r="E221" s="37">
        <v>20.134</v>
      </c>
      <c r="F221" s="38">
        <f t="shared" si="1"/>
        <v>12080.4</v>
      </c>
      <c r="G221" s="35" t="s">
        <v>3318</v>
      </c>
      <c r="H221" s="35" t="s">
        <v>35</v>
      </c>
      <c r="I221" s="35" t="s">
        <v>35</v>
      </c>
      <c r="J221" s="35" t="s">
        <v>35</v>
      </c>
      <c r="K221" s="35" t="s">
        <v>35</v>
      </c>
      <c r="L221" s="35" t="s">
        <v>2086</v>
      </c>
      <c r="M221" s="39">
        <v>31.0</v>
      </c>
      <c r="N221" s="40">
        <v>46185.0</v>
      </c>
      <c r="O221" s="42" t="b">
        <v>0</v>
      </c>
      <c r="P221" s="44"/>
      <c r="Q221" s="34"/>
      <c r="R221" s="34"/>
      <c r="S221" s="34"/>
      <c r="T221" s="34"/>
    </row>
    <row r="222" ht="15.75" customHeight="1">
      <c r="B222" s="33">
        <v>46183.0</v>
      </c>
      <c r="C222" s="35">
        <v>14150.0</v>
      </c>
      <c r="D222" s="35">
        <v>300.0</v>
      </c>
      <c r="E222" s="37">
        <v>14.31</v>
      </c>
      <c r="F222" s="38">
        <f t="shared" si="1"/>
        <v>4293</v>
      </c>
      <c r="G222" s="35" t="s">
        <v>3319</v>
      </c>
      <c r="H222" s="35" t="s">
        <v>35</v>
      </c>
      <c r="I222" s="35" t="s">
        <v>35</v>
      </c>
      <c r="J222" s="35" t="s">
        <v>35</v>
      </c>
      <c r="K222" s="35" t="s">
        <v>35</v>
      </c>
      <c r="L222" s="35" t="s">
        <v>2086</v>
      </c>
      <c r="M222" s="39">
        <v>31.0</v>
      </c>
      <c r="N222" s="40">
        <v>46185.0</v>
      </c>
      <c r="O222" s="42" t="b">
        <v>0</v>
      </c>
      <c r="P222" s="44"/>
      <c r="Q222" s="34"/>
      <c r="R222" s="34"/>
      <c r="S222" s="34"/>
      <c r="T222" s="34"/>
    </row>
    <row r="223" ht="15.75" customHeight="1">
      <c r="B223" s="33">
        <v>46183.0</v>
      </c>
      <c r="C223" s="35">
        <v>106716.0</v>
      </c>
      <c r="D223" s="35">
        <v>20.0</v>
      </c>
      <c r="E223" s="37">
        <v>666.39</v>
      </c>
      <c r="F223" s="38">
        <f t="shared" si="1"/>
        <v>13327.8</v>
      </c>
      <c r="G223" s="35" t="s">
        <v>3320</v>
      </c>
      <c r="H223" s="35" t="s">
        <v>35</v>
      </c>
      <c r="I223" s="35" t="s">
        <v>39</v>
      </c>
      <c r="J223" s="35" t="s">
        <v>40</v>
      </c>
      <c r="K223" s="35" t="s">
        <v>35</v>
      </c>
      <c r="L223" s="35" t="s">
        <v>68</v>
      </c>
      <c r="M223" s="39">
        <v>31.0</v>
      </c>
      <c r="N223" s="40">
        <v>46188.0</v>
      </c>
      <c r="O223" s="42" t="b">
        <v>1</v>
      </c>
      <c r="P223" s="44">
        <v>46190.0</v>
      </c>
      <c r="Q223" s="34"/>
      <c r="R223" s="34"/>
      <c r="S223" s="34"/>
      <c r="T223" s="34"/>
    </row>
    <row r="224" ht="15.75" customHeight="1">
      <c r="B224" s="33">
        <v>46183.0</v>
      </c>
      <c r="C224" s="35">
        <v>19315.0</v>
      </c>
      <c r="D224" s="35">
        <v>60.0</v>
      </c>
      <c r="E224" s="37">
        <v>7.51</v>
      </c>
      <c r="F224" s="38">
        <f t="shared" si="1"/>
        <v>450.6</v>
      </c>
      <c r="G224" s="35" t="s">
        <v>3321</v>
      </c>
      <c r="H224" s="35" t="s">
        <v>663</v>
      </c>
      <c r="I224" s="35" t="s">
        <v>41</v>
      </c>
      <c r="J224" s="35" t="s">
        <v>34</v>
      </c>
      <c r="K224" s="35" t="s">
        <v>35</v>
      </c>
      <c r="L224" s="35" t="s">
        <v>96</v>
      </c>
      <c r="M224" s="39">
        <v>31.0</v>
      </c>
      <c r="N224" s="40">
        <v>46189.0</v>
      </c>
      <c r="O224" s="42" t="b">
        <v>0</v>
      </c>
      <c r="P224" s="44"/>
      <c r="Q224" s="34"/>
      <c r="R224" s="34"/>
      <c r="S224" s="34"/>
      <c r="T224" s="34"/>
    </row>
    <row r="225" ht="15.75" customHeight="1">
      <c r="B225" s="33">
        <v>46183.0</v>
      </c>
      <c r="C225" s="35">
        <v>19315.0</v>
      </c>
      <c r="D225" s="35">
        <v>60.0</v>
      </c>
      <c r="E225" s="37">
        <v>6.18</v>
      </c>
      <c r="F225" s="38">
        <f t="shared" si="1"/>
        <v>370.8</v>
      </c>
      <c r="G225" s="35" t="s">
        <v>3322</v>
      </c>
      <c r="H225" s="35" t="s">
        <v>907</v>
      </c>
      <c r="I225" s="35" t="s">
        <v>41</v>
      </c>
      <c r="J225" s="35" t="s">
        <v>34</v>
      </c>
      <c r="K225" s="35" t="s">
        <v>35</v>
      </c>
      <c r="L225" s="35" t="s">
        <v>96</v>
      </c>
      <c r="M225" s="39">
        <v>31.0</v>
      </c>
      <c r="N225" s="40">
        <v>46189.0</v>
      </c>
      <c r="O225" s="42" t="b">
        <v>0</v>
      </c>
      <c r="P225" s="44"/>
      <c r="Q225" s="34"/>
      <c r="R225" s="34"/>
      <c r="S225" s="34"/>
      <c r="T225" s="34"/>
    </row>
    <row r="226" ht="15.75" customHeight="1">
      <c r="B226" s="33">
        <v>46183.0</v>
      </c>
      <c r="C226" s="35">
        <v>19315.0</v>
      </c>
      <c r="D226" s="35">
        <v>10.0</v>
      </c>
      <c r="E226" s="37">
        <v>132.91</v>
      </c>
      <c r="F226" s="38">
        <f t="shared" si="1"/>
        <v>1329.1</v>
      </c>
      <c r="G226" s="35" t="s">
        <v>3323</v>
      </c>
      <c r="H226" s="35" t="s">
        <v>846</v>
      </c>
      <c r="I226" s="35" t="s">
        <v>41</v>
      </c>
      <c r="J226" s="35" t="s">
        <v>34</v>
      </c>
      <c r="K226" s="35" t="s">
        <v>35</v>
      </c>
      <c r="L226" s="35" t="s">
        <v>96</v>
      </c>
      <c r="M226" s="39">
        <v>31.0</v>
      </c>
      <c r="N226" s="40">
        <v>46189.0</v>
      </c>
      <c r="O226" s="42" t="b">
        <v>0</v>
      </c>
      <c r="P226" s="44"/>
      <c r="Q226" s="34"/>
      <c r="R226" s="34"/>
      <c r="S226" s="34"/>
      <c r="T226" s="34"/>
    </row>
    <row r="227" ht="15.75" customHeight="1">
      <c r="B227" s="33">
        <v>46183.0</v>
      </c>
      <c r="C227" s="35">
        <v>19315.0</v>
      </c>
      <c r="D227" s="35">
        <v>3.0</v>
      </c>
      <c r="E227" s="37">
        <v>256.41</v>
      </c>
      <c r="F227" s="38">
        <f t="shared" si="1"/>
        <v>769.23</v>
      </c>
      <c r="G227" s="35" t="s">
        <v>3324</v>
      </c>
      <c r="H227" s="35" t="s">
        <v>200</v>
      </c>
      <c r="I227" s="35" t="s">
        <v>41</v>
      </c>
      <c r="J227" s="35" t="s">
        <v>34</v>
      </c>
      <c r="K227" s="35" t="s">
        <v>35</v>
      </c>
      <c r="L227" s="35" t="s">
        <v>96</v>
      </c>
      <c r="M227" s="39">
        <v>31.0</v>
      </c>
      <c r="N227" s="40">
        <v>46189.0</v>
      </c>
      <c r="O227" s="42" t="b">
        <v>0</v>
      </c>
      <c r="P227" s="44"/>
      <c r="Q227" s="34"/>
      <c r="R227" s="34"/>
      <c r="S227" s="34"/>
      <c r="T227" s="34"/>
    </row>
    <row r="228" ht="15.75" customHeight="1">
      <c r="B228" s="33">
        <v>46183.0</v>
      </c>
      <c r="C228" s="35">
        <v>19315.0</v>
      </c>
      <c r="D228" s="35">
        <v>100.0</v>
      </c>
      <c r="E228" s="37">
        <v>8.54</v>
      </c>
      <c r="F228" s="38">
        <f t="shared" si="1"/>
        <v>854</v>
      </c>
      <c r="G228" s="35" t="s">
        <v>3325</v>
      </c>
      <c r="H228" s="35" t="s">
        <v>2144</v>
      </c>
      <c r="I228" s="35" t="s">
        <v>41</v>
      </c>
      <c r="J228" s="35" t="s">
        <v>34</v>
      </c>
      <c r="K228" s="35" t="s">
        <v>35</v>
      </c>
      <c r="L228" s="35" t="s">
        <v>96</v>
      </c>
      <c r="M228" s="39">
        <v>31.0</v>
      </c>
      <c r="N228" s="40">
        <v>46189.0</v>
      </c>
      <c r="O228" s="42" t="b">
        <v>0</v>
      </c>
      <c r="P228" s="44"/>
      <c r="Q228" s="34"/>
      <c r="R228" s="34"/>
      <c r="S228" s="34"/>
      <c r="T228" s="34"/>
    </row>
    <row r="229" ht="15.75" customHeight="1">
      <c r="B229" s="33">
        <v>46183.0</v>
      </c>
      <c r="C229" s="35">
        <v>19315.0</v>
      </c>
      <c r="D229" s="35">
        <v>10.0</v>
      </c>
      <c r="E229" s="37">
        <v>85.41</v>
      </c>
      <c r="F229" s="38">
        <f t="shared" si="1"/>
        <v>854.1</v>
      </c>
      <c r="G229" s="35" t="s">
        <v>207</v>
      </c>
      <c r="H229" s="35" t="s">
        <v>208</v>
      </c>
      <c r="I229" s="35" t="s">
        <v>41</v>
      </c>
      <c r="J229" s="35" t="s">
        <v>34</v>
      </c>
      <c r="K229" s="35" t="s">
        <v>35</v>
      </c>
      <c r="L229" s="35" t="s">
        <v>96</v>
      </c>
      <c r="M229" s="39">
        <v>31.0</v>
      </c>
      <c r="N229" s="40">
        <v>46189.0</v>
      </c>
      <c r="O229" s="42" t="b">
        <v>0</v>
      </c>
      <c r="P229" s="44"/>
      <c r="Q229" s="34"/>
      <c r="R229" s="34"/>
      <c r="S229" s="34"/>
      <c r="T229" s="34"/>
    </row>
    <row r="230" ht="15.75" customHeight="1">
      <c r="B230" s="33">
        <v>46184.0</v>
      </c>
      <c r="C230" s="35">
        <v>19328.0</v>
      </c>
      <c r="D230" s="35">
        <v>60.0</v>
      </c>
      <c r="E230" s="37">
        <v>44.64</v>
      </c>
      <c r="F230" s="38">
        <f t="shared" si="1"/>
        <v>2678.4</v>
      </c>
      <c r="G230" s="35" t="s">
        <v>717</v>
      </c>
      <c r="H230" s="35" t="s">
        <v>718</v>
      </c>
      <c r="I230" s="35" t="s">
        <v>240</v>
      </c>
      <c r="J230" s="35" t="s">
        <v>34</v>
      </c>
      <c r="K230" s="35" t="s">
        <v>35</v>
      </c>
      <c r="L230" s="35" t="s">
        <v>210</v>
      </c>
      <c r="M230" s="39">
        <v>31.0</v>
      </c>
      <c r="N230" s="40">
        <v>46185.0</v>
      </c>
      <c r="O230" s="42" t="b">
        <v>1</v>
      </c>
      <c r="P230" s="44">
        <v>46188.0</v>
      </c>
      <c r="Q230" s="34"/>
      <c r="R230" s="34"/>
      <c r="S230" s="34"/>
      <c r="T230" s="34"/>
    </row>
    <row r="231" ht="15.75" customHeight="1">
      <c r="B231" s="33">
        <v>46184.0</v>
      </c>
      <c r="C231" s="35" t="s">
        <v>35</v>
      </c>
      <c r="D231" s="35">
        <v>50.0</v>
      </c>
      <c r="E231" s="37">
        <v>914.03</v>
      </c>
      <c r="F231" s="38">
        <f t="shared" si="1"/>
        <v>45701.5</v>
      </c>
      <c r="G231" s="35" t="s">
        <v>3326</v>
      </c>
      <c r="H231" s="35" t="s">
        <v>3249</v>
      </c>
      <c r="I231" s="35" t="s">
        <v>59</v>
      </c>
      <c r="J231" s="35" t="s">
        <v>34</v>
      </c>
      <c r="K231" s="35" t="s">
        <v>35</v>
      </c>
      <c r="L231" s="35" t="s">
        <v>365</v>
      </c>
      <c r="M231" s="39">
        <v>1.0</v>
      </c>
      <c r="N231" s="40">
        <v>46199.0</v>
      </c>
      <c r="O231" s="42" t="b">
        <v>1</v>
      </c>
      <c r="P231" s="44">
        <v>46192.0</v>
      </c>
      <c r="Q231" s="34"/>
      <c r="R231" s="34"/>
      <c r="S231" s="34"/>
      <c r="T231" s="35"/>
    </row>
    <row r="232" ht="15.75" customHeight="1">
      <c r="B232" s="33">
        <v>46184.0</v>
      </c>
      <c r="C232" s="35">
        <v>1060821.0</v>
      </c>
      <c r="D232" s="35">
        <v>50.0</v>
      </c>
      <c r="E232" s="37">
        <v>539.9</v>
      </c>
      <c r="F232" s="38">
        <f t="shared" si="1"/>
        <v>26995</v>
      </c>
      <c r="G232" s="35" t="s">
        <v>3327</v>
      </c>
      <c r="H232" s="35" t="s">
        <v>3328</v>
      </c>
      <c r="I232" s="35" t="s">
        <v>673</v>
      </c>
      <c r="J232" s="35" t="s">
        <v>175</v>
      </c>
      <c r="K232" s="35" t="s">
        <v>35</v>
      </c>
      <c r="L232" s="35" t="s">
        <v>3329</v>
      </c>
      <c r="M232" s="39">
        <v>1.0</v>
      </c>
      <c r="N232" s="40">
        <v>46189.0</v>
      </c>
      <c r="O232" s="42" t="b">
        <v>1</v>
      </c>
      <c r="P232" s="44">
        <v>46190.0</v>
      </c>
      <c r="Q232" s="34"/>
      <c r="R232" s="34"/>
      <c r="S232" s="34"/>
      <c r="T232" s="34"/>
    </row>
    <row r="233" ht="15.75" customHeight="1">
      <c r="B233" s="33">
        <v>46184.0</v>
      </c>
      <c r="C233" s="35">
        <v>921437.0</v>
      </c>
      <c r="D233" s="35">
        <v>1000.0</v>
      </c>
      <c r="E233" s="37">
        <v>109.0</v>
      </c>
      <c r="F233" s="38">
        <f t="shared" si="1"/>
        <v>109000</v>
      </c>
      <c r="G233" s="35" t="s">
        <v>3330</v>
      </c>
      <c r="H233" s="35">
        <v>69343.0</v>
      </c>
      <c r="I233" s="35" t="s">
        <v>41</v>
      </c>
      <c r="J233" s="35" t="s">
        <v>40</v>
      </c>
      <c r="K233" s="35" t="s">
        <v>35</v>
      </c>
      <c r="L233" s="35" t="s">
        <v>43</v>
      </c>
      <c r="M233" s="39">
        <v>31.0</v>
      </c>
      <c r="N233" s="40">
        <v>46198.0</v>
      </c>
      <c r="O233" s="42" t="b">
        <v>1</v>
      </c>
      <c r="P233" s="44">
        <v>46198.0</v>
      </c>
      <c r="Q233" s="34"/>
      <c r="R233" s="34"/>
      <c r="S233" s="34"/>
      <c r="T233" s="34"/>
    </row>
    <row r="234" ht="15.75" customHeight="1">
      <c r="B234" s="33">
        <v>46184.0</v>
      </c>
      <c r="C234" s="35">
        <v>921450.0</v>
      </c>
      <c r="D234" s="35">
        <v>500.0</v>
      </c>
      <c r="E234" s="37">
        <v>2.75</v>
      </c>
      <c r="F234" s="38">
        <f t="shared" si="1"/>
        <v>1375</v>
      </c>
      <c r="G234" s="35" t="s">
        <v>3331</v>
      </c>
      <c r="H234" s="35">
        <v>44561.0</v>
      </c>
      <c r="I234" s="35" t="s">
        <v>41</v>
      </c>
      <c r="J234" s="35" t="s">
        <v>34</v>
      </c>
      <c r="K234" s="35" t="s">
        <v>35</v>
      </c>
      <c r="L234" s="35" t="s">
        <v>43</v>
      </c>
      <c r="M234" s="39">
        <v>1.0</v>
      </c>
      <c r="N234" s="40">
        <v>46190.0</v>
      </c>
      <c r="O234" s="42" t="b">
        <v>1</v>
      </c>
      <c r="P234" s="44">
        <v>46191.0</v>
      </c>
      <c r="Q234" s="34"/>
      <c r="R234" s="34"/>
      <c r="S234" s="34"/>
      <c r="T234" s="34"/>
    </row>
    <row r="235" ht="15.75" customHeight="1">
      <c r="B235" s="33">
        <v>46184.0</v>
      </c>
      <c r="C235" s="35">
        <v>921450.0</v>
      </c>
      <c r="D235" s="35">
        <v>500.0</v>
      </c>
      <c r="E235" s="37">
        <v>25.35</v>
      </c>
      <c r="F235" s="38">
        <f t="shared" si="1"/>
        <v>12675</v>
      </c>
      <c r="G235" s="35" t="s">
        <v>3332</v>
      </c>
      <c r="H235" s="35">
        <v>55921.0</v>
      </c>
      <c r="I235" s="35" t="s">
        <v>41</v>
      </c>
      <c r="J235" s="35" t="s">
        <v>34</v>
      </c>
      <c r="K235" s="35" t="s">
        <v>35</v>
      </c>
      <c r="L235" s="35" t="s">
        <v>43</v>
      </c>
      <c r="M235" s="39">
        <v>1.0</v>
      </c>
      <c r="N235" s="40">
        <v>46190.0</v>
      </c>
      <c r="O235" s="42" t="b">
        <v>1</v>
      </c>
      <c r="P235" s="44">
        <v>46191.0</v>
      </c>
      <c r="Q235" s="34"/>
      <c r="R235" s="34"/>
      <c r="S235" s="34"/>
      <c r="T235" s="34"/>
    </row>
    <row r="236" ht="15.75" customHeight="1">
      <c r="B236" s="33">
        <v>46184.0</v>
      </c>
      <c r="C236" s="35">
        <v>921450.0</v>
      </c>
      <c r="D236" s="35">
        <v>500.0</v>
      </c>
      <c r="E236" s="37">
        <v>42.9</v>
      </c>
      <c r="F236" s="38">
        <f t="shared" si="1"/>
        <v>21450</v>
      </c>
      <c r="G236" s="35" t="s">
        <v>3333</v>
      </c>
      <c r="H236" s="35">
        <v>70627.0</v>
      </c>
      <c r="I236" s="35" t="s">
        <v>41</v>
      </c>
      <c r="J236" s="35" t="s">
        <v>34</v>
      </c>
      <c r="K236" s="35" t="s">
        <v>35</v>
      </c>
      <c r="L236" s="35" t="s">
        <v>43</v>
      </c>
      <c r="M236" s="39">
        <v>1.0</v>
      </c>
      <c r="N236" s="40">
        <v>46190.0</v>
      </c>
      <c r="O236" s="42" t="b">
        <v>1</v>
      </c>
      <c r="P236" s="44">
        <v>46191.0</v>
      </c>
      <c r="Q236" s="34"/>
      <c r="R236" s="34"/>
      <c r="S236" s="34"/>
      <c r="T236" s="34"/>
    </row>
    <row r="237" ht="15.75" customHeight="1">
      <c r="B237" s="33">
        <v>46184.0</v>
      </c>
      <c r="C237" s="46" t="s">
        <v>3334</v>
      </c>
      <c r="D237" s="35">
        <v>50.0</v>
      </c>
      <c r="E237" s="37">
        <v>261.0</v>
      </c>
      <c r="F237" s="38">
        <f t="shared" si="1"/>
        <v>13050</v>
      </c>
      <c r="G237" s="35" t="s">
        <v>3335</v>
      </c>
      <c r="H237" s="35" t="s">
        <v>3336</v>
      </c>
      <c r="I237" s="35" t="s">
        <v>673</v>
      </c>
      <c r="J237" s="35" t="s">
        <v>175</v>
      </c>
      <c r="K237" s="35" t="s">
        <v>35</v>
      </c>
      <c r="L237" s="35" t="s">
        <v>46</v>
      </c>
      <c r="M237" s="39">
        <v>1.0</v>
      </c>
      <c r="N237" s="40">
        <v>46199.0</v>
      </c>
      <c r="O237" s="42" t="b">
        <v>1</v>
      </c>
      <c r="P237" s="44">
        <v>46199.0</v>
      </c>
      <c r="Q237" s="34"/>
      <c r="R237" s="34"/>
      <c r="S237" s="34"/>
      <c r="T237" s="34"/>
    </row>
    <row r="238" ht="15.75" customHeight="1">
      <c r="B238" s="33">
        <v>46184.0</v>
      </c>
      <c r="C238" s="46" t="s">
        <v>3337</v>
      </c>
      <c r="D238" s="35">
        <v>50.0</v>
      </c>
      <c r="E238" s="37">
        <v>19.8</v>
      </c>
      <c r="F238" s="38">
        <f t="shared" si="1"/>
        <v>990</v>
      </c>
      <c r="G238" s="35" t="s">
        <v>3338</v>
      </c>
      <c r="H238" s="35" t="s">
        <v>3339</v>
      </c>
      <c r="I238" s="35" t="s">
        <v>41</v>
      </c>
      <c r="J238" s="35" t="s">
        <v>34</v>
      </c>
      <c r="K238" s="35" t="s">
        <v>35</v>
      </c>
      <c r="L238" s="35" t="s">
        <v>62</v>
      </c>
      <c r="M238" s="39">
        <v>1.0</v>
      </c>
      <c r="N238" s="40">
        <v>46188.0</v>
      </c>
      <c r="O238" s="42" t="b">
        <v>0</v>
      </c>
      <c r="P238" s="44">
        <v>46189.0</v>
      </c>
      <c r="Q238" s="34"/>
      <c r="R238" s="34"/>
      <c r="S238" s="34"/>
      <c r="T238" s="34"/>
    </row>
    <row r="239" ht="15.75" customHeight="1">
      <c r="B239" s="33">
        <v>46184.0</v>
      </c>
      <c r="C239" s="35">
        <v>10397.0</v>
      </c>
      <c r="D239" s="35">
        <v>60.0</v>
      </c>
      <c r="E239" s="37">
        <v>110.0</v>
      </c>
      <c r="F239" s="38">
        <f t="shared" si="1"/>
        <v>6600</v>
      </c>
      <c r="G239" s="35" t="s">
        <v>3340</v>
      </c>
      <c r="H239" s="35" t="s">
        <v>3341</v>
      </c>
      <c r="I239" s="35" t="s">
        <v>59</v>
      </c>
      <c r="J239" s="35" t="s">
        <v>34</v>
      </c>
      <c r="K239" s="35" t="s">
        <v>35</v>
      </c>
      <c r="L239" s="35" t="s">
        <v>87</v>
      </c>
      <c r="M239" s="39">
        <v>31.0</v>
      </c>
      <c r="N239" s="40">
        <v>46185.0</v>
      </c>
      <c r="O239" s="42" t="b">
        <v>1</v>
      </c>
      <c r="P239" s="44">
        <v>46185.0</v>
      </c>
      <c r="Q239" s="34"/>
      <c r="R239" s="34"/>
      <c r="S239" s="34"/>
      <c r="T239" s="34"/>
    </row>
    <row r="240" ht="15.75" customHeight="1">
      <c r="B240" s="33">
        <v>46184.0</v>
      </c>
      <c r="C240" s="35">
        <v>10399.0</v>
      </c>
      <c r="D240" s="35">
        <v>300.0</v>
      </c>
      <c r="E240" s="37">
        <v>80.0</v>
      </c>
      <c r="F240" s="38">
        <f t="shared" si="1"/>
        <v>24000</v>
      </c>
      <c r="G240" s="35" t="s">
        <v>3342</v>
      </c>
      <c r="H240" s="35" t="s">
        <v>3343</v>
      </c>
      <c r="I240" s="35" t="s">
        <v>59</v>
      </c>
      <c r="J240" s="35" t="s">
        <v>34</v>
      </c>
      <c r="K240" s="35" t="s">
        <v>35</v>
      </c>
      <c r="L240" s="35" t="s">
        <v>87</v>
      </c>
      <c r="M240" s="39">
        <v>31.0</v>
      </c>
      <c r="N240" s="40">
        <v>46185.0</v>
      </c>
      <c r="O240" s="42" t="b">
        <v>1</v>
      </c>
      <c r="P240" s="44">
        <v>46185.0</v>
      </c>
      <c r="Q240" s="34"/>
      <c r="R240" s="34"/>
      <c r="S240" s="34"/>
      <c r="T240" s="34"/>
    </row>
    <row r="241" ht="15.75" customHeight="1">
      <c r="B241" s="33">
        <v>46184.0</v>
      </c>
      <c r="C241" s="35">
        <v>10398.0</v>
      </c>
      <c r="D241" s="35">
        <v>200.0</v>
      </c>
      <c r="E241" s="37">
        <v>4.0</v>
      </c>
      <c r="F241" s="38">
        <f t="shared" si="1"/>
        <v>800</v>
      </c>
      <c r="G241" s="35" t="s">
        <v>3344</v>
      </c>
      <c r="H241" s="35" t="s">
        <v>3345</v>
      </c>
      <c r="I241" s="35" t="s">
        <v>59</v>
      </c>
      <c r="J241" s="35" t="s">
        <v>34</v>
      </c>
      <c r="K241" s="35" t="s">
        <v>35</v>
      </c>
      <c r="L241" s="35" t="s">
        <v>87</v>
      </c>
      <c r="M241" s="39">
        <v>31.0</v>
      </c>
      <c r="N241" s="40">
        <v>46185.0</v>
      </c>
      <c r="O241" s="42" t="b">
        <v>1</v>
      </c>
      <c r="P241" s="44">
        <v>46185.0</v>
      </c>
      <c r="Q241" s="34"/>
      <c r="R241" s="34"/>
      <c r="S241" s="34"/>
      <c r="T241" s="34"/>
    </row>
    <row r="242" ht="15.75" customHeight="1">
      <c r="B242" s="33">
        <v>46184.0</v>
      </c>
      <c r="C242" s="35">
        <v>10398.0</v>
      </c>
      <c r="D242" s="35">
        <v>10.0</v>
      </c>
      <c r="E242" s="37">
        <v>217.0</v>
      </c>
      <c r="F242" s="38">
        <f t="shared" si="1"/>
        <v>2170</v>
      </c>
      <c r="G242" s="35" t="s">
        <v>3346</v>
      </c>
      <c r="H242" s="35" t="s">
        <v>3347</v>
      </c>
      <c r="I242" s="35" t="s">
        <v>59</v>
      </c>
      <c r="J242" s="35" t="s">
        <v>34</v>
      </c>
      <c r="K242" s="35" t="s">
        <v>35</v>
      </c>
      <c r="L242" s="35" t="s">
        <v>87</v>
      </c>
      <c r="M242" s="39">
        <v>31.0</v>
      </c>
      <c r="N242" s="40">
        <v>46185.0</v>
      </c>
      <c r="O242" s="42" t="b">
        <v>1</v>
      </c>
      <c r="P242" s="44">
        <v>46185.0</v>
      </c>
      <c r="Q242" s="34"/>
      <c r="R242" s="34"/>
      <c r="S242" s="34"/>
      <c r="T242" s="34"/>
    </row>
    <row r="243" ht="15.75" customHeight="1">
      <c r="B243" s="33">
        <v>46184.0</v>
      </c>
      <c r="C243" s="35">
        <v>10398.0</v>
      </c>
      <c r="D243" s="35">
        <v>20.0</v>
      </c>
      <c r="E243" s="37">
        <v>135.5</v>
      </c>
      <c r="F243" s="38">
        <f t="shared" si="1"/>
        <v>2710</v>
      </c>
      <c r="G243" s="35" t="s">
        <v>3348</v>
      </c>
      <c r="H243" s="35" t="s">
        <v>98</v>
      </c>
      <c r="I243" s="35" t="s">
        <v>59</v>
      </c>
      <c r="J243" s="35" t="s">
        <v>34</v>
      </c>
      <c r="K243" s="35" t="s">
        <v>35</v>
      </c>
      <c r="L243" s="35" t="s">
        <v>87</v>
      </c>
      <c r="M243" s="39">
        <v>31.0</v>
      </c>
      <c r="N243" s="40">
        <v>46185.0</v>
      </c>
      <c r="O243" s="42" t="b">
        <v>1</v>
      </c>
      <c r="P243" s="44">
        <v>46185.0</v>
      </c>
      <c r="Q243" s="34"/>
      <c r="R243" s="34"/>
      <c r="S243" s="34"/>
      <c r="T243" s="34"/>
    </row>
    <row r="244" ht="15.75" customHeight="1">
      <c r="B244" s="33">
        <v>46184.0</v>
      </c>
      <c r="C244" s="35">
        <v>11111.0</v>
      </c>
      <c r="D244" s="35">
        <v>20.0</v>
      </c>
      <c r="E244" s="37">
        <v>80.1</v>
      </c>
      <c r="F244" s="38">
        <f t="shared" si="1"/>
        <v>1602</v>
      </c>
      <c r="G244" s="35" t="s">
        <v>2238</v>
      </c>
      <c r="H244" s="35" t="s">
        <v>1077</v>
      </c>
      <c r="I244" s="35" t="s">
        <v>240</v>
      </c>
      <c r="J244" s="35" t="s">
        <v>40</v>
      </c>
      <c r="K244" s="35" t="s">
        <v>35</v>
      </c>
      <c r="L244" s="35" t="s">
        <v>340</v>
      </c>
      <c r="M244" s="39">
        <v>1.0</v>
      </c>
      <c r="N244" s="40">
        <v>46187.0</v>
      </c>
      <c r="O244" s="42" t="b">
        <v>1</v>
      </c>
      <c r="P244" s="44">
        <v>46188.0</v>
      </c>
      <c r="Q244" s="34"/>
      <c r="R244" s="34"/>
      <c r="S244" s="34"/>
      <c r="T244" s="34"/>
    </row>
    <row r="245" ht="15.75" customHeight="1">
      <c r="B245" s="33">
        <v>46184.0</v>
      </c>
      <c r="C245" s="35" t="s">
        <v>35</v>
      </c>
      <c r="D245" s="35">
        <v>1.0</v>
      </c>
      <c r="E245" s="37">
        <v>120.0</v>
      </c>
      <c r="F245" s="38">
        <f t="shared" si="1"/>
        <v>120</v>
      </c>
      <c r="G245" s="35" t="s">
        <v>3349</v>
      </c>
      <c r="H245" s="35">
        <v>10264.0</v>
      </c>
      <c r="I245" s="35" t="s">
        <v>157</v>
      </c>
      <c r="J245" s="35" t="s">
        <v>34</v>
      </c>
      <c r="K245" s="35" t="s">
        <v>35</v>
      </c>
      <c r="L245" s="35" t="s">
        <v>2251</v>
      </c>
      <c r="M245" s="39">
        <v>31.0</v>
      </c>
      <c r="N245" s="40">
        <v>46195.0</v>
      </c>
      <c r="O245" s="42" t="b">
        <v>1</v>
      </c>
      <c r="P245" s="44"/>
      <c r="Q245" s="34"/>
      <c r="R245" s="33">
        <v>46185.0</v>
      </c>
      <c r="S245" s="34"/>
      <c r="T245" s="34"/>
    </row>
    <row r="246" ht="15.75" customHeight="1">
      <c r="A246" s="68">
        <v>2040.0</v>
      </c>
      <c r="B246" s="33">
        <v>46184.0</v>
      </c>
      <c r="C246" s="35">
        <v>16344.0</v>
      </c>
      <c r="D246" s="35">
        <v>1000.0</v>
      </c>
      <c r="E246" s="37">
        <v>13.8</v>
      </c>
      <c r="F246" s="38">
        <f t="shared" si="1"/>
        <v>13800</v>
      </c>
      <c r="G246" s="35" t="s">
        <v>1318</v>
      </c>
      <c r="H246" s="35" t="s">
        <v>35</v>
      </c>
      <c r="I246" s="35" t="s">
        <v>59</v>
      </c>
      <c r="J246" s="35" t="s">
        <v>34</v>
      </c>
      <c r="K246" s="35" t="s">
        <v>35</v>
      </c>
      <c r="L246" s="35" t="s">
        <v>877</v>
      </c>
      <c r="M246" s="39">
        <v>1.0</v>
      </c>
      <c r="N246" s="40">
        <v>46188.0</v>
      </c>
      <c r="O246" s="42" t="b">
        <v>1</v>
      </c>
      <c r="P246" s="44">
        <v>46189.0</v>
      </c>
      <c r="Q246" s="34"/>
      <c r="R246" s="34"/>
      <c r="S246" s="34"/>
      <c r="T246" s="34"/>
    </row>
    <row r="247" ht="15.75" customHeight="1">
      <c r="B247" s="33">
        <v>46184.0</v>
      </c>
      <c r="C247" s="35">
        <v>16344.0</v>
      </c>
      <c r="D247" s="35">
        <v>1200.0</v>
      </c>
      <c r="E247" s="37">
        <v>41.7</v>
      </c>
      <c r="F247" s="38">
        <f t="shared" si="1"/>
        <v>50040</v>
      </c>
      <c r="G247" s="35" t="s">
        <v>1457</v>
      </c>
      <c r="H247" s="35" t="s">
        <v>35</v>
      </c>
      <c r="I247" s="35" t="s">
        <v>59</v>
      </c>
      <c r="J247" s="35" t="s">
        <v>34</v>
      </c>
      <c r="K247" s="35" t="s">
        <v>35</v>
      </c>
      <c r="L247" s="35" t="s">
        <v>877</v>
      </c>
      <c r="M247" s="39">
        <v>1.0</v>
      </c>
      <c r="N247" s="40">
        <v>46188.0</v>
      </c>
      <c r="O247" s="42" t="b">
        <v>1</v>
      </c>
      <c r="P247" s="44">
        <v>46189.0</v>
      </c>
      <c r="Q247" s="34"/>
      <c r="R247" s="34"/>
      <c r="S247" s="34"/>
      <c r="T247" s="34"/>
    </row>
    <row r="248" ht="15.75" customHeight="1">
      <c r="B248" s="33">
        <v>46184.0</v>
      </c>
      <c r="C248" s="35">
        <v>14154.0</v>
      </c>
      <c r="D248" s="35">
        <v>15860.0</v>
      </c>
      <c r="E248" s="37">
        <v>1.5308</v>
      </c>
      <c r="F248" s="38">
        <f t="shared" si="1"/>
        <v>24278.488</v>
      </c>
      <c r="G248" s="35" t="s">
        <v>3350</v>
      </c>
      <c r="H248" s="35" t="s">
        <v>3351</v>
      </c>
      <c r="I248" s="35" t="s">
        <v>35</v>
      </c>
      <c r="J248" s="35" t="s">
        <v>35</v>
      </c>
      <c r="K248" s="35" t="s">
        <v>35</v>
      </c>
      <c r="L248" s="35" t="s">
        <v>2086</v>
      </c>
      <c r="M248" s="39">
        <v>31.0</v>
      </c>
      <c r="N248" s="40">
        <v>46185.0</v>
      </c>
      <c r="O248" s="42" t="b">
        <v>0</v>
      </c>
      <c r="P248" s="36"/>
      <c r="Q248" s="34"/>
      <c r="R248" s="34"/>
      <c r="S248" s="34"/>
      <c r="T248" s="35"/>
    </row>
    <row r="249" ht="15.75" customHeight="1">
      <c r="B249" s="33">
        <v>46184.0</v>
      </c>
      <c r="C249" s="35">
        <v>14155.0</v>
      </c>
      <c r="D249" s="35">
        <v>10675.0</v>
      </c>
      <c r="E249" s="37">
        <v>2.5144</v>
      </c>
      <c r="F249" s="38">
        <f t="shared" si="1"/>
        <v>26841.22</v>
      </c>
      <c r="G249" s="35" t="s">
        <v>3352</v>
      </c>
      <c r="H249" s="35" t="s">
        <v>3353</v>
      </c>
      <c r="I249" s="35" t="s">
        <v>35</v>
      </c>
      <c r="J249" s="35" t="s">
        <v>35</v>
      </c>
      <c r="K249" s="35" t="s">
        <v>35</v>
      </c>
      <c r="L249" s="35" t="s">
        <v>2086</v>
      </c>
      <c r="M249" s="39">
        <v>31.0</v>
      </c>
      <c r="N249" s="40">
        <v>46185.0</v>
      </c>
      <c r="O249" s="42" t="b">
        <v>0</v>
      </c>
      <c r="P249" s="44"/>
      <c r="Q249" s="34"/>
      <c r="R249" s="34"/>
      <c r="S249" s="34"/>
      <c r="T249" s="34"/>
    </row>
    <row r="250" ht="15.75" customHeight="1">
      <c r="B250" s="33">
        <v>46184.0</v>
      </c>
      <c r="C250" s="35" t="s">
        <v>35</v>
      </c>
      <c r="D250" s="35">
        <v>150.0</v>
      </c>
      <c r="E250" s="37">
        <v>265.0</v>
      </c>
      <c r="F250" s="38">
        <f t="shared" si="1"/>
        <v>39750</v>
      </c>
      <c r="G250" s="35" t="s">
        <v>1136</v>
      </c>
      <c r="H250" s="35" t="s">
        <v>1138</v>
      </c>
      <c r="I250" s="35" t="s">
        <v>32</v>
      </c>
      <c r="J250" s="35" t="s">
        <v>34</v>
      </c>
      <c r="K250" s="35" t="s">
        <v>35</v>
      </c>
      <c r="L250" s="35" t="s">
        <v>515</v>
      </c>
      <c r="M250" s="39">
        <v>31.0</v>
      </c>
      <c r="N250" s="44">
        <v>46195.0</v>
      </c>
      <c r="O250" s="42" t="b">
        <v>1</v>
      </c>
      <c r="P250" s="44">
        <v>46195.0</v>
      </c>
      <c r="Q250" s="34"/>
      <c r="R250" s="34"/>
      <c r="S250" s="34"/>
      <c r="T250" s="34"/>
    </row>
    <row r="251" ht="15.75" customHeight="1">
      <c r="B251" s="33">
        <v>46184.0</v>
      </c>
      <c r="C251" s="35" t="s">
        <v>35</v>
      </c>
      <c r="D251" s="35">
        <v>40.0</v>
      </c>
      <c r="E251" s="37">
        <v>1750.0</v>
      </c>
      <c r="F251" s="38">
        <f t="shared" si="1"/>
        <v>70000</v>
      </c>
      <c r="G251" s="35" t="s">
        <v>3354</v>
      </c>
      <c r="H251" s="35" t="s">
        <v>3355</v>
      </c>
      <c r="I251" s="35" t="s">
        <v>32</v>
      </c>
      <c r="J251" s="35" t="s">
        <v>40</v>
      </c>
      <c r="K251" s="35" t="s">
        <v>35</v>
      </c>
      <c r="L251" s="35" t="s">
        <v>515</v>
      </c>
      <c r="M251" s="39">
        <v>31.0</v>
      </c>
      <c r="N251" s="44">
        <v>46195.0</v>
      </c>
      <c r="O251" s="42" t="b">
        <v>1</v>
      </c>
      <c r="P251" s="44">
        <v>46195.0</v>
      </c>
      <c r="Q251" s="34"/>
      <c r="R251" s="34"/>
      <c r="S251" s="34"/>
      <c r="T251" s="34"/>
    </row>
    <row r="252" ht="15.75" customHeight="1">
      <c r="B252" s="33">
        <v>46184.0</v>
      </c>
      <c r="C252" s="35">
        <v>10374.0</v>
      </c>
      <c r="D252" s="35">
        <v>50.0</v>
      </c>
      <c r="E252" s="37">
        <v>315.0</v>
      </c>
      <c r="F252" s="38">
        <f t="shared" si="1"/>
        <v>15750</v>
      </c>
      <c r="G252" s="35" t="s">
        <v>1822</v>
      </c>
      <c r="H252" s="35" t="s">
        <v>506</v>
      </c>
      <c r="I252" s="35" t="s">
        <v>240</v>
      </c>
      <c r="J252" s="35" t="s">
        <v>34</v>
      </c>
      <c r="K252" s="35" t="s">
        <v>35</v>
      </c>
      <c r="L252" s="35" t="s">
        <v>87</v>
      </c>
      <c r="M252" s="39">
        <v>31.0</v>
      </c>
      <c r="N252" s="40">
        <v>46188.0</v>
      </c>
      <c r="O252" s="42" t="b">
        <v>1</v>
      </c>
      <c r="P252" s="44">
        <v>46188.0</v>
      </c>
      <c r="Q252" s="34"/>
      <c r="R252" s="34"/>
      <c r="S252" s="34"/>
      <c r="T252" s="34"/>
    </row>
    <row r="253" ht="15.75" customHeight="1">
      <c r="B253" s="33">
        <v>46184.0</v>
      </c>
      <c r="C253" s="35">
        <v>10374.0</v>
      </c>
      <c r="D253" s="35">
        <v>50.0</v>
      </c>
      <c r="E253" s="37">
        <v>315.0</v>
      </c>
      <c r="F253" s="38">
        <f t="shared" si="1"/>
        <v>15750</v>
      </c>
      <c r="G253" s="35" t="s">
        <v>1822</v>
      </c>
      <c r="H253" s="35" t="s">
        <v>506</v>
      </c>
      <c r="I253" s="35" t="s">
        <v>41</v>
      </c>
      <c r="J253" s="35" t="s">
        <v>40</v>
      </c>
      <c r="K253" s="35" t="s">
        <v>35</v>
      </c>
      <c r="L253" s="35" t="s">
        <v>87</v>
      </c>
      <c r="M253" s="39">
        <v>31.0</v>
      </c>
      <c r="N253" s="40">
        <v>46188.0</v>
      </c>
      <c r="O253" s="42" t="b">
        <v>1</v>
      </c>
      <c r="P253" s="44">
        <v>46188.0</v>
      </c>
      <c r="Q253" s="34"/>
      <c r="R253" s="34"/>
      <c r="S253" s="34"/>
      <c r="T253" s="34"/>
    </row>
    <row r="254" ht="15.75" customHeight="1">
      <c r="B254" s="33">
        <v>46184.0</v>
      </c>
      <c r="C254" s="35">
        <v>10370.0</v>
      </c>
      <c r="D254" s="35">
        <v>500.0</v>
      </c>
      <c r="E254" s="37">
        <v>14.4</v>
      </c>
      <c r="F254" s="38">
        <f t="shared" si="1"/>
        <v>7200</v>
      </c>
      <c r="G254" s="35" t="s">
        <v>3356</v>
      </c>
      <c r="H254" s="35" t="s">
        <v>3357</v>
      </c>
      <c r="I254" s="35" t="s">
        <v>41</v>
      </c>
      <c r="J254" s="35" t="s">
        <v>34</v>
      </c>
      <c r="K254" s="35" t="s">
        <v>35</v>
      </c>
      <c r="L254" s="35" t="s">
        <v>87</v>
      </c>
      <c r="M254" s="39">
        <v>31.0</v>
      </c>
      <c r="N254" s="40">
        <v>46188.0</v>
      </c>
      <c r="O254" s="42" t="b">
        <v>1</v>
      </c>
      <c r="P254" s="44">
        <v>46188.0</v>
      </c>
      <c r="Q254" s="34"/>
      <c r="R254" s="34"/>
      <c r="S254" s="34"/>
      <c r="T254" s="34"/>
    </row>
    <row r="255" ht="15.75" customHeight="1">
      <c r="B255" s="33">
        <v>46184.0</v>
      </c>
      <c r="C255" s="35">
        <v>16322.0</v>
      </c>
      <c r="D255" s="35">
        <v>2000.0</v>
      </c>
      <c r="E255" s="37">
        <v>165.0</v>
      </c>
      <c r="F255" s="38">
        <f t="shared" si="1"/>
        <v>330000</v>
      </c>
      <c r="G255" s="35" t="s">
        <v>883</v>
      </c>
      <c r="H255" s="35" t="s">
        <v>883</v>
      </c>
      <c r="I255" s="35" t="s">
        <v>59</v>
      </c>
      <c r="J255" s="35" t="s">
        <v>34</v>
      </c>
      <c r="K255" s="35" t="s">
        <v>35</v>
      </c>
      <c r="L255" s="35" t="s">
        <v>877</v>
      </c>
      <c r="M255" s="39">
        <v>1.0</v>
      </c>
      <c r="N255" s="40">
        <v>46189.0</v>
      </c>
      <c r="O255" s="42" t="b">
        <v>1</v>
      </c>
      <c r="P255" s="44">
        <v>46192.0</v>
      </c>
      <c r="Q255" s="34"/>
      <c r="R255" s="34"/>
      <c r="S255" s="34"/>
      <c r="T255" s="34"/>
    </row>
    <row r="256" ht="15.75" customHeight="1">
      <c r="B256" s="33">
        <v>46184.0</v>
      </c>
      <c r="C256" s="35">
        <v>10371.0</v>
      </c>
      <c r="D256" s="35">
        <v>50.0</v>
      </c>
      <c r="E256" s="37">
        <v>25.7</v>
      </c>
      <c r="F256" s="38">
        <f t="shared" si="1"/>
        <v>1285</v>
      </c>
      <c r="G256" s="35" t="s">
        <v>782</v>
      </c>
      <c r="H256" s="35" t="s">
        <v>783</v>
      </c>
      <c r="I256" s="35" t="s">
        <v>32</v>
      </c>
      <c r="J256" s="35" t="s">
        <v>34</v>
      </c>
      <c r="K256" s="35" t="s">
        <v>35</v>
      </c>
      <c r="L256" s="35" t="s">
        <v>87</v>
      </c>
      <c r="M256" s="39">
        <v>1.0</v>
      </c>
      <c r="N256" s="40">
        <v>46188.0</v>
      </c>
      <c r="O256" s="42" t="b">
        <v>1</v>
      </c>
      <c r="P256" s="44">
        <v>46188.0</v>
      </c>
      <c r="Q256" s="34"/>
      <c r="R256" s="34"/>
      <c r="S256" s="34"/>
      <c r="T256" s="34"/>
    </row>
    <row r="257" ht="15.75" customHeight="1">
      <c r="B257" s="33">
        <v>46185.0</v>
      </c>
      <c r="C257" s="35">
        <v>19552.0</v>
      </c>
      <c r="D257" s="35">
        <v>120.0</v>
      </c>
      <c r="E257" s="37">
        <v>11.8</v>
      </c>
      <c r="F257" s="38">
        <f t="shared" si="1"/>
        <v>1416</v>
      </c>
      <c r="G257" s="35" t="s">
        <v>3358</v>
      </c>
      <c r="H257" s="35" t="s">
        <v>1897</v>
      </c>
      <c r="I257" s="35" t="s">
        <v>77</v>
      </c>
      <c r="J257" s="35" t="s">
        <v>79</v>
      </c>
      <c r="K257" s="35" t="s">
        <v>35</v>
      </c>
      <c r="L257" s="35" t="s">
        <v>96</v>
      </c>
      <c r="M257" s="39">
        <v>31.0</v>
      </c>
      <c r="N257" s="40">
        <v>46189.0</v>
      </c>
      <c r="O257" s="42" t="b">
        <v>0</v>
      </c>
      <c r="P257" s="44"/>
      <c r="Q257" s="34"/>
      <c r="R257" s="34"/>
      <c r="S257" s="34"/>
      <c r="T257" s="34"/>
    </row>
    <row r="258" ht="15.75" customHeight="1">
      <c r="B258" s="33">
        <v>46185.0</v>
      </c>
      <c r="C258" s="35" t="s">
        <v>35</v>
      </c>
      <c r="D258" s="35">
        <v>2.0</v>
      </c>
      <c r="E258" s="37">
        <v>689.0</v>
      </c>
      <c r="F258" s="38">
        <f t="shared" si="1"/>
        <v>1378</v>
      </c>
      <c r="G258" s="35" t="s">
        <v>3359</v>
      </c>
      <c r="H258" s="35" t="s">
        <v>35</v>
      </c>
      <c r="I258" s="35" t="s">
        <v>157</v>
      </c>
      <c r="J258" s="35" t="s">
        <v>34</v>
      </c>
      <c r="K258" s="35" t="s">
        <v>35</v>
      </c>
      <c r="L258" s="35" t="s">
        <v>3360</v>
      </c>
      <c r="M258" s="39">
        <v>1.0</v>
      </c>
      <c r="N258" s="40">
        <v>46191.0</v>
      </c>
      <c r="O258" s="42" t="b">
        <v>1</v>
      </c>
      <c r="P258" s="44">
        <v>46191.0</v>
      </c>
      <c r="Q258" s="34"/>
      <c r="R258" s="33">
        <v>46185.0</v>
      </c>
      <c r="S258" s="34"/>
      <c r="T258" s="34"/>
    </row>
    <row r="259" ht="15.75" customHeight="1">
      <c r="B259" s="33">
        <v>46185.0</v>
      </c>
      <c r="C259" s="35">
        <v>10442.0</v>
      </c>
      <c r="D259" s="35">
        <v>500.0</v>
      </c>
      <c r="E259" s="37">
        <v>80.0</v>
      </c>
      <c r="F259" s="38">
        <f t="shared" si="1"/>
        <v>40000</v>
      </c>
      <c r="G259" s="35" t="s">
        <v>3342</v>
      </c>
      <c r="H259" s="35" t="s">
        <v>3343</v>
      </c>
      <c r="I259" s="35" t="s">
        <v>41</v>
      </c>
      <c r="J259" s="35" t="s">
        <v>40</v>
      </c>
      <c r="K259" s="35" t="s">
        <v>35</v>
      </c>
      <c r="L259" s="35" t="s">
        <v>87</v>
      </c>
      <c r="M259" s="39">
        <v>1.0</v>
      </c>
      <c r="N259" s="40">
        <v>46185.0</v>
      </c>
      <c r="O259" s="42" t="b">
        <v>1</v>
      </c>
      <c r="P259" s="44">
        <v>46205.0</v>
      </c>
      <c r="Q259" s="34"/>
      <c r="R259" s="34"/>
      <c r="S259" s="34"/>
      <c r="T259" s="34"/>
    </row>
    <row r="260" ht="15.75" customHeight="1">
      <c r="B260" s="33">
        <v>46185.0</v>
      </c>
      <c r="C260" s="35">
        <v>10442.0</v>
      </c>
      <c r="D260" s="35">
        <v>500.0</v>
      </c>
      <c r="E260" s="37">
        <v>80.0</v>
      </c>
      <c r="F260" s="38">
        <f t="shared" si="1"/>
        <v>40000</v>
      </c>
      <c r="G260" s="35" t="s">
        <v>3342</v>
      </c>
      <c r="H260" s="35" t="s">
        <v>3343</v>
      </c>
      <c r="I260" s="35" t="s">
        <v>59</v>
      </c>
      <c r="J260" s="35" t="s">
        <v>34</v>
      </c>
      <c r="K260" s="35"/>
      <c r="L260" s="35" t="s">
        <v>87</v>
      </c>
      <c r="M260" s="39">
        <v>1.0</v>
      </c>
      <c r="N260" s="40">
        <v>46185.0</v>
      </c>
      <c r="O260" s="42" t="b">
        <v>1</v>
      </c>
      <c r="P260" s="44">
        <v>46185.0</v>
      </c>
      <c r="Q260" s="34"/>
      <c r="R260" s="34"/>
      <c r="S260" s="34"/>
      <c r="T260" s="34"/>
    </row>
    <row r="261" ht="15.75" customHeight="1">
      <c r="B261" s="33">
        <v>46185.0</v>
      </c>
      <c r="C261" s="35">
        <v>16359.0</v>
      </c>
      <c r="D261" s="35">
        <v>25.0</v>
      </c>
      <c r="E261" s="37">
        <v>12.1</v>
      </c>
      <c r="F261" s="38">
        <f t="shared" si="1"/>
        <v>302.5</v>
      </c>
      <c r="G261" s="35" t="s">
        <v>1315</v>
      </c>
      <c r="H261" s="35" t="s">
        <v>35</v>
      </c>
      <c r="I261" s="35" t="s">
        <v>2239</v>
      </c>
      <c r="J261" s="35" t="s">
        <v>40</v>
      </c>
      <c r="K261" s="35" t="s">
        <v>35</v>
      </c>
      <c r="L261" s="35" t="s">
        <v>877</v>
      </c>
      <c r="M261" s="39">
        <v>1.0</v>
      </c>
      <c r="N261" s="40">
        <v>46196.0</v>
      </c>
      <c r="O261" s="42" t="b">
        <v>0</v>
      </c>
      <c r="P261" s="44">
        <v>46197.0</v>
      </c>
      <c r="Q261" s="34"/>
      <c r="R261" s="34"/>
      <c r="S261" s="34"/>
      <c r="T261" s="34"/>
    </row>
    <row r="262" ht="15.75" customHeight="1">
      <c r="B262" s="33">
        <v>46185.0</v>
      </c>
      <c r="C262" s="35">
        <v>10479.0</v>
      </c>
      <c r="D262" s="35">
        <v>60.0</v>
      </c>
      <c r="E262" s="37">
        <v>295.0</v>
      </c>
      <c r="F262" s="38">
        <f t="shared" si="1"/>
        <v>17700</v>
      </c>
      <c r="G262" s="35" t="s">
        <v>2838</v>
      </c>
      <c r="H262" s="35" t="s">
        <v>1158</v>
      </c>
      <c r="I262" s="35" t="s">
        <v>59</v>
      </c>
      <c r="J262" s="35" t="s">
        <v>34</v>
      </c>
      <c r="K262" s="35" t="s">
        <v>35</v>
      </c>
      <c r="L262" s="35" t="s">
        <v>87</v>
      </c>
      <c r="M262" s="39">
        <v>31.0</v>
      </c>
      <c r="N262" s="40">
        <v>46187.0</v>
      </c>
      <c r="O262" s="42" t="b">
        <v>1</v>
      </c>
      <c r="P262" s="44">
        <v>46188.0</v>
      </c>
      <c r="Q262" s="34"/>
      <c r="R262" s="34"/>
      <c r="S262" s="34"/>
      <c r="T262" s="34"/>
    </row>
    <row r="263" ht="15.75" customHeight="1">
      <c r="B263" s="33">
        <v>46185.0</v>
      </c>
      <c r="C263" s="35">
        <v>10483.0</v>
      </c>
      <c r="D263" s="35">
        <v>80.0</v>
      </c>
      <c r="E263" s="37">
        <v>24.6</v>
      </c>
      <c r="F263" s="38">
        <f t="shared" si="1"/>
        <v>1968</v>
      </c>
      <c r="G263" s="35" t="s">
        <v>3361</v>
      </c>
      <c r="H263" s="35" t="s">
        <v>3362</v>
      </c>
      <c r="I263" s="35" t="s">
        <v>59</v>
      </c>
      <c r="J263" s="35" t="s">
        <v>34</v>
      </c>
      <c r="K263" s="35" t="s">
        <v>35</v>
      </c>
      <c r="L263" s="35" t="s">
        <v>87</v>
      </c>
      <c r="M263" s="39">
        <v>31.0</v>
      </c>
      <c r="N263" s="40">
        <v>46187.0</v>
      </c>
      <c r="O263" s="42" t="b">
        <v>1</v>
      </c>
      <c r="P263" s="44">
        <v>46188.0</v>
      </c>
      <c r="Q263" s="34"/>
      <c r="R263" s="34"/>
      <c r="S263" s="34"/>
      <c r="T263" s="34"/>
    </row>
    <row r="264" ht="15.75" customHeight="1">
      <c r="B264" s="33">
        <v>46185.0</v>
      </c>
      <c r="C264" s="35">
        <v>10483.0</v>
      </c>
      <c r="D264" s="35">
        <v>400.0</v>
      </c>
      <c r="E264" s="37">
        <v>2.8</v>
      </c>
      <c r="F264" s="38">
        <f t="shared" si="1"/>
        <v>1120</v>
      </c>
      <c r="G264" s="35" t="s">
        <v>2353</v>
      </c>
      <c r="H264" s="35" t="s">
        <v>2813</v>
      </c>
      <c r="I264" s="35" t="s">
        <v>59</v>
      </c>
      <c r="J264" s="35" t="s">
        <v>34</v>
      </c>
      <c r="K264" s="35" t="s">
        <v>35</v>
      </c>
      <c r="L264" s="35" t="s">
        <v>87</v>
      </c>
      <c r="M264" s="39">
        <v>31.0</v>
      </c>
      <c r="N264" s="40">
        <v>46187.0</v>
      </c>
      <c r="O264" s="42" t="b">
        <v>1</v>
      </c>
      <c r="P264" s="44">
        <v>46188.0</v>
      </c>
      <c r="Q264" s="34"/>
      <c r="R264" s="34"/>
      <c r="S264" s="34"/>
      <c r="T264" s="34"/>
    </row>
    <row r="265" ht="15.75" customHeight="1">
      <c r="B265" s="33">
        <v>46185.0</v>
      </c>
      <c r="C265" s="35">
        <v>10482.0</v>
      </c>
      <c r="D265" s="35">
        <v>300.0</v>
      </c>
      <c r="E265" s="37">
        <v>110.0</v>
      </c>
      <c r="F265" s="38">
        <f t="shared" si="1"/>
        <v>33000</v>
      </c>
      <c r="G265" s="35" t="s">
        <v>3340</v>
      </c>
      <c r="H265" s="35" t="s">
        <v>3341</v>
      </c>
      <c r="I265" s="35" t="s">
        <v>77</v>
      </c>
      <c r="J265" s="35" t="s">
        <v>79</v>
      </c>
      <c r="K265" s="35" t="s">
        <v>35</v>
      </c>
      <c r="L265" s="35" t="s">
        <v>87</v>
      </c>
      <c r="M265" s="39">
        <v>31.0</v>
      </c>
      <c r="N265" s="40">
        <v>46189.0</v>
      </c>
      <c r="O265" s="42" t="b">
        <v>1</v>
      </c>
      <c r="P265" s="44"/>
      <c r="Q265" s="34"/>
      <c r="R265" s="34"/>
      <c r="S265" s="34"/>
      <c r="T265" s="34"/>
    </row>
    <row r="266" ht="15.75" customHeight="1">
      <c r="B266" s="33">
        <v>46185.0</v>
      </c>
      <c r="C266" s="35">
        <v>10482.0</v>
      </c>
      <c r="D266" s="35">
        <v>30.0</v>
      </c>
      <c r="E266" s="37">
        <v>57.2</v>
      </c>
      <c r="F266" s="38">
        <f t="shared" si="1"/>
        <v>1716</v>
      </c>
      <c r="G266" s="35" t="s">
        <v>3363</v>
      </c>
      <c r="H266" s="35" t="s">
        <v>3364</v>
      </c>
      <c r="I266" s="35" t="s">
        <v>77</v>
      </c>
      <c r="J266" s="35" t="s">
        <v>79</v>
      </c>
      <c r="K266" s="35" t="s">
        <v>35</v>
      </c>
      <c r="L266" s="35" t="s">
        <v>87</v>
      </c>
      <c r="M266" s="39">
        <v>31.0</v>
      </c>
      <c r="N266" s="40">
        <v>46189.0</v>
      </c>
      <c r="O266" s="42" t="b">
        <v>1</v>
      </c>
      <c r="P266" s="44"/>
      <c r="Q266" s="34"/>
      <c r="R266" s="34"/>
      <c r="S266" s="34"/>
      <c r="T266" s="34"/>
    </row>
    <row r="267" ht="15.75" customHeight="1">
      <c r="B267" s="33">
        <v>46185.0</v>
      </c>
      <c r="C267" s="35">
        <v>10482.0</v>
      </c>
      <c r="D267" s="35">
        <v>50.0</v>
      </c>
      <c r="E267" s="37">
        <v>16.7</v>
      </c>
      <c r="F267" s="38">
        <f t="shared" si="1"/>
        <v>835</v>
      </c>
      <c r="G267" s="35" t="s">
        <v>3365</v>
      </c>
      <c r="H267" s="35" t="s">
        <v>3366</v>
      </c>
      <c r="I267" s="35" t="s">
        <v>77</v>
      </c>
      <c r="J267" s="35" t="s">
        <v>79</v>
      </c>
      <c r="K267" s="35" t="s">
        <v>35</v>
      </c>
      <c r="L267" s="35" t="s">
        <v>87</v>
      </c>
      <c r="M267" s="39">
        <v>31.0</v>
      </c>
      <c r="N267" s="40">
        <v>46189.0</v>
      </c>
      <c r="O267" s="42" t="b">
        <v>1</v>
      </c>
      <c r="P267" s="44"/>
      <c r="Q267" s="34"/>
      <c r="R267" s="34"/>
      <c r="S267" s="34"/>
      <c r="T267" s="34"/>
    </row>
    <row r="268" ht="15.75" customHeight="1">
      <c r="B268" s="33">
        <v>46185.0</v>
      </c>
      <c r="C268" s="35">
        <v>10482.0</v>
      </c>
      <c r="D268" s="35">
        <v>100.0</v>
      </c>
      <c r="E268" s="37">
        <v>228.0</v>
      </c>
      <c r="F268" s="38">
        <f t="shared" si="1"/>
        <v>22800</v>
      </c>
      <c r="G268" s="35" t="s">
        <v>3367</v>
      </c>
      <c r="H268" s="35" t="s">
        <v>3368</v>
      </c>
      <c r="I268" s="35" t="s">
        <v>77</v>
      </c>
      <c r="J268" s="35" t="s">
        <v>79</v>
      </c>
      <c r="K268" s="35" t="s">
        <v>35</v>
      </c>
      <c r="L268" s="35" t="s">
        <v>87</v>
      </c>
      <c r="M268" s="39">
        <v>31.0</v>
      </c>
      <c r="N268" s="40">
        <v>46189.0</v>
      </c>
      <c r="O268" s="42" t="b">
        <v>1</v>
      </c>
      <c r="P268" s="44"/>
      <c r="Q268" s="34"/>
      <c r="R268" s="34"/>
      <c r="S268" s="34"/>
      <c r="T268" s="34"/>
    </row>
    <row r="269" ht="15.75" customHeight="1">
      <c r="B269" s="33">
        <v>46185.0</v>
      </c>
      <c r="C269" s="35">
        <v>10481.0</v>
      </c>
      <c r="D269" s="35">
        <v>100.0</v>
      </c>
      <c r="E269" s="37">
        <v>68.6</v>
      </c>
      <c r="F269" s="38">
        <f t="shared" si="1"/>
        <v>6860</v>
      </c>
      <c r="G269" s="35" t="s">
        <v>3369</v>
      </c>
      <c r="H269" s="35" t="s">
        <v>2312</v>
      </c>
      <c r="I269" s="35" t="s">
        <v>41</v>
      </c>
      <c r="J269" s="35" t="s">
        <v>34</v>
      </c>
      <c r="K269" s="35" t="s">
        <v>35</v>
      </c>
      <c r="L269" s="35" t="s">
        <v>87</v>
      </c>
      <c r="M269" s="39">
        <v>31.0</v>
      </c>
      <c r="N269" s="40">
        <v>46189.0</v>
      </c>
      <c r="O269" s="42" t="b">
        <v>1</v>
      </c>
      <c r="P269" s="44">
        <v>46191.0</v>
      </c>
      <c r="Q269" s="34"/>
      <c r="R269" s="34"/>
      <c r="S269" s="34"/>
      <c r="T269" s="34"/>
    </row>
    <row r="270" ht="15.75" customHeight="1">
      <c r="B270" s="33">
        <v>46185.0</v>
      </c>
      <c r="C270" s="35">
        <v>10581.0</v>
      </c>
      <c r="D270" s="35">
        <v>1120.0</v>
      </c>
      <c r="E270" s="37">
        <v>140.0</v>
      </c>
      <c r="F270" s="38">
        <f t="shared" si="1"/>
        <v>156800</v>
      </c>
      <c r="G270" s="35" t="s">
        <v>3370</v>
      </c>
      <c r="H270" s="35" t="s">
        <v>3371</v>
      </c>
      <c r="I270" s="35" t="s">
        <v>32</v>
      </c>
      <c r="J270" s="35" t="s">
        <v>34</v>
      </c>
      <c r="K270" s="35" t="s">
        <v>35</v>
      </c>
      <c r="L270" s="35" t="s">
        <v>87</v>
      </c>
      <c r="M270" s="39">
        <v>31.0</v>
      </c>
      <c r="N270" s="40">
        <v>46193.0</v>
      </c>
      <c r="O270" s="42" t="b">
        <v>1</v>
      </c>
      <c r="P270" s="44">
        <v>46193.0</v>
      </c>
      <c r="Q270" s="34"/>
      <c r="R270" s="34"/>
      <c r="S270" s="34"/>
      <c r="T270" s="34"/>
    </row>
    <row r="271" ht="15.75" customHeight="1">
      <c r="B271" s="33">
        <v>46185.0</v>
      </c>
      <c r="C271" s="35">
        <v>19635.0</v>
      </c>
      <c r="D271" s="35">
        <v>30.0</v>
      </c>
      <c r="E271" s="37">
        <v>20.81</v>
      </c>
      <c r="F271" s="38">
        <f t="shared" si="1"/>
        <v>624.3</v>
      </c>
      <c r="G271" s="35" t="s">
        <v>2902</v>
      </c>
      <c r="H271" s="35" t="s">
        <v>2159</v>
      </c>
      <c r="I271" s="35" t="s">
        <v>41</v>
      </c>
      <c r="J271" s="35" t="s">
        <v>34</v>
      </c>
      <c r="K271" s="35" t="s">
        <v>35</v>
      </c>
      <c r="L271" s="35" t="s">
        <v>96</v>
      </c>
      <c r="M271" s="39">
        <v>31.0</v>
      </c>
      <c r="N271" s="40">
        <v>46189.0</v>
      </c>
      <c r="O271" s="42" t="b">
        <v>1</v>
      </c>
      <c r="P271" s="44">
        <v>46190.0</v>
      </c>
      <c r="Q271" s="34"/>
      <c r="R271" s="34"/>
      <c r="S271" s="34"/>
      <c r="T271" s="34"/>
    </row>
    <row r="272" ht="15.75" customHeight="1">
      <c r="B272" s="33">
        <v>46185.0</v>
      </c>
      <c r="C272" s="35">
        <v>19635.0</v>
      </c>
      <c r="D272" s="35">
        <v>5.0</v>
      </c>
      <c r="E272" s="37">
        <v>170.91</v>
      </c>
      <c r="F272" s="38">
        <f t="shared" si="1"/>
        <v>854.55</v>
      </c>
      <c r="G272" s="35" t="s">
        <v>3372</v>
      </c>
      <c r="H272" s="35" t="s">
        <v>1459</v>
      </c>
      <c r="I272" s="35" t="s">
        <v>41</v>
      </c>
      <c r="J272" s="35" t="s">
        <v>34</v>
      </c>
      <c r="K272" s="35" t="s">
        <v>35</v>
      </c>
      <c r="L272" s="35" t="s">
        <v>96</v>
      </c>
      <c r="M272" s="39">
        <v>31.0</v>
      </c>
      <c r="N272" s="40">
        <v>46189.0</v>
      </c>
      <c r="O272" s="42" t="b">
        <v>1</v>
      </c>
      <c r="P272" s="44">
        <v>46190.0</v>
      </c>
      <c r="Q272" s="34"/>
      <c r="R272" s="34"/>
      <c r="S272" s="34"/>
      <c r="T272" s="34"/>
    </row>
    <row r="273" ht="15.75" customHeight="1">
      <c r="B273" s="33">
        <v>46185.0</v>
      </c>
      <c r="C273" s="35">
        <v>19635.0</v>
      </c>
      <c r="D273" s="35">
        <v>30.0</v>
      </c>
      <c r="E273" s="37">
        <v>132.91</v>
      </c>
      <c r="F273" s="38">
        <f t="shared" si="1"/>
        <v>3987.3</v>
      </c>
      <c r="G273" s="35" t="s">
        <v>3323</v>
      </c>
      <c r="H273" s="35" t="s">
        <v>846</v>
      </c>
      <c r="I273" s="35" t="s">
        <v>41</v>
      </c>
      <c r="J273" s="35" t="s">
        <v>34</v>
      </c>
      <c r="K273" s="35" t="s">
        <v>35</v>
      </c>
      <c r="L273" s="35" t="s">
        <v>96</v>
      </c>
      <c r="M273" s="39">
        <v>31.0</v>
      </c>
      <c r="N273" s="40">
        <v>46189.0</v>
      </c>
      <c r="O273" s="42" t="b">
        <v>1</v>
      </c>
      <c r="P273" s="44">
        <v>46190.0</v>
      </c>
      <c r="Q273" s="34"/>
      <c r="R273" s="34"/>
      <c r="S273" s="34"/>
      <c r="T273" s="34"/>
    </row>
    <row r="274" ht="15.75" customHeight="1">
      <c r="B274" s="33">
        <v>46185.0</v>
      </c>
      <c r="C274" s="35">
        <v>19635.0</v>
      </c>
      <c r="D274" s="35">
        <v>20.0</v>
      </c>
      <c r="E274" s="37">
        <v>33.16</v>
      </c>
      <c r="F274" s="38">
        <f t="shared" si="1"/>
        <v>663.2</v>
      </c>
      <c r="G274" s="35" t="s">
        <v>2913</v>
      </c>
      <c r="H274" s="35" t="s">
        <v>855</v>
      </c>
      <c r="I274" s="35" t="s">
        <v>41</v>
      </c>
      <c r="J274" s="35" t="s">
        <v>34</v>
      </c>
      <c r="K274" s="35" t="s">
        <v>35</v>
      </c>
      <c r="L274" s="35" t="s">
        <v>96</v>
      </c>
      <c r="M274" s="39">
        <v>31.0</v>
      </c>
      <c r="N274" s="40">
        <v>46189.0</v>
      </c>
      <c r="O274" s="42" t="b">
        <v>1</v>
      </c>
      <c r="P274" s="44">
        <v>46190.0</v>
      </c>
      <c r="Q274" s="34"/>
      <c r="R274" s="34"/>
      <c r="S274" s="34"/>
      <c r="T274" s="34"/>
    </row>
    <row r="275" ht="15.75" customHeight="1">
      <c r="B275" s="33">
        <v>46185.0</v>
      </c>
      <c r="C275" s="35">
        <v>19635.0</v>
      </c>
      <c r="D275" s="35">
        <v>5.0</v>
      </c>
      <c r="E275" s="37">
        <v>151.91</v>
      </c>
      <c r="F275" s="38">
        <f t="shared" si="1"/>
        <v>759.55</v>
      </c>
      <c r="G275" s="35" t="s">
        <v>3373</v>
      </c>
      <c r="H275" s="35" t="s">
        <v>841</v>
      </c>
      <c r="I275" s="35" t="s">
        <v>41</v>
      </c>
      <c r="J275" s="35" t="s">
        <v>34</v>
      </c>
      <c r="K275" s="35" t="s">
        <v>35</v>
      </c>
      <c r="L275" s="35" t="s">
        <v>96</v>
      </c>
      <c r="M275" s="39">
        <v>31.0</v>
      </c>
      <c r="N275" s="40">
        <v>46189.0</v>
      </c>
      <c r="O275" s="42" t="b">
        <v>1</v>
      </c>
      <c r="P275" s="44">
        <v>46190.0</v>
      </c>
      <c r="Q275" s="34"/>
      <c r="R275" s="34"/>
      <c r="S275" s="34"/>
      <c r="T275" s="34"/>
    </row>
    <row r="276" ht="15.75" customHeight="1">
      <c r="B276" s="33">
        <v>46185.0</v>
      </c>
      <c r="C276" s="35">
        <v>19635.0</v>
      </c>
      <c r="D276" s="35">
        <v>24.0</v>
      </c>
      <c r="E276" s="37">
        <v>18.91</v>
      </c>
      <c r="F276" s="38">
        <f t="shared" si="1"/>
        <v>453.84</v>
      </c>
      <c r="G276" s="35" t="s">
        <v>2328</v>
      </c>
      <c r="H276" s="35" t="s">
        <v>753</v>
      </c>
      <c r="I276" s="35" t="s">
        <v>41</v>
      </c>
      <c r="J276" s="35" t="s">
        <v>34</v>
      </c>
      <c r="K276" s="35" t="s">
        <v>35</v>
      </c>
      <c r="L276" s="35" t="s">
        <v>96</v>
      </c>
      <c r="M276" s="39">
        <v>31.0</v>
      </c>
      <c r="N276" s="40">
        <v>46189.0</v>
      </c>
      <c r="O276" s="42" t="b">
        <v>1</v>
      </c>
      <c r="P276" s="44">
        <v>46190.0</v>
      </c>
      <c r="Q276" s="34"/>
      <c r="R276" s="34"/>
      <c r="S276" s="34"/>
      <c r="T276" s="34"/>
    </row>
    <row r="277" ht="15.75" customHeight="1">
      <c r="B277" s="33">
        <v>46185.0</v>
      </c>
      <c r="C277" s="35">
        <v>19635.0</v>
      </c>
      <c r="D277" s="35">
        <v>30.0</v>
      </c>
      <c r="E277" s="37">
        <v>104.41</v>
      </c>
      <c r="F277" s="38">
        <f t="shared" si="1"/>
        <v>3132.3</v>
      </c>
      <c r="G277" s="35" t="s">
        <v>416</v>
      </c>
      <c r="H277" s="35" t="s">
        <v>417</v>
      </c>
      <c r="I277" s="35" t="s">
        <v>41</v>
      </c>
      <c r="J277" s="35" t="s">
        <v>34</v>
      </c>
      <c r="K277" s="35" t="s">
        <v>35</v>
      </c>
      <c r="L277" s="35" t="s">
        <v>96</v>
      </c>
      <c r="M277" s="39">
        <v>31.0</v>
      </c>
      <c r="N277" s="40">
        <v>46189.0</v>
      </c>
      <c r="O277" s="42" t="b">
        <v>1</v>
      </c>
      <c r="P277" s="44">
        <v>46190.0</v>
      </c>
      <c r="Q277" s="34"/>
      <c r="R277" s="34"/>
      <c r="S277" s="34"/>
      <c r="T277" s="34"/>
    </row>
    <row r="278" ht="15.75" customHeight="1">
      <c r="B278" s="33">
        <v>46185.0</v>
      </c>
      <c r="C278" s="35">
        <v>19635.0</v>
      </c>
      <c r="D278" s="35">
        <v>3.0</v>
      </c>
      <c r="E278" s="37">
        <v>569.91</v>
      </c>
      <c r="F278" s="38">
        <f t="shared" si="1"/>
        <v>1709.73</v>
      </c>
      <c r="G278" s="35" t="s">
        <v>3374</v>
      </c>
      <c r="H278" s="35" t="s">
        <v>3375</v>
      </c>
      <c r="I278" s="35" t="s">
        <v>41</v>
      </c>
      <c r="J278" s="35" t="s">
        <v>34</v>
      </c>
      <c r="K278" s="35" t="s">
        <v>35</v>
      </c>
      <c r="L278" s="35" t="s">
        <v>96</v>
      </c>
      <c r="M278" s="39">
        <v>31.0</v>
      </c>
      <c r="N278" s="40">
        <v>46189.0</v>
      </c>
      <c r="O278" s="42" t="b">
        <v>1</v>
      </c>
      <c r="P278" s="44">
        <v>46190.0</v>
      </c>
      <c r="Q278" s="34"/>
      <c r="R278" s="34"/>
      <c r="S278" s="34"/>
      <c r="T278" s="34"/>
    </row>
    <row r="279" ht="15.75" customHeight="1">
      <c r="B279" s="33">
        <v>46185.0</v>
      </c>
      <c r="C279" s="35">
        <v>19635.0</v>
      </c>
      <c r="D279" s="35">
        <v>20.0</v>
      </c>
      <c r="E279" s="37">
        <v>48.44</v>
      </c>
      <c r="F279" s="38">
        <f t="shared" si="1"/>
        <v>968.8</v>
      </c>
      <c r="G279" s="35" t="s">
        <v>3376</v>
      </c>
      <c r="H279" s="35" t="s">
        <v>3377</v>
      </c>
      <c r="I279" s="35" t="s">
        <v>41</v>
      </c>
      <c r="J279" s="35" t="s">
        <v>34</v>
      </c>
      <c r="K279" s="35" t="s">
        <v>35</v>
      </c>
      <c r="L279" s="35" t="s">
        <v>96</v>
      </c>
      <c r="M279" s="39">
        <v>31.0</v>
      </c>
      <c r="N279" s="40">
        <v>46189.0</v>
      </c>
      <c r="O279" s="42" t="b">
        <v>1</v>
      </c>
      <c r="P279" s="44">
        <v>46190.0</v>
      </c>
      <c r="Q279" s="34"/>
      <c r="R279" s="34"/>
      <c r="S279" s="34"/>
      <c r="T279" s="34"/>
    </row>
    <row r="280" ht="15.75" customHeight="1">
      <c r="B280" s="33">
        <v>46185.0</v>
      </c>
      <c r="C280" s="35">
        <v>19635.0</v>
      </c>
      <c r="D280" s="35">
        <v>4.0</v>
      </c>
      <c r="E280" s="37">
        <v>180.41</v>
      </c>
      <c r="F280" s="38">
        <f t="shared" si="1"/>
        <v>721.64</v>
      </c>
      <c r="G280" s="35" t="s">
        <v>3378</v>
      </c>
      <c r="H280" s="35" t="s">
        <v>3379</v>
      </c>
      <c r="I280" s="35" t="s">
        <v>41</v>
      </c>
      <c r="J280" s="35" t="s">
        <v>34</v>
      </c>
      <c r="K280" s="35" t="s">
        <v>35</v>
      </c>
      <c r="L280" s="35" t="s">
        <v>96</v>
      </c>
      <c r="M280" s="39">
        <v>31.0</v>
      </c>
      <c r="N280" s="40">
        <v>46189.0</v>
      </c>
      <c r="O280" s="42" t="b">
        <v>1</v>
      </c>
      <c r="P280" s="44">
        <v>46190.0</v>
      </c>
      <c r="Q280" s="34"/>
      <c r="R280" s="34"/>
      <c r="S280" s="34"/>
      <c r="T280" s="34"/>
    </row>
    <row r="281" ht="15.75" customHeight="1">
      <c r="B281" s="33">
        <v>46185.0</v>
      </c>
      <c r="C281" s="35">
        <v>19635.0</v>
      </c>
      <c r="D281" s="35">
        <v>24.0</v>
      </c>
      <c r="E281" s="37">
        <v>35.91</v>
      </c>
      <c r="F281" s="38">
        <f t="shared" si="1"/>
        <v>861.84</v>
      </c>
      <c r="G281" s="35" t="s">
        <v>3380</v>
      </c>
      <c r="H281" s="35" t="s">
        <v>3381</v>
      </c>
      <c r="I281" s="35" t="s">
        <v>41</v>
      </c>
      <c r="J281" s="35" t="s">
        <v>34</v>
      </c>
      <c r="K281" s="35" t="s">
        <v>35</v>
      </c>
      <c r="L281" s="35" t="s">
        <v>96</v>
      </c>
      <c r="M281" s="39">
        <v>31.0</v>
      </c>
      <c r="N281" s="40">
        <v>46189.0</v>
      </c>
      <c r="O281" s="42" t="b">
        <v>1</v>
      </c>
      <c r="P281" s="44">
        <v>46190.0</v>
      </c>
      <c r="Q281" s="34"/>
      <c r="R281" s="34"/>
      <c r="S281" s="34"/>
      <c r="T281" s="34"/>
    </row>
    <row r="282" ht="15.75" customHeight="1">
      <c r="B282" s="33">
        <v>46185.0</v>
      </c>
      <c r="C282" s="35">
        <v>19635.0</v>
      </c>
      <c r="D282" s="35">
        <v>3.0</v>
      </c>
      <c r="E282" s="37">
        <v>0.0</v>
      </c>
      <c r="F282" s="38">
        <f t="shared" si="1"/>
        <v>0</v>
      </c>
      <c r="G282" s="35" t="s">
        <v>3382</v>
      </c>
      <c r="H282" s="35" t="s">
        <v>3383</v>
      </c>
      <c r="I282" s="35" t="s">
        <v>41</v>
      </c>
      <c r="J282" s="35" t="s">
        <v>34</v>
      </c>
      <c r="K282" s="35" t="s">
        <v>35</v>
      </c>
      <c r="L282" s="35" t="s">
        <v>96</v>
      </c>
      <c r="M282" s="39">
        <v>31.0</v>
      </c>
      <c r="N282" s="40">
        <v>46189.0</v>
      </c>
      <c r="O282" s="42" t="b">
        <v>1</v>
      </c>
      <c r="P282" s="44">
        <v>46190.0</v>
      </c>
      <c r="Q282" s="34"/>
      <c r="R282" s="34"/>
      <c r="S282" s="34"/>
      <c r="T282" s="34"/>
    </row>
    <row r="283" ht="15.75" customHeight="1">
      <c r="B283" s="33">
        <v>46188.0</v>
      </c>
      <c r="C283" s="35">
        <v>19753.0</v>
      </c>
      <c r="D283" s="35">
        <v>5.0</v>
      </c>
      <c r="E283" s="37">
        <v>239.9</v>
      </c>
      <c r="F283" s="38">
        <f t="shared" si="1"/>
        <v>1199.5</v>
      </c>
      <c r="G283" s="35" t="s">
        <v>2205</v>
      </c>
      <c r="H283" s="35" t="s">
        <v>2207</v>
      </c>
      <c r="I283" s="35" t="s">
        <v>32</v>
      </c>
      <c r="J283" s="35" t="s">
        <v>34</v>
      </c>
      <c r="K283" s="35" t="s">
        <v>35</v>
      </c>
      <c r="L283" s="35" t="s">
        <v>96</v>
      </c>
      <c r="M283" s="39">
        <v>1.0</v>
      </c>
      <c r="N283" s="40">
        <v>46189.0</v>
      </c>
      <c r="O283" s="42" t="b">
        <v>1</v>
      </c>
      <c r="P283" s="44">
        <v>46190.0</v>
      </c>
      <c r="Q283" s="34"/>
      <c r="R283" s="34"/>
      <c r="S283" s="34"/>
      <c r="T283" s="34"/>
    </row>
    <row r="284" ht="15.75" customHeight="1">
      <c r="B284" s="33">
        <v>46188.0</v>
      </c>
      <c r="C284" s="46" t="s">
        <v>3384</v>
      </c>
      <c r="D284" s="35">
        <v>1.0</v>
      </c>
      <c r="E284" s="37">
        <v>10400.0</v>
      </c>
      <c r="F284" s="38">
        <f t="shared" si="1"/>
        <v>10400</v>
      </c>
      <c r="G284" s="35" t="s">
        <v>3293</v>
      </c>
      <c r="H284" s="35" t="s">
        <v>2314</v>
      </c>
      <c r="I284" s="35" t="s">
        <v>39</v>
      </c>
      <c r="J284" s="35" t="s">
        <v>35</v>
      </c>
      <c r="K284" s="35" t="s">
        <v>35</v>
      </c>
      <c r="L284" s="35" t="s">
        <v>151</v>
      </c>
      <c r="M284" s="39">
        <v>31.0</v>
      </c>
      <c r="N284" s="40">
        <v>46188.0</v>
      </c>
      <c r="O284" s="42" t="b">
        <v>1</v>
      </c>
      <c r="P284" s="44">
        <v>46183.0</v>
      </c>
      <c r="Q284" s="34"/>
      <c r="R284" s="34"/>
      <c r="S284" s="34"/>
      <c r="T284" s="34"/>
    </row>
    <row r="285" ht="15.75" customHeight="1">
      <c r="B285" s="33">
        <v>46188.0</v>
      </c>
      <c r="C285" s="46" t="s">
        <v>3384</v>
      </c>
      <c r="D285" s="35">
        <v>1.0</v>
      </c>
      <c r="E285" s="37">
        <v>600.0</v>
      </c>
      <c r="F285" s="38">
        <f t="shared" si="1"/>
        <v>600</v>
      </c>
      <c r="G285" s="35" t="s">
        <v>3294</v>
      </c>
      <c r="H285" s="35" t="s">
        <v>2318</v>
      </c>
      <c r="I285" s="35" t="s">
        <v>39</v>
      </c>
      <c r="J285" s="35" t="s">
        <v>35</v>
      </c>
      <c r="K285" s="35" t="s">
        <v>35</v>
      </c>
      <c r="L285" s="35" t="s">
        <v>151</v>
      </c>
      <c r="M285" s="39">
        <v>31.0</v>
      </c>
      <c r="N285" s="40">
        <v>46188.0</v>
      </c>
      <c r="O285" s="42" t="b">
        <v>1</v>
      </c>
      <c r="P285" s="44">
        <v>46183.0</v>
      </c>
      <c r="Q285" s="34"/>
      <c r="R285" s="34"/>
      <c r="S285" s="34"/>
      <c r="T285" s="34"/>
    </row>
    <row r="286" ht="15.75" customHeight="1">
      <c r="B286" s="33">
        <v>46188.0</v>
      </c>
      <c r="C286" s="35">
        <v>10603.0</v>
      </c>
      <c r="D286" s="35">
        <v>200.0</v>
      </c>
      <c r="E286" s="37">
        <v>106.0</v>
      </c>
      <c r="F286" s="38">
        <f t="shared" si="1"/>
        <v>21200</v>
      </c>
      <c r="G286" s="35" t="s">
        <v>3340</v>
      </c>
      <c r="H286" s="35" t="s">
        <v>3341</v>
      </c>
      <c r="I286" s="35" t="s">
        <v>32</v>
      </c>
      <c r="J286" s="35" t="s">
        <v>34</v>
      </c>
      <c r="K286" s="35" t="s">
        <v>35</v>
      </c>
      <c r="L286" s="35" t="s">
        <v>87</v>
      </c>
      <c r="M286" s="39">
        <v>31.0</v>
      </c>
      <c r="N286" s="40">
        <v>46188.0</v>
      </c>
      <c r="O286" s="42" t="b">
        <v>1</v>
      </c>
      <c r="P286" s="44">
        <v>46188.0</v>
      </c>
      <c r="Q286" s="34"/>
      <c r="R286" s="34"/>
      <c r="S286" s="34"/>
      <c r="T286" s="34"/>
    </row>
    <row r="287" ht="15.75" customHeight="1">
      <c r="B287" s="33">
        <v>46188.0</v>
      </c>
      <c r="C287" s="35">
        <v>10603.0</v>
      </c>
      <c r="D287" s="35">
        <v>50.0</v>
      </c>
      <c r="E287" s="37">
        <v>24.3</v>
      </c>
      <c r="F287" s="38">
        <f t="shared" si="1"/>
        <v>1215</v>
      </c>
      <c r="G287" s="35" t="s">
        <v>782</v>
      </c>
      <c r="H287" s="35" t="s">
        <v>783</v>
      </c>
      <c r="I287" s="35" t="s">
        <v>32</v>
      </c>
      <c r="J287" s="35" t="s">
        <v>34</v>
      </c>
      <c r="K287" s="35" t="s">
        <v>35</v>
      </c>
      <c r="L287" s="35" t="s">
        <v>87</v>
      </c>
      <c r="M287" s="39">
        <v>31.0</v>
      </c>
      <c r="N287" s="40">
        <v>46189.0</v>
      </c>
      <c r="O287" s="42" t="b">
        <v>1</v>
      </c>
      <c r="P287" s="44">
        <v>46188.0</v>
      </c>
      <c r="Q287" s="34"/>
      <c r="R287" s="34"/>
      <c r="S287" s="34"/>
      <c r="T287" s="34"/>
    </row>
    <row r="288" ht="15.75" customHeight="1">
      <c r="B288" s="33">
        <v>46188.0</v>
      </c>
      <c r="C288" s="35">
        <v>10603.0</v>
      </c>
      <c r="D288" s="35">
        <v>20.0</v>
      </c>
      <c r="E288" s="37">
        <v>46.7</v>
      </c>
      <c r="F288" s="38">
        <f t="shared" si="1"/>
        <v>934</v>
      </c>
      <c r="G288" s="35" t="s">
        <v>3385</v>
      </c>
      <c r="H288" s="35" t="s">
        <v>3386</v>
      </c>
      <c r="I288" s="35" t="s">
        <v>32</v>
      </c>
      <c r="J288" s="35" t="s">
        <v>34</v>
      </c>
      <c r="K288" s="35" t="s">
        <v>35</v>
      </c>
      <c r="L288" s="35" t="s">
        <v>87</v>
      </c>
      <c r="M288" s="39">
        <v>31.0</v>
      </c>
      <c r="N288" s="40">
        <v>46189.0</v>
      </c>
      <c r="O288" s="42" t="b">
        <v>1</v>
      </c>
      <c r="P288" s="44">
        <v>46191.0</v>
      </c>
      <c r="Q288" s="34"/>
      <c r="R288" s="34"/>
      <c r="S288" s="34"/>
      <c r="T288" s="34"/>
    </row>
    <row r="289" ht="15.75" customHeight="1">
      <c r="B289" s="33">
        <v>46188.0</v>
      </c>
      <c r="C289" s="35">
        <v>10643.0</v>
      </c>
      <c r="D289" s="35">
        <v>20.0</v>
      </c>
      <c r="E289" s="37">
        <v>305.0</v>
      </c>
      <c r="F289" s="38">
        <f t="shared" si="1"/>
        <v>6100</v>
      </c>
      <c r="G289" s="35" t="s">
        <v>1822</v>
      </c>
      <c r="H289" s="35" t="s">
        <v>506</v>
      </c>
      <c r="I289" s="35" t="s">
        <v>59</v>
      </c>
      <c r="J289" s="35" t="s">
        <v>34</v>
      </c>
      <c r="K289" s="35" t="s">
        <v>35</v>
      </c>
      <c r="L289" s="35" t="s">
        <v>87</v>
      </c>
      <c r="M289" s="39">
        <v>31.0</v>
      </c>
      <c r="N289" s="40">
        <v>46189.0</v>
      </c>
      <c r="O289" s="42" t="b">
        <v>0</v>
      </c>
      <c r="P289" s="44"/>
      <c r="Q289" s="34"/>
      <c r="R289" s="34"/>
      <c r="S289" s="34"/>
      <c r="T289" s="34"/>
    </row>
    <row r="290" ht="15.75" customHeight="1">
      <c r="B290" s="33">
        <v>46188.0</v>
      </c>
      <c r="C290" s="35">
        <v>10644.0</v>
      </c>
      <c r="D290" s="35">
        <v>20.0</v>
      </c>
      <c r="E290" s="37">
        <v>285.0</v>
      </c>
      <c r="F290" s="38">
        <f t="shared" si="1"/>
        <v>5700</v>
      </c>
      <c r="G290" s="35" t="s">
        <v>2838</v>
      </c>
      <c r="H290" s="35" t="s">
        <v>1158</v>
      </c>
      <c r="I290" s="35" t="s">
        <v>59</v>
      </c>
      <c r="J290" s="35" t="s">
        <v>34</v>
      </c>
      <c r="K290" s="35" t="s">
        <v>35</v>
      </c>
      <c r="L290" s="35" t="s">
        <v>87</v>
      </c>
      <c r="M290" s="39">
        <v>31.0</v>
      </c>
      <c r="N290" s="40">
        <v>46187.0</v>
      </c>
      <c r="O290" s="42" t="b">
        <v>1</v>
      </c>
      <c r="P290" s="44">
        <v>46188.0</v>
      </c>
      <c r="Q290" s="34"/>
      <c r="R290" s="34"/>
      <c r="S290" s="34"/>
      <c r="T290" s="34"/>
    </row>
    <row r="291" ht="15.75" customHeight="1">
      <c r="B291" s="33">
        <v>46188.0</v>
      </c>
      <c r="C291" s="35">
        <v>19843.0</v>
      </c>
      <c r="D291" s="35">
        <v>3.0</v>
      </c>
      <c r="E291" s="37">
        <v>339.9</v>
      </c>
      <c r="F291" s="38">
        <f t="shared" si="1"/>
        <v>1019.7</v>
      </c>
      <c r="G291" s="35" t="s">
        <v>3387</v>
      </c>
      <c r="H291" s="35" t="s">
        <v>3388</v>
      </c>
      <c r="I291" s="35" t="s">
        <v>32</v>
      </c>
      <c r="J291" s="35" t="s">
        <v>34</v>
      </c>
      <c r="K291" s="35" t="s">
        <v>35</v>
      </c>
      <c r="L291" s="35" t="s">
        <v>96</v>
      </c>
      <c r="M291" s="39">
        <v>1.0</v>
      </c>
      <c r="N291" s="40">
        <v>46189.0</v>
      </c>
      <c r="O291" s="42" t="b">
        <v>1</v>
      </c>
      <c r="P291" s="44">
        <v>46190.0</v>
      </c>
      <c r="Q291" s="34"/>
      <c r="R291" s="34"/>
      <c r="S291" s="34"/>
      <c r="T291" s="34"/>
    </row>
    <row r="292" ht="15.75" customHeight="1">
      <c r="B292" s="33">
        <v>46188.0</v>
      </c>
      <c r="C292" s="46" t="s">
        <v>3389</v>
      </c>
      <c r="D292" s="35">
        <v>24.0</v>
      </c>
      <c r="E292" s="37">
        <v>103.5</v>
      </c>
      <c r="F292" s="38">
        <f t="shared" si="1"/>
        <v>2484</v>
      </c>
      <c r="G292" s="35" t="s">
        <v>3390</v>
      </c>
      <c r="H292" s="35" t="s">
        <v>3391</v>
      </c>
      <c r="I292" s="35" t="s">
        <v>32</v>
      </c>
      <c r="J292" s="35" t="s">
        <v>34</v>
      </c>
      <c r="K292" s="35" t="s">
        <v>35</v>
      </c>
      <c r="L292" s="35" t="s">
        <v>46</v>
      </c>
      <c r="M292" s="39">
        <v>1.0</v>
      </c>
      <c r="N292" s="40">
        <v>46189.0</v>
      </c>
      <c r="O292" s="42" t="b">
        <v>1</v>
      </c>
      <c r="P292" s="44">
        <v>46190.0</v>
      </c>
      <c r="Q292" s="34"/>
      <c r="R292" s="34"/>
      <c r="S292" s="34"/>
      <c r="T292" s="34"/>
    </row>
    <row r="293" ht="15.75" customHeight="1">
      <c r="B293" s="33">
        <v>46188.0</v>
      </c>
      <c r="C293" s="46" t="s">
        <v>3389</v>
      </c>
      <c r="D293" s="35">
        <v>24.0</v>
      </c>
      <c r="E293" s="37">
        <v>72.0</v>
      </c>
      <c r="F293" s="38">
        <f t="shared" si="1"/>
        <v>1728</v>
      </c>
      <c r="G293" s="35" t="s">
        <v>3390</v>
      </c>
      <c r="H293" s="35" t="s">
        <v>3392</v>
      </c>
      <c r="I293" s="35" t="s">
        <v>32</v>
      </c>
      <c r="J293" s="35" t="s">
        <v>34</v>
      </c>
      <c r="K293" s="35" t="s">
        <v>35</v>
      </c>
      <c r="L293" s="35" t="s">
        <v>46</v>
      </c>
      <c r="M293" s="39">
        <v>1.0</v>
      </c>
      <c r="N293" s="40">
        <v>46189.0</v>
      </c>
      <c r="O293" s="42" t="b">
        <v>1</v>
      </c>
      <c r="P293" s="44">
        <v>45094.0</v>
      </c>
      <c r="Q293" s="34"/>
      <c r="R293" s="34"/>
      <c r="S293" s="34"/>
      <c r="T293" s="34"/>
    </row>
    <row r="294" ht="15.75" customHeight="1">
      <c r="B294" s="33">
        <v>46189.0</v>
      </c>
      <c r="C294" s="35">
        <v>10763.0</v>
      </c>
      <c r="D294" s="35">
        <v>50.0</v>
      </c>
      <c r="E294" s="37">
        <v>44.2</v>
      </c>
      <c r="F294" s="38">
        <f t="shared" si="1"/>
        <v>2210</v>
      </c>
      <c r="G294" s="35" t="s">
        <v>3393</v>
      </c>
      <c r="H294" s="35" t="s">
        <v>3394</v>
      </c>
      <c r="I294" s="35" t="s">
        <v>59</v>
      </c>
      <c r="J294" s="35" t="s">
        <v>34</v>
      </c>
      <c r="K294" s="35" t="s">
        <v>35</v>
      </c>
      <c r="L294" s="35" t="s">
        <v>87</v>
      </c>
      <c r="M294" s="39">
        <v>31.0</v>
      </c>
      <c r="N294" s="40">
        <v>46189.0</v>
      </c>
      <c r="O294" s="42" t="b">
        <v>1</v>
      </c>
      <c r="P294" s="44">
        <v>46189.0</v>
      </c>
      <c r="Q294" s="34"/>
      <c r="R294" s="34"/>
      <c r="S294" s="34"/>
      <c r="T294" s="34"/>
    </row>
    <row r="295" ht="15.75" customHeight="1">
      <c r="B295" s="33">
        <v>46189.0</v>
      </c>
      <c r="C295" s="35">
        <v>10762.0</v>
      </c>
      <c r="D295" s="35">
        <v>2.0</v>
      </c>
      <c r="E295" s="37">
        <v>255.0</v>
      </c>
      <c r="F295" s="38">
        <f t="shared" si="1"/>
        <v>510</v>
      </c>
      <c r="G295" s="35" t="s">
        <v>3395</v>
      </c>
      <c r="H295" s="35" t="s">
        <v>3396</v>
      </c>
      <c r="I295" s="35" t="s">
        <v>157</v>
      </c>
      <c r="J295" s="35" t="s">
        <v>34</v>
      </c>
      <c r="K295" s="35" t="s">
        <v>35</v>
      </c>
      <c r="L295" s="35" t="s">
        <v>87</v>
      </c>
      <c r="M295" s="39">
        <v>31.0</v>
      </c>
      <c r="N295" s="40">
        <v>46191.0</v>
      </c>
      <c r="O295" s="42" t="b">
        <v>1</v>
      </c>
      <c r="P295" s="44">
        <v>46191.0</v>
      </c>
      <c r="Q295" s="34"/>
      <c r="R295" s="34"/>
      <c r="S295" s="34"/>
      <c r="T295" s="34"/>
    </row>
    <row r="296" ht="15.75" customHeight="1">
      <c r="B296" s="33">
        <v>46189.0</v>
      </c>
      <c r="C296" s="35">
        <v>10762.0</v>
      </c>
      <c r="D296" s="35">
        <v>1.0</v>
      </c>
      <c r="E296" s="37">
        <v>255.0</v>
      </c>
      <c r="F296" s="38">
        <f t="shared" si="1"/>
        <v>255</v>
      </c>
      <c r="G296" s="35" t="s">
        <v>3395</v>
      </c>
      <c r="H296" s="35" t="s">
        <v>3396</v>
      </c>
      <c r="I296" s="35" t="s">
        <v>157</v>
      </c>
      <c r="J296" s="35" t="s">
        <v>183</v>
      </c>
      <c r="K296" s="35" t="s">
        <v>35</v>
      </c>
      <c r="L296" s="35" t="s">
        <v>87</v>
      </c>
      <c r="M296" s="39">
        <v>31.0</v>
      </c>
      <c r="N296" s="40">
        <v>46191.0</v>
      </c>
      <c r="O296" s="42" t="b">
        <v>1</v>
      </c>
      <c r="P296" s="44">
        <v>46191.0</v>
      </c>
      <c r="Q296" s="34"/>
      <c r="R296" s="34"/>
      <c r="S296" s="34"/>
      <c r="T296" s="34"/>
    </row>
    <row r="297" ht="15.75" customHeight="1">
      <c r="B297" s="33">
        <v>46189.0</v>
      </c>
      <c r="C297" s="35">
        <v>10762.0</v>
      </c>
      <c r="D297" s="35">
        <v>7.0</v>
      </c>
      <c r="E297" s="37">
        <v>255.0</v>
      </c>
      <c r="F297" s="38">
        <f t="shared" si="1"/>
        <v>1785</v>
      </c>
      <c r="G297" s="35" t="s">
        <v>3395</v>
      </c>
      <c r="H297" s="35" t="s">
        <v>3396</v>
      </c>
      <c r="I297" s="35" t="s">
        <v>157</v>
      </c>
      <c r="J297" s="35" t="s">
        <v>40</v>
      </c>
      <c r="K297" s="35" t="s">
        <v>35</v>
      </c>
      <c r="L297" s="35" t="s">
        <v>87</v>
      </c>
      <c r="M297" s="39">
        <v>31.0</v>
      </c>
      <c r="N297" s="40">
        <v>46191.0</v>
      </c>
      <c r="O297" s="42" t="b">
        <v>1</v>
      </c>
      <c r="P297" s="44">
        <v>46191.0</v>
      </c>
      <c r="Q297" s="34"/>
      <c r="R297" s="34"/>
      <c r="S297" s="34"/>
      <c r="T297" s="34"/>
    </row>
    <row r="298" ht="15.75" customHeight="1">
      <c r="B298" s="33">
        <v>46189.0</v>
      </c>
      <c r="C298" s="35">
        <v>10794.0</v>
      </c>
      <c r="D298" s="35">
        <v>20.0</v>
      </c>
      <c r="E298" s="37">
        <v>285.0</v>
      </c>
      <c r="F298" s="38">
        <f t="shared" si="1"/>
        <v>5700</v>
      </c>
      <c r="G298" s="35" t="s">
        <v>2838</v>
      </c>
      <c r="H298" s="35" t="s">
        <v>1158</v>
      </c>
      <c r="I298" s="35" t="s">
        <v>59</v>
      </c>
      <c r="J298" s="35" t="s">
        <v>34</v>
      </c>
      <c r="K298" s="35" t="s">
        <v>35</v>
      </c>
      <c r="L298" s="35" t="s">
        <v>87</v>
      </c>
      <c r="M298" s="39">
        <v>31.0</v>
      </c>
      <c r="N298" s="40">
        <v>46188.0</v>
      </c>
      <c r="O298" s="42" t="b">
        <v>1</v>
      </c>
      <c r="P298" s="44">
        <v>46189.0</v>
      </c>
      <c r="Q298" s="34"/>
      <c r="R298" s="34"/>
      <c r="S298" s="34"/>
      <c r="T298" s="34"/>
    </row>
    <row r="299" ht="15.75" customHeight="1">
      <c r="B299" s="33">
        <v>46189.0</v>
      </c>
      <c r="C299" s="35" t="s">
        <v>35</v>
      </c>
      <c r="D299" s="35">
        <v>4.0</v>
      </c>
      <c r="E299" s="37">
        <v>6300.0</v>
      </c>
      <c r="F299" s="38">
        <f t="shared" si="1"/>
        <v>25200</v>
      </c>
      <c r="G299" s="35" t="s">
        <v>2570</v>
      </c>
      <c r="H299" s="35" t="s">
        <v>2250</v>
      </c>
      <c r="I299" s="35" t="s">
        <v>39</v>
      </c>
      <c r="J299" s="35" t="s">
        <v>183</v>
      </c>
      <c r="K299" s="35" t="s">
        <v>35</v>
      </c>
      <c r="L299" s="35" t="s">
        <v>2251</v>
      </c>
      <c r="M299" s="39">
        <v>31.0</v>
      </c>
      <c r="N299" s="40">
        <v>46192.0</v>
      </c>
      <c r="O299" s="42" t="b">
        <v>1</v>
      </c>
      <c r="P299" s="45"/>
      <c r="Q299" s="34"/>
      <c r="R299" s="33">
        <v>46190.0</v>
      </c>
      <c r="S299" s="34"/>
      <c r="T299" s="34"/>
    </row>
    <row r="300" ht="15.75" customHeight="1">
      <c r="B300" s="33">
        <v>46189.0</v>
      </c>
      <c r="C300" s="35" t="s">
        <v>35</v>
      </c>
      <c r="D300" s="35">
        <v>2.0</v>
      </c>
      <c r="E300" s="37">
        <v>6300.0</v>
      </c>
      <c r="F300" s="38">
        <f t="shared" si="1"/>
        <v>12600</v>
      </c>
      <c r="G300" s="35" t="s">
        <v>3397</v>
      </c>
      <c r="H300" s="35" t="s">
        <v>2250</v>
      </c>
      <c r="I300" s="35" t="s">
        <v>39</v>
      </c>
      <c r="J300" s="35" t="s">
        <v>183</v>
      </c>
      <c r="K300" s="35" t="s">
        <v>35</v>
      </c>
      <c r="L300" s="35" t="s">
        <v>2251</v>
      </c>
      <c r="M300" s="39">
        <v>31.0</v>
      </c>
      <c r="N300" s="40">
        <v>46192.0</v>
      </c>
      <c r="O300" s="42" t="b">
        <v>1</v>
      </c>
      <c r="P300" s="45"/>
      <c r="Q300" s="34"/>
      <c r="R300" s="33">
        <v>46190.0</v>
      </c>
      <c r="S300" s="34"/>
      <c r="T300" s="34"/>
    </row>
    <row r="301" ht="15.75" customHeight="1">
      <c r="B301" s="33">
        <v>46189.0</v>
      </c>
      <c r="C301" s="35" t="s">
        <v>35</v>
      </c>
      <c r="D301" s="35">
        <v>1.0</v>
      </c>
      <c r="E301" s="37">
        <v>1940.0</v>
      </c>
      <c r="F301" s="38">
        <f t="shared" si="1"/>
        <v>1940</v>
      </c>
      <c r="G301" s="35" t="s">
        <v>3398</v>
      </c>
      <c r="H301" s="35" t="s">
        <v>35</v>
      </c>
      <c r="I301" s="35" t="s">
        <v>157</v>
      </c>
      <c r="J301" s="35" t="s">
        <v>34</v>
      </c>
      <c r="K301" s="35" t="s">
        <v>35</v>
      </c>
      <c r="L301" s="35" t="s">
        <v>2794</v>
      </c>
      <c r="M301" s="39">
        <v>31.0</v>
      </c>
      <c r="N301" s="40">
        <v>46192.0</v>
      </c>
      <c r="O301" s="42" t="b">
        <v>0</v>
      </c>
      <c r="P301" s="44"/>
      <c r="Q301" s="34"/>
      <c r="R301" s="33">
        <v>46189.0</v>
      </c>
      <c r="S301" s="34"/>
      <c r="T301" s="34"/>
    </row>
    <row r="302" ht="15.75" customHeight="1">
      <c r="B302" s="33">
        <v>46189.0</v>
      </c>
      <c r="C302" s="35" t="s">
        <v>35</v>
      </c>
      <c r="D302" s="35">
        <v>1.0</v>
      </c>
      <c r="E302" s="37">
        <v>530.0</v>
      </c>
      <c r="F302" s="38">
        <f t="shared" si="1"/>
        <v>530</v>
      </c>
      <c r="G302" s="35" t="s">
        <v>3399</v>
      </c>
      <c r="H302" s="35" t="s">
        <v>35</v>
      </c>
      <c r="I302" s="35" t="s">
        <v>157</v>
      </c>
      <c r="J302" s="35" t="s">
        <v>34</v>
      </c>
      <c r="K302" s="35" t="s">
        <v>35</v>
      </c>
      <c r="L302" s="35" t="s">
        <v>2794</v>
      </c>
      <c r="M302" s="39">
        <v>31.0</v>
      </c>
      <c r="N302" s="40">
        <v>46191.0</v>
      </c>
      <c r="O302" s="42" t="b">
        <v>0</v>
      </c>
      <c r="P302" s="44">
        <v>46192.0</v>
      </c>
      <c r="Q302" s="34"/>
      <c r="R302" s="33">
        <v>46189.0</v>
      </c>
      <c r="S302" s="34"/>
      <c r="T302" s="34"/>
    </row>
    <row r="303" ht="15.75" customHeight="1">
      <c r="B303" s="33">
        <v>46189.0</v>
      </c>
      <c r="C303" s="35" t="s">
        <v>35</v>
      </c>
      <c r="D303" s="35">
        <v>50.0</v>
      </c>
      <c r="E303" s="37">
        <v>250.0</v>
      </c>
      <c r="F303" s="38">
        <f t="shared" si="1"/>
        <v>12500</v>
      </c>
      <c r="G303" s="35" t="s">
        <v>226</v>
      </c>
      <c r="H303" s="35" t="s">
        <v>227</v>
      </c>
      <c r="I303" s="35" t="s">
        <v>41</v>
      </c>
      <c r="J303" s="35" t="s">
        <v>34</v>
      </c>
      <c r="K303" s="35" t="s">
        <v>35</v>
      </c>
      <c r="L303" s="35" t="s">
        <v>314</v>
      </c>
      <c r="M303" s="39">
        <v>31.0</v>
      </c>
      <c r="N303" s="40">
        <v>46190.0</v>
      </c>
      <c r="O303" s="42" t="b">
        <v>1</v>
      </c>
      <c r="P303" s="36"/>
      <c r="Q303" s="34"/>
      <c r="R303" s="33">
        <v>46191.0</v>
      </c>
      <c r="S303" s="34"/>
      <c r="T303" s="34"/>
    </row>
    <row r="304" ht="15.75" customHeight="1">
      <c r="B304" s="33">
        <v>46189.0</v>
      </c>
      <c r="C304" s="35">
        <v>1061808.0</v>
      </c>
      <c r="D304" s="35">
        <v>6.0</v>
      </c>
      <c r="E304" s="37">
        <v>1399.9</v>
      </c>
      <c r="F304" s="38">
        <f t="shared" si="1"/>
        <v>8399.4</v>
      </c>
      <c r="G304" s="35" t="s">
        <v>3400</v>
      </c>
      <c r="H304" s="35" t="s">
        <v>3401</v>
      </c>
      <c r="I304" s="35" t="s">
        <v>673</v>
      </c>
      <c r="J304" s="35" t="s">
        <v>175</v>
      </c>
      <c r="K304" s="35" t="s">
        <v>35</v>
      </c>
      <c r="L304" s="35" t="s">
        <v>3329</v>
      </c>
      <c r="M304" s="39">
        <v>1.0</v>
      </c>
      <c r="N304" s="40">
        <v>46197.0</v>
      </c>
      <c r="O304" s="42" t="b">
        <v>1</v>
      </c>
      <c r="P304" s="44">
        <v>46197.0</v>
      </c>
      <c r="Q304" s="34"/>
      <c r="R304" s="34"/>
      <c r="S304" s="34"/>
      <c r="T304" s="34"/>
    </row>
    <row r="305" ht="15.75" customHeight="1">
      <c r="B305" s="33">
        <v>46189.0</v>
      </c>
      <c r="C305" s="35">
        <v>20064.0</v>
      </c>
      <c r="D305" s="35">
        <v>20.0</v>
      </c>
      <c r="E305" s="37">
        <v>50.99</v>
      </c>
      <c r="F305" s="38">
        <f t="shared" si="1"/>
        <v>1019.8</v>
      </c>
      <c r="G305" s="35" t="s">
        <v>3376</v>
      </c>
      <c r="H305" s="35" t="s">
        <v>3377</v>
      </c>
      <c r="I305" s="35" t="s">
        <v>41</v>
      </c>
      <c r="J305" s="35" t="s">
        <v>34</v>
      </c>
      <c r="K305" s="35" t="s">
        <v>35</v>
      </c>
      <c r="L305" s="35" t="s">
        <v>96</v>
      </c>
      <c r="M305" s="39">
        <v>31.0</v>
      </c>
      <c r="N305" s="40">
        <v>46189.0</v>
      </c>
      <c r="O305" s="42" t="b">
        <v>1</v>
      </c>
      <c r="P305" s="44">
        <v>46190.0</v>
      </c>
      <c r="Q305" s="34"/>
      <c r="R305" s="34"/>
      <c r="S305" s="34"/>
      <c r="T305" s="34"/>
    </row>
    <row r="306" ht="15.75" customHeight="1">
      <c r="B306" s="33">
        <v>46189.0</v>
      </c>
      <c r="C306" s="35">
        <v>20064.0</v>
      </c>
      <c r="D306" s="35">
        <v>1.0</v>
      </c>
      <c r="E306" s="37">
        <v>249.9</v>
      </c>
      <c r="F306" s="38">
        <f t="shared" si="1"/>
        <v>249.9</v>
      </c>
      <c r="G306" s="35" t="s">
        <v>3402</v>
      </c>
      <c r="H306" s="35" t="s">
        <v>2595</v>
      </c>
      <c r="I306" s="35" t="s">
        <v>41</v>
      </c>
      <c r="J306" s="35" t="s">
        <v>34</v>
      </c>
      <c r="K306" s="35" t="s">
        <v>35</v>
      </c>
      <c r="L306" s="35" t="s">
        <v>96</v>
      </c>
      <c r="M306" s="39">
        <v>31.0</v>
      </c>
      <c r="N306" s="40">
        <v>46189.0</v>
      </c>
      <c r="O306" s="42" t="b">
        <v>1</v>
      </c>
      <c r="P306" s="44">
        <v>46190.0</v>
      </c>
      <c r="Q306" s="34"/>
      <c r="R306" s="34"/>
      <c r="S306" s="34"/>
      <c r="T306" s="34"/>
    </row>
    <row r="307" ht="15.75" customHeight="1">
      <c r="B307" s="33">
        <v>46189.0</v>
      </c>
      <c r="C307" s="35">
        <v>20064.0</v>
      </c>
      <c r="D307" s="35">
        <v>4.0</v>
      </c>
      <c r="E307" s="37">
        <v>189.9</v>
      </c>
      <c r="F307" s="38">
        <f t="shared" si="1"/>
        <v>759.6</v>
      </c>
      <c r="G307" s="35" t="s">
        <v>3194</v>
      </c>
      <c r="H307" s="35" t="s">
        <v>3195</v>
      </c>
      <c r="I307" s="35" t="s">
        <v>41</v>
      </c>
      <c r="J307" s="35" t="s">
        <v>34</v>
      </c>
      <c r="K307" s="35" t="s">
        <v>35</v>
      </c>
      <c r="L307" s="35" t="s">
        <v>96</v>
      </c>
      <c r="M307" s="39">
        <v>31.0</v>
      </c>
      <c r="N307" s="40">
        <v>46189.0</v>
      </c>
      <c r="O307" s="42" t="b">
        <v>1</v>
      </c>
      <c r="P307" s="44">
        <v>46190.0</v>
      </c>
      <c r="Q307" s="34"/>
      <c r="R307" s="34"/>
      <c r="S307" s="34"/>
      <c r="T307" s="34"/>
    </row>
    <row r="308" ht="15.75" customHeight="1">
      <c r="B308" s="33">
        <v>46189.0</v>
      </c>
      <c r="C308" s="35">
        <v>20064.0</v>
      </c>
      <c r="D308" s="35">
        <v>36.0</v>
      </c>
      <c r="E308" s="37">
        <v>27.9</v>
      </c>
      <c r="F308" s="38">
        <f t="shared" si="1"/>
        <v>1004.4</v>
      </c>
      <c r="G308" s="35" t="s">
        <v>3403</v>
      </c>
      <c r="H308" s="35" t="s">
        <v>3404</v>
      </c>
      <c r="I308" s="35" t="s">
        <v>41</v>
      </c>
      <c r="J308" s="35" t="s">
        <v>34</v>
      </c>
      <c r="K308" s="35" t="s">
        <v>35</v>
      </c>
      <c r="L308" s="35" t="s">
        <v>96</v>
      </c>
      <c r="M308" s="39">
        <v>31.0</v>
      </c>
      <c r="N308" s="40">
        <v>46189.0</v>
      </c>
      <c r="O308" s="42" t="b">
        <v>1</v>
      </c>
      <c r="P308" s="44">
        <v>46190.0</v>
      </c>
      <c r="Q308" s="34"/>
      <c r="R308" s="34"/>
      <c r="S308" s="34"/>
      <c r="T308" s="34"/>
    </row>
    <row r="309" ht="15.75" customHeight="1">
      <c r="B309" s="33">
        <v>46189.0</v>
      </c>
      <c r="C309" s="35">
        <v>20064.0</v>
      </c>
      <c r="D309" s="35">
        <v>60.0</v>
      </c>
      <c r="E309" s="37">
        <v>8.9</v>
      </c>
      <c r="F309" s="38">
        <f t="shared" si="1"/>
        <v>534</v>
      </c>
      <c r="G309" s="35" t="s">
        <v>3405</v>
      </c>
      <c r="H309" s="35" t="s">
        <v>3406</v>
      </c>
      <c r="I309" s="35" t="s">
        <v>41</v>
      </c>
      <c r="J309" s="35" t="s">
        <v>34</v>
      </c>
      <c r="K309" s="35" t="s">
        <v>35</v>
      </c>
      <c r="L309" s="35" t="s">
        <v>96</v>
      </c>
      <c r="M309" s="39">
        <v>31.0</v>
      </c>
      <c r="N309" s="40">
        <v>46189.0</v>
      </c>
      <c r="O309" s="42" t="b">
        <v>1</v>
      </c>
      <c r="P309" s="44">
        <v>46190.0</v>
      </c>
      <c r="Q309" s="34"/>
      <c r="R309" s="34"/>
      <c r="S309" s="34"/>
      <c r="T309" s="34"/>
    </row>
    <row r="310" ht="15.75" customHeight="1">
      <c r="B310" s="33">
        <v>46189.0</v>
      </c>
      <c r="C310" s="35">
        <v>20064.0</v>
      </c>
      <c r="D310" s="35">
        <v>20.0</v>
      </c>
      <c r="E310" s="37">
        <v>14.9</v>
      </c>
      <c r="F310" s="38">
        <f t="shared" si="1"/>
        <v>298</v>
      </c>
      <c r="G310" s="35" t="s">
        <v>3407</v>
      </c>
      <c r="H310" s="35" t="s">
        <v>3408</v>
      </c>
      <c r="I310" s="35" t="s">
        <v>41</v>
      </c>
      <c r="J310" s="35" t="s">
        <v>34</v>
      </c>
      <c r="K310" s="35" t="s">
        <v>35</v>
      </c>
      <c r="L310" s="35" t="s">
        <v>96</v>
      </c>
      <c r="M310" s="39">
        <v>31.0</v>
      </c>
      <c r="N310" s="40">
        <v>46189.0</v>
      </c>
      <c r="O310" s="42" t="b">
        <v>1</v>
      </c>
      <c r="P310" s="44">
        <v>46190.0</v>
      </c>
      <c r="Q310" s="34"/>
      <c r="R310" s="34"/>
      <c r="S310" s="34"/>
      <c r="T310" s="34"/>
    </row>
    <row r="311" ht="15.75" customHeight="1">
      <c r="B311" s="33">
        <v>46189.0</v>
      </c>
      <c r="C311" s="35">
        <v>20064.0</v>
      </c>
      <c r="D311" s="35">
        <v>60.0</v>
      </c>
      <c r="E311" s="37">
        <v>12.99</v>
      </c>
      <c r="F311" s="38">
        <f t="shared" si="1"/>
        <v>779.4</v>
      </c>
      <c r="G311" s="35" t="s">
        <v>1625</v>
      </c>
      <c r="H311" s="35" t="s">
        <v>3198</v>
      </c>
      <c r="I311" s="35" t="s">
        <v>41</v>
      </c>
      <c r="J311" s="35" t="s">
        <v>34</v>
      </c>
      <c r="K311" s="35" t="s">
        <v>35</v>
      </c>
      <c r="L311" s="35" t="s">
        <v>96</v>
      </c>
      <c r="M311" s="39">
        <v>31.0</v>
      </c>
      <c r="N311" s="40">
        <v>46189.0</v>
      </c>
      <c r="O311" s="42" t="b">
        <v>1</v>
      </c>
      <c r="P311" s="44">
        <v>46190.0</v>
      </c>
      <c r="Q311" s="34"/>
      <c r="R311" s="34"/>
      <c r="S311" s="34"/>
      <c r="T311" s="34"/>
    </row>
    <row r="312" ht="15.75" customHeight="1">
      <c r="B312" s="33">
        <v>46189.0</v>
      </c>
      <c r="C312" s="35">
        <v>20064.0</v>
      </c>
      <c r="D312" s="35">
        <v>60.0</v>
      </c>
      <c r="E312" s="37">
        <v>18.99</v>
      </c>
      <c r="F312" s="38">
        <f t="shared" si="1"/>
        <v>1139.4</v>
      </c>
      <c r="G312" s="35" t="s">
        <v>1851</v>
      </c>
      <c r="H312" s="35" t="s">
        <v>1852</v>
      </c>
      <c r="I312" s="35" t="s">
        <v>41</v>
      </c>
      <c r="J312" s="35" t="s">
        <v>34</v>
      </c>
      <c r="K312" s="35" t="s">
        <v>35</v>
      </c>
      <c r="L312" s="35" t="s">
        <v>96</v>
      </c>
      <c r="M312" s="39">
        <v>31.0</v>
      </c>
      <c r="N312" s="40">
        <v>46189.0</v>
      </c>
      <c r="O312" s="42" t="b">
        <v>1</v>
      </c>
      <c r="P312" s="44">
        <v>46190.0</v>
      </c>
      <c r="Q312" s="34"/>
      <c r="R312" s="34"/>
      <c r="S312" s="34"/>
      <c r="T312" s="34"/>
    </row>
    <row r="313" ht="15.75" customHeight="1">
      <c r="B313" s="33">
        <v>46189.0</v>
      </c>
      <c r="C313" s="35">
        <v>20064.0</v>
      </c>
      <c r="D313" s="35">
        <v>10.0</v>
      </c>
      <c r="E313" s="37">
        <v>109.9</v>
      </c>
      <c r="F313" s="38">
        <f t="shared" si="1"/>
        <v>1099</v>
      </c>
      <c r="G313" s="35" t="s">
        <v>416</v>
      </c>
      <c r="H313" s="35" t="s">
        <v>417</v>
      </c>
      <c r="I313" s="35" t="s">
        <v>41</v>
      </c>
      <c r="J313" s="35" t="s">
        <v>34</v>
      </c>
      <c r="K313" s="35" t="s">
        <v>35</v>
      </c>
      <c r="L313" s="35" t="s">
        <v>96</v>
      </c>
      <c r="M313" s="39">
        <v>31.0</v>
      </c>
      <c r="N313" s="40">
        <v>46189.0</v>
      </c>
      <c r="O313" s="42" t="b">
        <v>1</v>
      </c>
      <c r="P313" s="44">
        <v>46190.0</v>
      </c>
      <c r="Q313" s="34"/>
      <c r="R313" s="34"/>
      <c r="S313" s="34"/>
      <c r="T313" s="34"/>
    </row>
    <row r="314" ht="15.75" customHeight="1">
      <c r="B314" s="33">
        <v>46189.0</v>
      </c>
      <c r="C314" s="35">
        <v>20064.0</v>
      </c>
      <c r="D314" s="35">
        <v>6.0</v>
      </c>
      <c r="E314" s="37">
        <v>89.99</v>
      </c>
      <c r="F314" s="38">
        <f t="shared" si="1"/>
        <v>539.94</v>
      </c>
      <c r="G314" s="35" t="s">
        <v>214</v>
      </c>
      <c r="H314" s="35" t="s">
        <v>216</v>
      </c>
      <c r="I314" s="35" t="s">
        <v>41</v>
      </c>
      <c r="J314" s="35" t="s">
        <v>34</v>
      </c>
      <c r="K314" s="35" t="s">
        <v>35</v>
      </c>
      <c r="L314" s="35" t="s">
        <v>96</v>
      </c>
      <c r="M314" s="39">
        <v>31.0</v>
      </c>
      <c r="N314" s="40">
        <v>46189.0</v>
      </c>
      <c r="O314" s="42" t="b">
        <v>1</v>
      </c>
      <c r="P314" s="44">
        <v>46190.0</v>
      </c>
      <c r="Q314" s="34"/>
      <c r="R314" s="34"/>
      <c r="S314" s="34"/>
      <c r="T314" s="34"/>
    </row>
    <row r="315" ht="15.75" customHeight="1">
      <c r="B315" s="33">
        <v>46189.0</v>
      </c>
      <c r="C315" s="35">
        <v>20064.0</v>
      </c>
      <c r="D315" s="35">
        <v>5.0</v>
      </c>
      <c r="E315" s="37">
        <v>259.9</v>
      </c>
      <c r="F315" s="38">
        <f t="shared" si="1"/>
        <v>1299.5</v>
      </c>
      <c r="G315" s="35" t="s">
        <v>1166</v>
      </c>
      <c r="H315" s="35" t="s">
        <v>1167</v>
      </c>
      <c r="I315" s="35" t="s">
        <v>41</v>
      </c>
      <c r="J315" s="35" t="s">
        <v>34</v>
      </c>
      <c r="K315" s="35" t="s">
        <v>35</v>
      </c>
      <c r="L315" s="35" t="s">
        <v>96</v>
      </c>
      <c r="M315" s="39">
        <v>31.0</v>
      </c>
      <c r="N315" s="40">
        <v>46189.0</v>
      </c>
      <c r="O315" s="42" t="b">
        <v>1</v>
      </c>
      <c r="P315" s="44">
        <v>46190.0</v>
      </c>
      <c r="Q315" s="34"/>
      <c r="R315" s="34"/>
      <c r="S315" s="34"/>
      <c r="T315" s="34"/>
    </row>
    <row r="316" ht="15.75" customHeight="1">
      <c r="B316" s="33">
        <v>46189.0</v>
      </c>
      <c r="C316" s="35">
        <v>20064.0</v>
      </c>
      <c r="D316" s="35">
        <v>40.0</v>
      </c>
      <c r="E316" s="37">
        <v>18.9</v>
      </c>
      <c r="F316" s="38">
        <f t="shared" si="1"/>
        <v>756</v>
      </c>
      <c r="G316" s="35" t="s">
        <v>3409</v>
      </c>
      <c r="H316" s="35" t="s">
        <v>3410</v>
      </c>
      <c r="I316" s="35" t="s">
        <v>41</v>
      </c>
      <c r="J316" s="35" t="s">
        <v>34</v>
      </c>
      <c r="K316" s="35" t="s">
        <v>35</v>
      </c>
      <c r="L316" s="35" t="s">
        <v>96</v>
      </c>
      <c r="M316" s="39">
        <v>31.0</v>
      </c>
      <c r="N316" s="40">
        <v>46189.0</v>
      </c>
      <c r="O316" s="42" t="b">
        <v>1</v>
      </c>
      <c r="P316" s="44">
        <v>46190.0</v>
      </c>
      <c r="Q316" s="34"/>
      <c r="R316" s="34"/>
      <c r="S316" s="34"/>
      <c r="T316" s="34"/>
    </row>
    <row r="317" ht="15.75" customHeight="1">
      <c r="B317" s="33">
        <v>46189.0</v>
      </c>
      <c r="C317" s="35">
        <v>20064.0</v>
      </c>
      <c r="D317" s="35">
        <v>50.0</v>
      </c>
      <c r="E317" s="37">
        <v>14.8</v>
      </c>
      <c r="F317" s="38">
        <f t="shared" si="1"/>
        <v>740</v>
      </c>
      <c r="G317" s="35" t="s">
        <v>3411</v>
      </c>
      <c r="H317" s="35" t="s">
        <v>2621</v>
      </c>
      <c r="I317" s="35" t="s">
        <v>41</v>
      </c>
      <c r="J317" s="35" t="s">
        <v>34</v>
      </c>
      <c r="K317" s="35" t="s">
        <v>35</v>
      </c>
      <c r="L317" s="35" t="s">
        <v>96</v>
      </c>
      <c r="M317" s="39">
        <v>31.0</v>
      </c>
      <c r="N317" s="40">
        <v>46189.0</v>
      </c>
      <c r="O317" s="42" t="b">
        <v>1</v>
      </c>
      <c r="P317" s="44">
        <v>46190.0</v>
      </c>
      <c r="Q317" s="34"/>
      <c r="R317" s="34"/>
      <c r="S317" s="34"/>
      <c r="T317" s="34"/>
    </row>
    <row r="318" ht="15.75" customHeight="1">
      <c r="B318" s="33">
        <v>46189.0</v>
      </c>
      <c r="C318" s="35">
        <v>20064.0</v>
      </c>
      <c r="D318" s="35">
        <v>40.0</v>
      </c>
      <c r="E318" s="37">
        <v>13.9</v>
      </c>
      <c r="F318" s="38">
        <f t="shared" si="1"/>
        <v>556</v>
      </c>
      <c r="G318" s="35" t="s">
        <v>3412</v>
      </c>
      <c r="H318" s="35" t="s">
        <v>1474</v>
      </c>
      <c r="I318" s="35" t="s">
        <v>41</v>
      </c>
      <c r="J318" s="35" t="s">
        <v>34</v>
      </c>
      <c r="K318" s="35" t="s">
        <v>35</v>
      </c>
      <c r="L318" s="35" t="s">
        <v>96</v>
      </c>
      <c r="M318" s="39">
        <v>31.0</v>
      </c>
      <c r="N318" s="40">
        <v>46189.0</v>
      </c>
      <c r="O318" s="42" t="b">
        <v>1</v>
      </c>
      <c r="P318" s="44">
        <v>46190.0</v>
      </c>
      <c r="Q318" s="34"/>
      <c r="R318" s="34"/>
      <c r="S318" s="34"/>
      <c r="T318" s="34"/>
    </row>
    <row r="319" ht="15.75" customHeight="1">
      <c r="B319" s="33">
        <v>46189.0</v>
      </c>
      <c r="C319" s="35">
        <v>20064.0</v>
      </c>
      <c r="D319" s="35">
        <v>48.0</v>
      </c>
      <c r="E319" s="37">
        <v>14.9</v>
      </c>
      <c r="F319" s="38">
        <f t="shared" si="1"/>
        <v>715.2</v>
      </c>
      <c r="G319" s="35" t="s">
        <v>3413</v>
      </c>
      <c r="H319" s="35" t="s">
        <v>1638</v>
      </c>
      <c r="I319" s="35" t="s">
        <v>41</v>
      </c>
      <c r="J319" s="35" t="s">
        <v>34</v>
      </c>
      <c r="K319" s="35" t="s">
        <v>35</v>
      </c>
      <c r="L319" s="35" t="s">
        <v>96</v>
      </c>
      <c r="M319" s="39">
        <v>31.0</v>
      </c>
      <c r="N319" s="40">
        <v>46189.0</v>
      </c>
      <c r="O319" s="42" t="b">
        <v>1</v>
      </c>
      <c r="P319" s="44">
        <v>46190.0</v>
      </c>
      <c r="Q319" s="34"/>
      <c r="R319" s="34"/>
      <c r="S319" s="34"/>
      <c r="T319" s="34"/>
    </row>
    <row r="320" ht="15.75" customHeight="1">
      <c r="B320" s="33">
        <v>46189.0</v>
      </c>
      <c r="C320" s="35">
        <v>20064.0</v>
      </c>
      <c r="D320" s="35">
        <v>4.0</v>
      </c>
      <c r="E320" s="37">
        <v>349.9</v>
      </c>
      <c r="F320" s="38">
        <f t="shared" si="1"/>
        <v>1399.6</v>
      </c>
      <c r="G320" s="35" t="s">
        <v>3414</v>
      </c>
      <c r="H320" s="35" t="s">
        <v>190</v>
      </c>
      <c r="I320" s="35" t="s">
        <v>41</v>
      </c>
      <c r="J320" s="35" t="s">
        <v>34</v>
      </c>
      <c r="K320" s="35" t="s">
        <v>35</v>
      </c>
      <c r="L320" s="35" t="s">
        <v>96</v>
      </c>
      <c r="M320" s="39">
        <v>31.0</v>
      </c>
      <c r="N320" s="40">
        <v>46189.0</v>
      </c>
      <c r="O320" s="42" t="b">
        <v>1</v>
      </c>
      <c r="P320" s="44">
        <v>46190.0</v>
      </c>
      <c r="Q320" s="34"/>
      <c r="R320" s="34"/>
      <c r="S320" s="34"/>
      <c r="T320" s="34"/>
    </row>
    <row r="321" ht="15.75" customHeight="1">
      <c r="B321" s="33">
        <v>46189.0</v>
      </c>
      <c r="C321" s="35">
        <v>20064.0</v>
      </c>
      <c r="D321" s="35">
        <v>240.0</v>
      </c>
      <c r="E321" s="37">
        <v>6.9</v>
      </c>
      <c r="F321" s="38">
        <f t="shared" si="1"/>
        <v>1656</v>
      </c>
      <c r="G321" s="35" t="s">
        <v>3415</v>
      </c>
      <c r="H321" s="35" t="s">
        <v>668</v>
      </c>
      <c r="I321" s="35" t="s">
        <v>41</v>
      </c>
      <c r="J321" s="35" t="s">
        <v>34</v>
      </c>
      <c r="K321" s="35" t="s">
        <v>35</v>
      </c>
      <c r="L321" s="35" t="s">
        <v>96</v>
      </c>
      <c r="M321" s="39">
        <v>31.0</v>
      </c>
      <c r="N321" s="40">
        <v>46189.0</v>
      </c>
      <c r="O321" s="42" t="b">
        <v>1</v>
      </c>
      <c r="P321" s="44">
        <v>46190.0</v>
      </c>
      <c r="Q321" s="34"/>
      <c r="R321" s="34"/>
      <c r="S321" s="34"/>
      <c r="T321" s="34"/>
    </row>
    <row r="322" ht="15.75" customHeight="1">
      <c r="B322" s="33">
        <v>46189.0</v>
      </c>
      <c r="C322" s="46" t="s">
        <v>3416</v>
      </c>
      <c r="D322" s="35">
        <v>10.0</v>
      </c>
      <c r="E322" s="37">
        <v>46.8</v>
      </c>
      <c r="F322" s="38">
        <f t="shared" si="1"/>
        <v>468</v>
      </c>
      <c r="G322" s="35" t="s">
        <v>3417</v>
      </c>
      <c r="H322" s="35" t="s">
        <v>2057</v>
      </c>
      <c r="I322" s="35" t="s">
        <v>41</v>
      </c>
      <c r="J322" s="35" t="s">
        <v>34</v>
      </c>
      <c r="K322" s="35" t="s">
        <v>35</v>
      </c>
      <c r="L322" s="35" t="s">
        <v>241</v>
      </c>
      <c r="M322" s="39">
        <v>31.0</v>
      </c>
      <c r="N322" s="40">
        <v>46212.0</v>
      </c>
      <c r="O322" s="42" t="b">
        <v>1</v>
      </c>
      <c r="P322" s="44">
        <v>46213.0</v>
      </c>
      <c r="Q322" s="34"/>
      <c r="R322" s="34"/>
      <c r="S322" s="34"/>
      <c r="T322" s="34"/>
    </row>
    <row r="323" ht="15.75" customHeight="1">
      <c r="B323" s="33">
        <v>46189.0</v>
      </c>
      <c r="C323" s="46" t="s">
        <v>3416</v>
      </c>
      <c r="D323" s="35">
        <v>60.0</v>
      </c>
      <c r="E323" s="37">
        <v>6.75</v>
      </c>
      <c r="F323" s="38">
        <f t="shared" si="1"/>
        <v>405</v>
      </c>
      <c r="G323" s="35" t="s">
        <v>3418</v>
      </c>
      <c r="H323" s="35" t="s">
        <v>3419</v>
      </c>
      <c r="I323" s="35" t="s">
        <v>41</v>
      </c>
      <c r="J323" s="35" t="s">
        <v>34</v>
      </c>
      <c r="K323" s="35" t="s">
        <v>35</v>
      </c>
      <c r="L323" s="35" t="s">
        <v>241</v>
      </c>
      <c r="M323" s="39">
        <v>31.0</v>
      </c>
      <c r="N323" s="40">
        <v>46212.0</v>
      </c>
      <c r="O323" s="42" t="b">
        <v>1</v>
      </c>
      <c r="P323" s="44">
        <v>46213.0</v>
      </c>
      <c r="Q323" s="34"/>
      <c r="R323" s="34"/>
      <c r="S323" s="34"/>
      <c r="T323" s="34"/>
    </row>
    <row r="324" ht="15.75" customHeight="1">
      <c r="B324" s="33">
        <v>46189.0</v>
      </c>
      <c r="C324" s="46" t="s">
        <v>3416</v>
      </c>
      <c r="D324" s="35">
        <v>24.0</v>
      </c>
      <c r="E324" s="37">
        <v>45.0</v>
      </c>
      <c r="F324" s="38">
        <f t="shared" si="1"/>
        <v>1080</v>
      </c>
      <c r="G324" s="35" t="s">
        <v>3420</v>
      </c>
      <c r="H324" s="35" t="s">
        <v>3421</v>
      </c>
      <c r="I324" s="35" t="s">
        <v>41</v>
      </c>
      <c r="J324" s="35" t="s">
        <v>34</v>
      </c>
      <c r="K324" s="35" t="s">
        <v>35</v>
      </c>
      <c r="L324" s="35" t="s">
        <v>241</v>
      </c>
      <c r="M324" s="39">
        <v>31.0</v>
      </c>
      <c r="N324" s="40">
        <v>46212.0</v>
      </c>
      <c r="O324" s="42" t="b">
        <v>1</v>
      </c>
      <c r="P324" s="44">
        <v>46213.0</v>
      </c>
      <c r="Q324" s="34"/>
      <c r="R324" s="34"/>
      <c r="S324" s="34"/>
      <c r="T324" s="34"/>
    </row>
    <row r="325" ht="15.75" customHeight="1">
      <c r="B325" s="33">
        <v>46189.0</v>
      </c>
      <c r="C325" s="46" t="s">
        <v>3416</v>
      </c>
      <c r="D325" s="35">
        <v>60.0</v>
      </c>
      <c r="E325" s="37">
        <v>27.9</v>
      </c>
      <c r="F325" s="38">
        <f t="shared" si="1"/>
        <v>1674</v>
      </c>
      <c r="G325" s="35" t="s">
        <v>3199</v>
      </c>
      <c r="H325" s="35" t="s">
        <v>3422</v>
      </c>
      <c r="I325" s="35" t="s">
        <v>41</v>
      </c>
      <c r="J325" s="35" t="s">
        <v>34</v>
      </c>
      <c r="K325" s="35" t="s">
        <v>35</v>
      </c>
      <c r="L325" s="35" t="s">
        <v>241</v>
      </c>
      <c r="M325" s="39">
        <v>31.0</v>
      </c>
      <c r="N325" s="40">
        <v>46212.0</v>
      </c>
      <c r="O325" s="42" t="b">
        <v>1</v>
      </c>
      <c r="P325" s="44">
        <v>46213.0</v>
      </c>
      <c r="Q325" s="34"/>
      <c r="R325" s="34"/>
      <c r="S325" s="34"/>
      <c r="T325" s="34"/>
    </row>
    <row r="326" ht="15.75" customHeight="1">
      <c r="B326" s="33">
        <v>46189.0</v>
      </c>
      <c r="C326" s="46" t="s">
        <v>3416</v>
      </c>
      <c r="D326" s="35">
        <v>200.0</v>
      </c>
      <c r="E326" s="37">
        <v>5.31</v>
      </c>
      <c r="F326" s="38">
        <f t="shared" si="1"/>
        <v>1062</v>
      </c>
      <c r="G326" s="35" t="s">
        <v>615</v>
      </c>
      <c r="H326" s="35" t="s">
        <v>3423</v>
      </c>
      <c r="I326" s="35" t="s">
        <v>41</v>
      </c>
      <c r="J326" s="35" t="s">
        <v>34</v>
      </c>
      <c r="K326" s="35" t="s">
        <v>35</v>
      </c>
      <c r="L326" s="35" t="s">
        <v>241</v>
      </c>
      <c r="M326" s="39">
        <v>31.0</v>
      </c>
      <c r="N326" s="40">
        <v>46212.0</v>
      </c>
      <c r="O326" s="42" t="b">
        <v>1</v>
      </c>
      <c r="P326" s="44">
        <v>46213.0</v>
      </c>
      <c r="Q326" s="34"/>
      <c r="R326" s="34"/>
      <c r="S326" s="34"/>
      <c r="T326" s="34"/>
    </row>
    <row r="327" ht="15.75" customHeight="1">
      <c r="B327" s="33">
        <v>46189.0</v>
      </c>
      <c r="C327" s="35" t="s">
        <v>35</v>
      </c>
      <c r="D327" s="35">
        <v>116.0</v>
      </c>
      <c r="E327" s="37">
        <v>199.27</v>
      </c>
      <c r="F327" s="38">
        <f t="shared" si="1"/>
        <v>23115.32</v>
      </c>
      <c r="G327" s="35" t="s">
        <v>3424</v>
      </c>
      <c r="H327" s="35" t="s">
        <v>227</v>
      </c>
      <c r="I327" s="35" t="s">
        <v>32</v>
      </c>
      <c r="J327" s="35" t="s">
        <v>34</v>
      </c>
      <c r="K327" s="35" t="s">
        <v>35</v>
      </c>
      <c r="L327" s="35" t="s">
        <v>365</v>
      </c>
      <c r="M327" s="39">
        <v>1.0</v>
      </c>
      <c r="N327" s="40">
        <v>46192.0</v>
      </c>
      <c r="O327" s="42" t="b">
        <v>1</v>
      </c>
      <c r="P327" s="44">
        <v>46194.0</v>
      </c>
      <c r="Q327" s="34"/>
      <c r="R327" s="34"/>
      <c r="S327" s="34"/>
      <c r="T327" s="34"/>
    </row>
    <row r="328" ht="15.75" customHeight="1">
      <c r="B328" s="33">
        <v>46189.0</v>
      </c>
      <c r="C328" s="35" t="s">
        <v>35</v>
      </c>
      <c r="D328" s="35">
        <v>116.0</v>
      </c>
      <c r="E328" s="37">
        <v>199.27</v>
      </c>
      <c r="F328" s="38">
        <f t="shared" si="1"/>
        <v>23115.32</v>
      </c>
      <c r="G328" s="35" t="s">
        <v>3425</v>
      </c>
      <c r="H328" s="35" t="s">
        <v>227</v>
      </c>
      <c r="I328" s="35" t="s">
        <v>32</v>
      </c>
      <c r="J328" s="35" t="s">
        <v>34</v>
      </c>
      <c r="K328" s="35" t="s">
        <v>35</v>
      </c>
      <c r="L328" s="35" t="s">
        <v>365</v>
      </c>
      <c r="M328" s="39">
        <v>1.0</v>
      </c>
      <c r="N328" s="40">
        <v>46192.0</v>
      </c>
      <c r="O328" s="42" t="b">
        <v>1</v>
      </c>
      <c r="P328" s="44">
        <v>46194.0</v>
      </c>
      <c r="Q328" s="34"/>
      <c r="R328" s="34"/>
      <c r="S328" s="34"/>
      <c r="T328" s="34"/>
    </row>
    <row r="329" ht="15.75" customHeight="1">
      <c r="B329" s="33">
        <v>46189.0</v>
      </c>
      <c r="C329" s="35" t="s">
        <v>35</v>
      </c>
      <c r="D329" s="35">
        <v>116.0</v>
      </c>
      <c r="E329" s="37">
        <v>199.27</v>
      </c>
      <c r="F329" s="38">
        <f t="shared" si="1"/>
        <v>23115.32</v>
      </c>
      <c r="G329" s="35" t="s">
        <v>3425</v>
      </c>
      <c r="H329" s="35" t="s">
        <v>227</v>
      </c>
      <c r="I329" s="35" t="s">
        <v>32</v>
      </c>
      <c r="J329" s="35" t="s">
        <v>34</v>
      </c>
      <c r="K329" s="35" t="s">
        <v>35</v>
      </c>
      <c r="L329" s="35" t="s">
        <v>365</v>
      </c>
      <c r="M329" s="39">
        <v>1.0</v>
      </c>
      <c r="N329" s="40">
        <v>46192.0</v>
      </c>
      <c r="O329" s="42" t="b">
        <v>1</v>
      </c>
      <c r="P329" s="44">
        <v>46194.0</v>
      </c>
      <c r="Q329" s="34"/>
      <c r="R329" s="34"/>
      <c r="S329" s="34"/>
      <c r="T329" s="34"/>
    </row>
    <row r="330" ht="15.75" customHeight="1">
      <c r="B330" s="33">
        <v>46189.0</v>
      </c>
      <c r="C330" s="35" t="s">
        <v>35</v>
      </c>
      <c r="D330" s="35">
        <v>116.0</v>
      </c>
      <c r="E330" s="37">
        <v>199.27</v>
      </c>
      <c r="F330" s="38">
        <f t="shared" si="1"/>
        <v>23115.32</v>
      </c>
      <c r="G330" s="35" t="s">
        <v>3425</v>
      </c>
      <c r="H330" s="35" t="s">
        <v>227</v>
      </c>
      <c r="I330" s="35" t="s">
        <v>32</v>
      </c>
      <c r="J330" s="35" t="s">
        <v>34</v>
      </c>
      <c r="K330" s="35" t="s">
        <v>35</v>
      </c>
      <c r="L330" s="35" t="s">
        <v>365</v>
      </c>
      <c r="M330" s="39">
        <v>1.0</v>
      </c>
      <c r="N330" s="40">
        <v>46192.0</v>
      </c>
      <c r="O330" s="42" t="b">
        <v>1</v>
      </c>
      <c r="P330" s="44">
        <v>46194.0</v>
      </c>
      <c r="Q330" s="34"/>
      <c r="R330" s="34"/>
      <c r="S330" s="34"/>
      <c r="T330" s="34"/>
    </row>
    <row r="331" ht="15.75" customHeight="1">
      <c r="B331" s="33">
        <v>46189.0</v>
      </c>
      <c r="C331" s="35" t="s">
        <v>35</v>
      </c>
      <c r="D331" s="35">
        <v>116.0</v>
      </c>
      <c r="E331" s="37">
        <v>199.27</v>
      </c>
      <c r="F331" s="38">
        <f t="shared" si="1"/>
        <v>23115.32</v>
      </c>
      <c r="G331" s="35" t="s">
        <v>3425</v>
      </c>
      <c r="H331" s="35" t="s">
        <v>227</v>
      </c>
      <c r="I331" s="35" t="s">
        <v>32</v>
      </c>
      <c r="J331" s="35" t="s">
        <v>34</v>
      </c>
      <c r="K331" s="35" t="s">
        <v>35</v>
      </c>
      <c r="L331" s="35" t="s">
        <v>365</v>
      </c>
      <c r="M331" s="39">
        <v>1.0</v>
      </c>
      <c r="N331" s="40">
        <v>46192.0</v>
      </c>
      <c r="O331" s="42" t="b">
        <v>1</v>
      </c>
      <c r="P331" s="44">
        <v>46194.0</v>
      </c>
      <c r="Q331" s="34"/>
      <c r="R331" s="34"/>
      <c r="S331" s="34"/>
      <c r="T331" s="34"/>
    </row>
    <row r="332" ht="15.75" customHeight="1">
      <c r="B332" s="33">
        <v>46189.0</v>
      </c>
      <c r="C332" s="35" t="s">
        <v>35</v>
      </c>
      <c r="D332" s="35">
        <v>116.0</v>
      </c>
      <c r="E332" s="37">
        <v>199.27</v>
      </c>
      <c r="F332" s="38">
        <f t="shared" si="1"/>
        <v>23115.32</v>
      </c>
      <c r="G332" s="35" t="s">
        <v>3425</v>
      </c>
      <c r="H332" s="35" t="s">
        <v>227</v>
      </c>
      <c r="I332" s="35" t="s">
        <v>32</v>
      </c>
      <c r="J332" s="35" t="s">
        <v>34</v>
      </c>
      <c r="K332" s="35" t="s">
        <v>35</v>
      </c>
      <c r="L332" s="35" t="s">
        <v>365</v>
      </c>
      <c r="M332" s="39">
        <v>1.0</v>
      </c>
      <c r="N332" s="40">
        <v>46192.0</v>
      </c>
      <c r="O332" s="42" t="b">
        <v>1</v>
      </c>
      <c r="P332" s="44">
        <v>46194.0</v>
      </c>
      <c r="Q332" s="34"/>
      <c r="R332" s="34"/>
      <c r="S332" s="34"/>
      <c r="T332" s="35"/>
    </row>
    <row r="333" ht="15.75" customHeight="1">
      <c r="B333" s="33">
        <v>46189.0</v>
      </c>
      <c r="C333" s="35" t="s">
        <v>35</v>
      </c>
      <c r="D333" s="35">
        <v>116.0</v>
      </c>
      <c r="E333" s="37">
        <v>199.27</v>
      </c>
      <c r="F333" s="38">
        <f t="shared" si="1"/>
        <v>23115.32</v>
      </c>
      <c r="G333" s="35" t="s">
        <v>3425</v>
      </c>
      <c r="H333" s="35" t="s">
        <v>227</v>
      </c>
      <c r="I333" s="35" t="s">
        <v>32</v>
      </c>
      <c r="J333" s="35" t="s">
        <v>34</v>
      </c>
      <c r="K333" s="35" t="s">
        <v>35</v>
      </c>
      <c r="L333" s="35" t="s">
        <v>365</v>
      </c>
      <c r="M333" s="39">
        <v>1.0</v>
      </c>
      <c r="N333" s="40">
        <v>46192.0</v>
      </c>
      <c r="O333" s="42" t="b">
        <v>1</v>
      </c>
      <c r="P333" s="44">
        <v>46194.0</v>
      </c>
      <c r="Q333" s="34"/>
      <c r="R333" s="34"/>
      <c r="S333" s="34"/>
      <c r="T333" s="34"/>
    </row>
    <row r="334" ht="15.75" customHeight="1">
      <c r="B334" s="33">
        <v>46189.0</v>
      </c>
      <c r="C334" s="35" t="s">
        <v>35</v>
      </c>
      <c r="D334" s="35">
        <v>123.0</v>
      </c>
      <c r="E334" s="37">
        <v>199.27</v>
      </c>
      <c r="F334" s="38">
        <f t="shared" si="1"/>
        <v>24510.21</v>
      </c>
      <c r="G334" s="35" t="s">
        <v>3425</v>
      </c>
      <c r="H334" s="35" t="s">
        <v>227</v>
      </c>
      <c r="I334" s="35" t="s">
        <v>32</v>
      </c>
      <c r="J334" s="35" t="s">
        <v>34</v>
      </c>
      <c r="K334" s="35" t="s">
        <v>35</v>
      </c>
      <c r="L334" s="35" t="s">
        <v>365</v>
      </c>
      <c r="M334" s="39">
        <v>1.0</v>
      </c>
      <c r="N334" s="40">
        <v>46192.0</v>
      </c>
      <c r="O334" s="42" t="b">
        <v>1</v>
      </c>
      <c r="P334" s="44">
        <v>46194.0</v>
      </c>
      <c r="Q334" s="34"/>
      <c r="R334" s="34"/>
      <c r="S334" s="34"/>
      <c r="T334" s="34"/>
    </row>
    <row r="335" ht="15.75" customHeight="1">
      <c r="B335" s="33">
        <v>46189.0</v>
      </c>
      <c r="C335" s="35">
        <v>11386.0</v>
      </c>
      <c r="D335" s="35">
        <v>200.0</v>
      </c>
      <c r="E335" s="37">
        <v>6.12</v>
      </c>
      <c r="F335" s="38">
        <f t="shared" si="1"/>
        <v>1224</v>
      </c>
      <c r="G335" s="35" t="s">
        <v>3426</v>
      </c>
      <c r="H335" s="35" t="s">
        <v>3427</v>
      </c>
      <c r="I335" s="35" t="s">
        <v>41</v>
      </c>
      <c r="J335" s="35" t="s">
        <v>34</v>
      </c>
      <c r="K335" s="35" t="s">
        <v>35</v>
      </c>
      <c r="L335" s="35" t="s">
        <v>340</v>
      </c>
      <c r="M335" s="39">
        <v>31.0</v>
      </c>
      <c r="N335" s="40">
        <v>46208.0</v>
      </c>
      <c r="O335" s="42" t="b">
        <v>1</v>
      </c>
      <c r="P335" s="44">
        <v>46209.0</v>
      </c>
      <c r="Q335" s="34"/>
      <c r="R335" s="34"/>
      <c r="S335" s="34"/>
      <c r="T335" s="34"/>
    </row>
    <row r="336" ht="15.75" customHeight="1">
      <c r="B336" s="33">
        <v>46189.0</v>
      </c>
      <c r="C336" s="35">
        <v>11386.0</v>
      </c>
      <c r="D336" s="35">
        <v>12.0</v>
      </c>
      <c r="E336" s="37">
        <v>26.0</v>
      </c>
      <c r="F336" s="38">
        <f t="shared" si="1"/>
        <v>312</v>
      </c>
      <c r="G336" s="35" t="s">
        <v>3428</v>
      </c>
      <c r="H336" s="35" t="s">
        <v>3429</v>
      </c>
      <c r="I336" s="35" t="s">
        <v>41</v>
      </c>
      <c r="J336" s="35" t="s">
        <v>34</v>
      </c>
      <c r="K336" s="35" t="s">
        <v>35</v>
      </c>
      <c r="L336" s="35" t="s">
        <v>340</v>
      </c>
      <c r="M336" s="39">
        <v>31.0</v>
      </c>
      <c r="N336" s="40">
        <v>46208.0</v>
      </c>
      <c r="O336" s="42" t="b">
        <v>1</v>
      </c>
      <c r="P336" s="44">
        <v>46209.0</v>
      </c>
      <c r="Q336" s="34"/>
      <c r="R336" s="34"/>
      <c r="S336" s="34"/>
      <c r="T336" s="34"/>
    </row>
    <row r="337" ht="15.75" customHeight="1">
      <c r="B337" s="33">
        <v>46189.0</v>
      </c>
      <c r="C337" s="58" t="s">
        <v>35</v>
      </c>
      <c r="D337" s="35">
        <v>10.0</v>
      </c>
      <c r="E337" s="37">
        <v>100.0</v>
      </c>
      <c r="F337" s="38">
        <f t="shared" si="1"/>
        <v>1000</v>
      </c>
      <c r="G337" s="35" t="s">
        <v>3430</v>
      </c>
      <c r="H337" s="35" t="s">
        <v>35</v>
      </c>
      <c r="I337" s="35" t="s">
        <v>157</v>
      </c>
      <c r="J337" s="35" t="s">
        <v>34</v>
      </c>
      <c r="K337" s="35" t="s">
        <v>35</v>
      </c>
      <c r="L337" s="35" t="s">
        <v>3431</v>
      </c>
      <c r="M337" s="39">
        <v>31.0</v>
      </c>
      <c r="N337" s="40">
        <v>46191.0</v>
      </c>
      <c r="O337" s="42" t="b">
        <v>1</v>
      </c>
      <c r="P337" s="44">
        <v>46192.0</v>
      </c>
      <c r="Q337" s="34"/>
      <c r="R337" s="33">
        <v>46190.0</v>
      </c>
      <c r="S337" s="34"/>
      <c r="T337" s="34"/>
    </row>
    <row r="338" ht="15.75" customHeight="1">
      <c r="B338" s="33">
        <v>46189.0</v>
      </c>
      <c r="C338" s="35">
        <v>19975.0</v>
      </c>
      <c r="D338" s="35">
        <v>200.0</v>
      </c>
      <c r="E338" s="37">
        <v>11.84</v>
      </c>
      <c r="F338" s="38">
        <f t="shared" si="1"/>
        <v>2368</v>
      </c>
      <c r="G338" s="35" t="s">
        <v>3432</v>
      </c>
      <c r="H338" s="35" t="s">
        <v>3433</v>
      </c>
      <c r="I338" s="35" t="s">
        <v>41</v>
      </c>
      <c r="J338" s="35" t="s">
        <v>34</v>
      </c>
      <c r="K338" s="35" t="s">
        <v>35</v>
      </c>
      <c r="L338" s="35" t="s">
        <v>719</v>
      </c>
      <c r="M338" s="39">
        <v>31.0</v>
      </c>
      <c r="N338" s="40">
        <v>46208.0</v>
      </c>
      <c r="O338" s="42" t="b">
        <v>1</v>
      </c>
      <c r="P338" s="44">
        <v>46209.0</v>
      </c>
      <c r="Q338" s="34"/>
      <c r="R338" s="34"/>
      <c r="S338" s="34"/>
      <c r="T338" s="34"/>
    </row>
    <row r="339" ht="15.75" customHeight="1">
      <c r="B339" s="33">
        <v>46189.0</v>
      </c>
      <c r="C339" s="35">
        <v>19975.0</v>
      </c>
      <c r="D339" s="35">
        <v>64.0</v>
      </c>
      <c r="E339" s="37">
        <v>50.22</v>
      </c>
      <c r="F339" s="38">
        <f t="shared" si="1"/>
        <v>3214.08</v>
      </c>
      <c r="G339" s="35" t="s">
        <v>3434</v>
      </c>
      <c r="H339" s="35" t="s">
        <v>3435</v>
      </c>
      <c r="I339" s="35" t="s">
        <v>41</v>
      </c>
      <c r="J339" s="35" t="s">
        <v>34</v>
      </c>
      <c r="K339" s="35" t="s">
        <v>35</v>
      </c>
      <c r="L339" s="35" t="s">
        <v>719</v>
      </c>
      <c r="M339" s="39">
        <v>31.0</v>
      </c>
      <c r="N339" s="40">
        <v>46208.0</v>
      </c>
      <c r="O339" s="42" t="b">
        <v>1</v>
      </c>
      <c r="P339" s="44">
        <v>46209.0</v>
      </c>
      <c r="Q339" s="34"/>
      <c r="R339" s="34"/>
      <c r="S339" s="34"/>
      <c r="T339" s="34"/>
    </row>
    <row r="340" ht="15.75" customHeight="1">
      <c r="B340" s="33">
        <v>46189.0</v>
      </c>
      <c r="C340" s="35">
        <v>19975.0</v>
      </c>
      <c r="D340" s="35">
        <v>64.0</v>
      </c>
      <c r="E340" s="37">
        <v>43.524</v>
      </c>
      <c r="F340" s="38">
        <f t="shared" si="1"/>
        <v>2785.536</v>
      </c>
      <c r="G340" s="35" t="s">
        <v>3436</v>
      </c>
      <c r="H340" s="35" t="s">
        <v>3437</v>
      </c>
      <c r="I340" s="35" t="s">
        <v>41</v>
      </c>
      <c r="J340" s="35" t="s">
        <v>34</v>
      </c>
      <c r="K340" s="35" t="s">
        <v>35</v>
      </c>
      <c r="L340" s="35" t="s">
        <v>719</v>
      </c>
      <c r="M340" s="39">
        <v>31.0</v>
      </c>
      <c r="N340" s="40">
        <v>46208.0</v>
      </c>
      <c r="O340" s="42" t="b">
        <v>1</v>
      </c>
      <c r="P340" s="44">
        <v>46209.0</v>
      </c>
      <c r="Q340" s="34"/>
      <c r="R340" s="34"/>
      <c r="S340" s="34"/>
      <c r="T340" s="34"/>
    </row>
    <row r="341" ht="15.75" customHeight="1">
      <c r="B341" s="33">
        <v>46189.0</v>
      </c>
      <c r="C341" s="35">
        <v>19975.0</v>
      </c>
      <c r="D341" s="35">
        <v>64.0</v>
      </c>
      <c r="E341" s="37">
        <v>27.9</v>
      </c>
      <c r="F341" s="38">
        <f t="shared" si="1"/>
        <v>1785.6</v>
      </c>
      <c r="G341" s="35" t="s">
        <v>3438</v>
      </c>
      <c r="H341" s="35" t="s">
        <v>3439</v>
      </c>
      <c r="I341" s="35" t="s">
        <v>41</v>
      </c>
      <c r="J341" s="35" t="s">
        <v>34</v>
      </c>
      <c r="K341" s="35" t="s">
        <v>35</v>
      </c>
      <c r="L341" s="35" t="s">
        <v>719</v>
      </c>
      <c r="M341" s="39">
        <v>31.0</v>
      </c>
      <c r="N341" s="40">
        <v>46208.0</v>
      </c>
      <c r="O341" s="42" t="b">
        <v>1</v>
      </c>
      <c r="P341" s="44">
        <v>46209.0</v>
      </c>
      <c r="Q341" s="34"/>
      <c r="R341" s="34"/>
      <c r="S341" s="34"/>
      <c r="T341" s="34"/>
    </row>
    <row r="342" ht="15.75" customHeight="1">
      <c r="B342" s="33">
        <v>46189.0</v>
      </c>
      <c r="C342" s="35">
        <v>19975.0</v>
      </c>
      <c r="D342" s="35">
        <v>64.0</v>
      </c>
      <c r="E342" s="37">
        <v>24.552</v>
      </c>
      <c r="F342" s="38">
        <f t="shared" si="1"/>
        <v>1571.328</v>
      </c>
      <c r="G342" s="35" t="s">
        <v>3440</v>
      </c>
      <c r="H342" s="35" t="s">
        <v>3441</v>
      </c>
      <c r="I342" s="35" t="s">
        <v>41</v>
      </c>
      <c r="J342" s="35" t="s">
        <v>34</v>
      </c>
      <c r="K342" s="35" t="s">
        <v>35</v>
      </c>
      <c r="L342" s="35" t="s">
        <v>719</v>
      </c>
      <c r="M342" s="39">
        <v>31.0</v>
      </c>
      <c r="N342" s="40">
        <v>46208.0</v>
      </c>
      <c r="O342" s="42" t="b">
        <v>1</v>
      </c>
      <c r="P342" s="44">
        <v>46209.0</v>
      </c>
      <c r="Q342" s="34"/>
      <c r="R342" s="34"/>
      <c r="S342" s="34"/>
      <c r="T342" s="34"/>
    </row>
    <row r="343" ht="15.75" customHeight="1">
      <c r="B343" s="33">
        <v>46190.0</v>
      </c>
      <c r="C343" s="35">
        <v>921976.0</v>
      </c>
      <c r="D343" s="35">
        <v>6.0</v>
      </c>
      <c r="E343" s="37">
        <v>1078.9</v>
      </c>
      <c r="F343" s="38">
        <f t="shared" si="1"/>
        <v>6473.4</v>
      </c>
      <c r="G343" s="35" t="s">
        <v>3443</v>
      </c>
      <c r="H343" s="35">
        <v>58053.0</v>
      </c>
      <c r="I343" s="35" t="s">
        <v>673</v>
      </c>
      <c r="J343" s="35" t="s">
        <v>175</v>
      </c>
      <c r="K343" s="35" t="s">
        <v>35</v>
      </c>
      <c r="L343" s="35" t="s">
        <v>43</v>
      </c>
      <c r="M343" s="39">
        <v>31.0</v>
      </c>
      <c r="N343" s="51" t="str">
        <f>IF(B343&lt;TODAY()-2,"ATRASADO","EM DIA")</f>
        <v>ATRASADO</v>
      </c>
      <c r="O343" s="42" t="b">
        <v>0</v>
      </c>
      <c r="P343" s="44"/>
      <c r="Q343" s="34"/>
      <c r="R343" s="34"/>
      <c r="S343" s="34"/>
      <c r="T343" s="34"/>
    </row>
    <row r="344" ht="15.75" customHeight="1">
      <c r="B344" s="33">
        <v>46190.0</v>
      </c>
      <c r="C344" s="35">
        <v>20149.0</v>
      </c>
      <c r="D344" s="35">
        <v>1.0</v>
      </c>
      <c r="E344" s="37">
        <v>349.9</v>
      </c>
      <c r="F344" s="38">
        <f t="shared" si="1"/>
        <v>349.9</v>
      </c>
      <c r="G344" s="35" t="s">
        <v>420</v>
      </c>
      <c r="H344" s="35" t="s">
        <v>190</v>
      </c>
      <c r="I344" s="35" t="s">
        <v>32</v>
      </c>
      <c r="J344" s="35" t="s">
        <v>34</v>
      </c>
      <c r="K344" s="35" t="s">
        <v>35</v>
      </c>
      <c r="L344" s="35" t="s">
        <v>96</v>
      </c>
      <c r="M344" s="39">
        <v>1.0</v>
      </c>
      <c r="N344" s="40">
        <v>46190.0</v>
      </c>
      <c r="O344" s="42" t="b">
        <v>0</v>
      </c>
      <c r="P344" s="44"/>
      <c r="Q344" s="34"/>
      <c r="R344" s="34"/>
      <c r="S344" s="34"/>
      <c r="T344" s="34"/>
    </row>
    <row r="345" ht="15.75" customHeight="1">
      <c r="B345" s="33">
        <v>46190.0</v>
      </c>
      <c r="C345" s="35">
        <v>20162.0</v>
      </c>
      <c r="D345" s="35">
        <v>1.0</v>
      </c>
      <c r="E345" s="37">
        <v>349.9</v>
      </c>
      <c r="F345" s="38">
        <f t="shared" si="1"/>
        <v>349.9</v>
      </c>
      <c r="G345" s="35" t="s">
        <v>420</v>
      </c>
      <c r="H345" s="35" t="s">
        <v>190</v>
      </c>
      <c r="I345" s="35" t="s">
        <v>32</v>
      </c>
      <c r="J345" s="35" t="s">
        <v>34</v>
      </c>
      <c r="K345" s="35" t="s">
        <v>35</v>
      </c>
      <c r="L345" s="35" t="s">
        <v>96</v>
      </c>
      <c r="M345" s="39">
        <v>1.0</v>
      </c>
      <c r="N345" s="40">
        <v>46190.0</v>
      </c>
      <c r="O345" s="42" t="b">
        <v>0</v>
      </c>
      <c r="P345" s="44"/>
      <c r="Q345" s="34"/>
      <c r="R345" s="34"/>
      <c r="S345" s="34"/>
      <c r="T345" s="34"/>
    </row>
    <row r="346" ht="15.75" customHeight="1">
      <c r="B346" s="33">
        <v>46190.0</v>
      </c>
      <c r="C346" s="35">
        <v>20226.0</v>
      </c>
      <c r="D346" s="35">
        <v>8.0</v>
      </c>
      <c r="E346" s="37">
        <v>159.9</v>
      </c>
      <c r="F346" s="38">
        <f t="shared" si="1"/>
        <v>1279.2</v>
      </c>
      <c r="G346" s="35" t="s">
        <v>3445</v>
      </c>
      <c r="H346" s="35" t="s">
        <v>3446</v>
      </c>
      <c r="I346" s="35" t="s">
        <v>32</v>
      </c>
      <c r="J346" s="35" t="s">
        <v>34</v>
      </c>
      <c r="K346" s="35" t="s">
        <v>35</v>
      </c>
      <c r="L346" s="35" t="s">
        <v>96</v>
      </c>
      <c r="M346" s="39">
        <v>31.0</v>
      </c>
      <c r="N346" s="40">
        <v>46190.0</v>
      </c>
      <c r="O346" s="42" t="b">
        <v>1</v>
      </c>
      <c r="P346" s="44">
        <v>46191.0</v>
      </c>
      <c r="Q346" s="34"/>
      <c r="R346" s="34"/>
      <c r="S346" s="34"/>
      <c r="T346" s="34"/>
    </row>
    <row r="347" ht="15.75" customHeight="1">
      <c r="B347" s="33">
        <v>46190.0</v>
      </c>
      <c r="C347" s="35">
        <v>20226.0</v>
      </c>
      <c r="D347" s="35">
        <v>100.0</v>
      </c>
      <c r="E347" s="37">
        <v>12.99</v>
      </c>
      <c r="F347" s="38">
        <f t="shared" si="1"/>
        <v>1299</v>
      </c>
      <c r="G347" s="35" t="s">
        <v>3449</v>
      </c>
      <c r="H347" s="35" t="s">
        <v>3450</v>
      </c>
      <c r="I347" s="35" t="s">
        <v>32</v>
      </c>
      <c r="J347" s="35" t="s">
        <v>34</v>
      </c>
      <c r="K347" s="35" t="s">
        <v>35</v>
      </c>
      <c r="L347" s="35" t="s">
        <v>96</v>
      </c>
      <c r="M347" s="39">
        <v>31.0</v>
      </c>
      <c r="N347" s="40">
        <v>46190.0</v>
      </c>
      <c r="O347" s="42" t="b">
        <v>1</v>
      </c>
      <c r="P347" s="44">
        <v>46191.0</v>
      </c>
      <c r="Q347" s="34"/>
      <c r="R347" s="34"/>
      <c r="S347" s="34"/>
      <c r="T347" s="34"/>
    </row>
    <row r="348" ht="15.75" customHeight="1">
      <c r="B348" s="33">
        <v>46190.0</v>
      </c>
      <c r="C348" s="35">
        <v>20226.0</v>
      </c>
      <c r="D348" s="35">
        <v>200.0</v>
      </c>
      <c r="E348" s="37">
        <v>5.5</v>
      </c>
      <c r="F348" s="38">
        <f t="shared" si="1"/>
        <v>1100</v>
      </c>
      <c r="G348" s="35" t="s">
        <v>3453</v>
      </c>
      <c r="H348" s="35" t="s">
        <v>3454</v>
      </c>
      <c r="I348" s="35" t="s">
        <v>32</v>
      </c>
      <c r="J348" s="35" t="s">
        <v>34</v>
      </c>
      <c r="K348" s="35" t="s">
        <v>35</v>
      </c>
      <c r="L348" s="35" t="s">
        <v>96</v>
      </c>
      <c r="M348" s="39">
        <v>31.0</v>
      </c>
      <c r="N348" s="40">
        <v>46190.0</v>
      </c>
      <c r="O348" s="42" t="b">
        <v>1</v>
      </c>
      <c r="P348" s="44">
        <v>46191.0</v>
      </c>
      <c r="Q348" s="34"/>
      <c r="R348" s="34"/>
      <c r="S348" s="34"/>
      <c r="T348" s="34"/>
    </row>
    <row r="349" ht="15.75" customHeight="1">
      <c r="B349" s="33">
        <v>46190.0</v>
      </c>
      <c r="C349" s="35">
        <v>20226.0</v>
      </c>
      <c r="D349" s="35">
        <v>20.0</v>
      </c>
      <c r="E349" s="37">
        <v>39.99</v>
      </c>
      <c r="F349" s="38">
        <f t="shared" si="1"/>
        <v>799.8</v>
      </c>
      <c r="G349" s="35" t="s">
        <v>3458</v>
      </c>
      <c r="H349" s="35" t="s">
        <v>3459</v>
      </c>
      <c r="I349" s="35" t="s">
        <v>32</v>
      </c>
      <c r="J349" s="35" t="s">
        <v>34</v>
      </c>
      <c r="K349" s="35" t="s">
        <v>35</v>
      </c>
      <c r="L349" s="35" t="s">
        <v>96</v>
      </c>
      <c r="M349" s="39">
        <v>31.0</v>
      </c>
      <c r="N349" s="40">
        <v>46190.0</v>
      </c>
      <c r="O349" s="42" t="b">
        <v>1</v>
      </c>
      <c r="P349" s="44">
        <v>46191.0</v>
      </c>
      <c r="Q349" s="34"/>
      <c r="R349" s="34"/>
      <c r="S349" s="34"/>
      <c r="T349" s="34"/>
    </row>
    <row r="350" ht="15.75" customHeight="1">
      <c r="B350" s="33">
        <v>46190.0</v>
      </c>
      <c r="C350" s="35">
        <v>20226.0</v>
      </c>
      <c r="D350" s="35">
        <v>10.0</v>
      </c>
      <c r="E350" s="37">
        <v>149.9</v>
      </c>
      <c r="F350" s="38">
        <f t="shared" si="1"/>
        <v>1499</v>
      </c>
      <c r="G350" s="35" t="s">
        <v>3461</v>
      </c>
      <c r="H350" s="35" t="s">
        <v>3462</v>
      </c>
      <c r="I350" s="35" t="s">
        <v>32</v>
      </c>
      <c r="J350" s="35" t="s">
        <v>34</v>
      </c>
      <c r="K350" s="35" t="s">
        <v>35</v>
      </c>
      <c r="L350" s="35" t="s">
        <v>96</v>
      </c>
      <c r="M350" s="39">
        <v>31.0</v>
      </c>
      <c r="N350" s="40">
        <v>46190.0</v>
      </c>
      <c r="O350" s="42" t="b">
        <v>1</v>
      </c>
      <c r="P350" s="44">
        <v>46191.0</v>
      </c>
      <c r="Q350" s="34"/>
      <c r="R350" s="34"/>
      <c r="S350" s="34"/>
      <c r="T350" s="34"/>
    </row>
    <row r="351" ht="15.75" customHeight="1">
      <c r="B351" s="33">
        <v>46190.0</v>
      </c>
      <c r="C351" s="46" t="s">
        <v>3465</v>
      </c>
      <c r="D351" s="35">
        <v>2.0</v>
      </c>
      <c r="E351" s="37">
        <v>1620.0</v>
      </c>
      <c r="F351" s="38">
        <f t="shared" si="1"/>
        <v>3240</v>
      </c>
      <c r="G351" s="35" t="s">
        <v>3466</v>
      </c>
      <c r="H351" s="35" t="s">
        <v>3467</v>
      </c>
      <c r="I351" s="35" t="s">
        <v>174</v>
      </c>
      <c r="J351" s="35" t="s">
        <v>175</v>
      </c>
      <c r="K351" s="35" t="s">
        <v>35</v>
      </c>
      <c r="L351" s="35" t="s">
        <v>46</v>
      </c>
      <c r="M351" s="39">
        <v>1.0</v>
      </c>
      <c r="N351" s="44">
        <v>46198.0</v>
      </c>
      <c r="O351" s="42" t="b">
        <v>1</v>
      </c>
      <c r="P351" s="44">
        <v>46198.0</v>
      </c>
      <c r="Q351" s="34"/>
      <c r="R351" s="34"/>
      <c r="S351" s="34"/>
      <c r="T351" s="34"/>
    </row>
    <row r="352" ht="15.75" customHeight="1">
      <c r="B352" s="33">
        <v>46190.0</v>
      </c>
      <c r="C352" s="35">
        <v>11602.0</v>
      </c>
      <c r="D352" s="35">
        <v>18.0</v>
      </c>
      <c r="E352" s="37">
        <v>61.2</v>
      </c>
      <c r="F352" s="38">
        <f t="shared" si="1"/>
        <v>1101.6</v>
      </c>
      <c r="G352" s="35" t="s">
        <v>3469</v>
      </c>
      <c r="H352" s="35" t="s">
        <v>3470</v>
      </c>
      <c r="I352" s="35" t="s">
        <v>32</v>
      </c>
      <c r="J352" s="35" t="s">
        <v>34</v>
      </c>
      <c r="K352" s="35" t="s">
        <v>35</v>
      </c>
      <c r="L352" s="35" t="s">
        <v>340</v>
      </c>
      <c r="M352" s="39">
        <v>31.0</v>
      </c>
      <c r="N352" s="40">
        <v>46190.0</v>
      </c>
      <c r="O352" s="42" t="b">
        <v>1</v>
      </c>
      <c r="P352" s="44">
        <v>46191.0</v>
      </c>
      <c r="Q352" s="34"/>
      <c r="R352" s="34"/>
      <c r="S352" s="34"/>
      <c r="T352" s="34"/>
    </row>
    <row r="353" ht="15.75" customHeight="1">
      <c r="B353" s="33">
        <v>46190.0</v>
      </c>
      <c r="C353" s="35">
        <v>15025.0</v>
      </c>
      <c r="D353" s="35">
        <v>24.0</v>
      </c>
      <c r="E353" s="37">
        <v>68.4</v>
      </c>
      <c r="F353" s="38">
        <f t="shared" si="1"/>
        <v>1641.6</v>
      </c>
      <c r="G353" s="35" t="s">
        <v>3472</v>
      </c>
      <c r="H353" s="35" t="s">
        <v>3473</v>
      </c>
      <c r="I353" s="35" t="s">
        <v>32</v>
      </c>
      <c r="J353" s="35" t="s">
        <v>34</v>
      </c>
      <c r="K353" s="35" t="s">
        <v>35</v>
      </c>
      <c r="L353" s="35" t="s">
        <v>279</v>
      </c>
      <c r="M353" s="39">
        <v>31.0</v>
      </c>
      <c r="N353" s="40">
        <v>46190.0</v>
      </c>
      <c r="O353" s="42" t="b">
        <v>1</v>
      </c>
      <c r="P353" s="44">
        <v>46191.0</v>
      </c>
      <c r="Q353" s="34"/>
      <c r="R353" s="34"/>
      <c r="S353" s="34"/>
      <c r="T353" s="34"/>
    </row>
    <row r="354" ht="15.75" customHeight="1">
      <c r="B354" s="33">
        <v>46190.0</v>
      </c>
      <c r="C354" s="35">
        <v>15025.0</v>
      </c>
      <c r="D354" s="35">
        <v>12.0</v>
      </c>
      <c r="E354" s="37">
        <v>72.0</v>
      </c>
      <c r="F354" s="38">
        <f t="shared" si="1"/>
        <v>864</v>
      </c>
      <c r="G354" s="35" t="s">
        <v>3475</v>
      </c>
      <c r="H354" s="35" t="s">
        <v>1456</v>
      </c>
      <c r="I354" s="35" t="s">
        <v>32</v>
      </c>
      <c r="J354" s="35" t="s">
        <v>34</v>
      </c>
      <c r="K354" s="35" t="s">
        <v>35</v>
      </c>
      <c r="L354" s="35" t="s">
        <v>279</v>
      </c>
      <c r="M354" s="39">
        <v>31.0</v>
      </c>
      <c r="N354" s="40">
        <v>46190.0</v>
      </c>
      <c r="O354" s="42" t="b">
        <v>1</v>
      </c>
      <c r="P354" s="44">
        <v>46191.0</v>
      </c>
      <c r="Q354" s="34"/>
      <c r="R354" s="34"/>
      <c r="S354" s="34"/>
      <c r="T354" s="34"/>
    </row>
    <row r="355" ht="15.75" customHeight="1">
      <c r="B355" s="33">
        <v>46190.0</v>
      </c>
      <c r="C355" s="35">
        <v>15025.0</v>
      </c>
      <c r="D355" s="35">
        <v>80.0</v>
      </c>
      <c r="E355" s="37">
        <v>13.5</v>
      </c>
      <c r="F355" s="38">
        <f t="shared" si="1"/>
        <v>1080</v>
      </c>
      <c r="G355" s="35" t="s">
        <v>3478</v>
      </c>
      <c r="H355" s="35" t="s">
        <v>1426</v>
      </c>
      <c r="I355" s="35" t="s">
        <v>32</v>
      </c>
      <c r="J355" s="35" t="s">
        <v>34</v>
      </c>
      <c r="K355" s="35" t="s">
        <v>35</v>
      </c>
      <c r="L355" s="35" t="s">
        <v>279</v>
      </c>
      <c r="M355" s="39">
        <v>31.0</v>
      </c>
      <c r="N355" s="40">
        <v>46190.0</v>
      </c>
      <c r="O355" s="42" t="b">
        <v>1</v>
      </c>
      <c r="P355" s="44">
        <v>46191.0</v>
      </c>
      <c r="Q355" s="34"/>
      <c r="R355" s="34"/>
      <c r="S355" s="34"/>
      <c r="T355" s="34"/>
    </row>
    <row r="356" ht="15.75" customHeight="1">
      <c r="B356" s="33">
        <v>46190.0</v>
      </c>
      <c r="C356" s="35">
        <v>15025.0</v>
      </c>
      <c r="D356" s="35">
        <v>100.0</v>
      </c>
      <c r="E356" s="37">
        <v>18.0</v>
      </c>
      <c r="F356" s="38">
        <f t="shared" si="1"/>
        <v>1800</v>
      </c>
      <c r="G356" s="35" t="s">
        <v>3481</v>
      </c>
      <c r="H356" s="35" t="s">
        <v>1987</v>
      </c>
      <c r="I356" s="35" t="s">
        <v>32</v>
      </c>
      <c r="J356" s="35" t="s">
        <v>34</v>
      </c>
      <c r="K356" s="35" t="s">
        <v>35</v>
      </c>
      <c r="L356" s="35" t="s">
        <v>279</v>
      </c>
      <c r="M356" s="39">
        <v>31.0</v>
      </c>
      <c r="N356" s="40">
        <v>46190.0</v>
      </c>
      <c r="O356" s="42" t="b">
        <v>1</v>
      </c>
      <c r="P356" s="44">
        <v>46191.0</v>
      </c>
      <c r="Q356" s="34"/>
      <c r="R356" s="34"/>
      <c r="S356" s="34"/>
      <c r="T356" s="34"/>
    </row>
    <row r="357" ht="15.75" customHeight="1">
      <c r="B357" s="33">
        <v>46190.0</v>
      </c>
      <c r="C357" s="35" t="s">
        <v>35</v>
      </c>
      <c r="D357" s="35">
        <v>20.0</v>
      </c>
      <c r="E357" s="37">
        <v>470.0</v>
      </c>
      <c r="F357" s="38">
        <f t="shared" si="1"/>
        <v>9400</v>
      </c>
      <c r="G357" s="35" t="s">
        <v>758</v>
      </c>
      <c r="H357" s="35" t="s">
        <v>312</v>
      </c>
      <c r="I357" s="35" t="s">
        <v>41</v>
      </c>
      <c r="J357" s="35" t="s">
        <v>34</v>
      </c>
      <c r="K357" s="35" t="s">
        <v>35</v>
      </c>
      <c r="L357" s="35" t="s">
        <v>67</v>
      </c>
      <c r="M357" s="39">
        <v>31.0</v>
      </c>
      <c r="N357" s="40">
        <v>46198.0</v>
      </c>
      <c r="O357" s="42" t="b">
        <v>0</v>
      </c>
      <c r="P357" s="36"/>
      <c r="Q357" s="34"/>
      <c r="R357" s="34"/>
      <c r="S357" s="34"/>
      <c r="T357" s="34"/>
    </row>
    <row r="358" ht="15.0" customHeight="1">
      <c r="B358" s="33">
        <v>46190.0</v>
      </c>
      <c r="C358" s="35" t="s">
        <v>35</v>
      </c>
      <c r="D358" s="35">
        <v>1.0</v>
      </c>
      <c r="E358" s="37">
        <v>1940.0</v>
      </c>
      <c r="F358" s="38">
        <f t="shared" si="1"/>
        <v>1940</v>
      </c>
      <c r="G358" s="35" t="s">
        <v>3398</v>
      </c>
      <c r="H358" s="35" t="s">
        <v>35</v>
      </c>
      <c r="I358" s="35" t="s">
        <v>157</v>
      </c>
      <c r="J358" s="35" t="s">
        <v>34</v>
      </c>
      <c r="K358" s="35"/>
      <c r="L358" s="35" t="s">
        <v>2794</v>
      </c>
      <c r="M358" s="39">
        <v>31.0</v>
      </c>
      <c r="N358" s="40">
        <v>46191.0</v>
      </c>
      <c r="O358" s="42" t="b">
        <v>0</v>
      </c>
      <c r="P358" s="36"/>
      <c r="Q358" s="34"/>
      <c r="R358" s="33">
        <v>46190.0</v>
      </c>
      <c r="S358" s="34"/>
      <c r="T358" s="35"/>
    </row>
    <row r="359" ht="15.75" customHeight="1">
      <c r="B359" s="33">
        <v>46190.0</v>
      </c>
      <c r="C359" s="35" t="s">
        <v>35</v>
      </c>
      <c r="D359" s="35">
        <v>5.0</v>
      </c>
      <c r="E359" s="37">
        <v>190.0</v>
      </c>
      <c r="F359" s="38">
        <f t="shared" si="1"/>
        <v>950</v>
      </c>
      <c r="G359" s="35" t="s">
        <v>3243</v>
      </c>
      <c r="H359" s="35" t="s">
        <v>35</v>
      </c>
      <c r="I359" s="35" t="s">
        <v>157</v>
      </c>
      <c r="J359" s="35" t="s">
        <v>34</v>
      </c>
      <c r="K359" s="35" t="s">
        <v>35</v>
      </c>
      <c r="L359" s="35" t="s">
        <v>2794</v>
      </c>
      <c r="M359" s="39">
        <v>31.0</v>
      </c>
      <c r="N359" s="40">
        <v>46191.0</v>
      </c>
      <c r="O359" s="42" t="b">
        <v>1</v>
      </c>
      <c r="P359" s="44">
        <v>46192.0</v>
      </c>
      <c r="Q359" s="34"/>
      <c r="R359" s="33">
        <v>46190.0</v>
      </c>
      <c r="S359" s="34"/>
      <c r="T359" s="34"/>
    </row>
    <row r="360" ht="15.75" customHeight="1">
      <c r="B360" s="33">
        <v>46191.0</v>
      </c>
      <c r="C360" s="35">
        <v>20297.0</v>
      </c>
      <c r="D360" s="35">
        <v>30.0</v>
      </c>
      <c r="E360" s="37">
        <v>21.9</v>
      </c>
      <c r="F360" s="38">
        <f t="shared" si="1"/>
        <v>657</v>
      </c>
      <c r="G360" s="35" t="s">
        <v>3496</v>
      </c>
      <c r="H360" s="35" t="s">
        <v>2159</v>
      </c>
      <c r="I360" s="35" t="s">
        <v>41</v>
      </c>
      <c r="J360" s="35" t="s">
        <v>34</v>
      </c>
      <c r="K360" s="35" t="s">
        <v>35</v>
      </c>
      <c r="L360" s="35" t="s">
        <v>96</v>
      </c>
      <c r="M360" s="39">
        <v>31.0</v>
      </c>
      <c r="N360" s="40">
        <v>46191.0</v>
      </c>
      <c r="O360" s="42" t="b">
        <v>1</v>
      </c>
      <c r="P360" s="44">
        <v>46192.0</v>
      </c>
      <c r="Q360" s="34"/>
      <c r="R360" s="34"/>
      <c r="S360" s="34"/>
      <c r="T360" s="34"/>
    </row>
    <row r="361" ht="15.75" customHeight="1">
      <c r="B361" s="33">
        <v>46191.0</v>
      </c>
      <c r="C361" s="35">
        <v>20297.0</v>
      </c>
      <c r="D361" s="35">
        <v>50.0</v>
      </c>
      <c r="E361" s="37">
        <v>79.9</v>
      </c>
      <c r="F361" s="38">
        <f t="shared" si="1"/>
        <v>3995</v>
      </c>
      <c r="G361" s="35" t="s">
        <v>902</v>
      </c>
      <c r="H361" s="35" t="s">
        <v>732</v>
      </c>
      <c r="I361" s="35" t="s">
        <v>41</v>
      </c>
      <c r="J361" s="35" t="s">
        <v>34</v>
      </c>
      <c r="K361" s="35" t="s">
        <v>35</v>
      </c>
      <c r="L361" s="35" t="s">
        <v>96</v>
      </c>
      <c r="M361" s="39">
        <v>31.0</v>
      </c>
      <c r="N361" s="40">
        <v>46191.0</v>
      </c>
      <c r="O361" s="42" t="b">
        <v>1</v>
      </c>
      <c r="P361" s="44">
        <v>46192.0</v>
      </c>
      <c r="Q361" s="34"/>
      <c r="R361" s="34"/>
      <c r="S361" s="34"/>
      <c r="T361" s="34"/>
    </row>
    <row r="362" ht="15.75" customHeight="1">
      <c r="B362" s="33">
        <v>46191.0</v>
      </c>
      <c r="C362" s="35">
        <v>20297.0</v>
      </c>
      <c r="D362" s="35">
        <v>10.0</v>
      </c>
      <c r="E362" s="37">
        <v>79.9</v>
      </c>
      <c r="F362" s="38">
        <f t="shared" si="1"/>
        <v>799</v>
      </c>
      <c r="G362" s="35" t="s">
        <v>574</v>
      </c>
      <c r="H362" s="35" t="s">
        <v>576</v>
      </c>
      <c r="I362" s="35" t="s">
        <v>41</v>
      </c>
      <c r="J362" s="35" t="s">
        <v>34</v>
      </c>
      <c r="K362" s="35" t="s">
        <v>35</v>
      </c>
      <c r="L362" s="35" t="s">
        <v>96</v>
      </c>
      <c r="M362" s="39">
        <v>31.0</v>
      </c>
      <c r="N362" s="40">
        <v>46191.0</v>
      </c>
      <c r="O362" s="42" t="b">
        <v>1</v>
      </c>
      <c r="P362" s="44">
        <v>46192.0</v>
      </c>
      <c r="Q362" s="34"/>
      <c r="R362" s="34"/>
      <c r="S362" s="34"/>
      <c r="T362" s="35"/>
    </row>
    <row r="363" ht="15.75" customHeight="1">
      <c r="B363" s="33">
        <v>46191.0</v>
      </c>
      <c r="C363" s="35">
        <v>20297.0</v>
      </c>
      <c r="D363" s="35">
        <v>20.0</v>
      </c>
      <c r="E363" s="37">
        <v>34.9</v>
      </c>
      <c r="F363" s="38">
        <f t="shared" si="1"/>
        <v>698</v>
      </c>
      <c r="G363" s="35" t="s">
        <v>2913</v>
      </c>
      <c r="H363" s="35" t="s">
        <v>855</v>
      </c>
      <c r="I363" s="35" t="s">
        <v>41</v>
      </c>
      <c r="J363" s="35" t="s">
        <v>34</v>
      </c>
      <c r="K363" s="35" t="s">
        <v>35</v>
      </c>
      <c r="L363" s="35" t="s">
        <v>96</v>
      </c>
      <c r="M363" s="39">
        <v>31.0</v>
      </c>
      <c r="N363" s="40">
        <v>46191.0</v>
      </c>
      <c r="O363" s="42" t="b">
        <v>1</v>
      </c>
      <c r="P363" s="44">
        <v>46192.0</v>
      </c>
      <c r="Q363" s="34"/>
      <c r="R363" s="34"/>
      <c r="S363" s="34"/>
      <c r="T363" s="34"/>
    </row>
    <row r="364" ht="15.75" customHeight="1">
      <c r="B364" s="33">
        <v>46191.0</v>
      </c>
      <c r="C364" s="35">
        <v>20297.0</v>
      </c>
      <c r="D364" s="35">
        <v>5.0</v>
      </c>
      <c r="E364" s="37">
        <v>159.9</v>
      </c>
      <c r="F364" s="38">
        <f t="shared" si="1"/>
        <v>799.5</v>
      </c>
      <c r="G364" s="35" t="s">
        <v>3505</v>
      </c>
      <c r="H364" s="35" t="s">
        <v>841</v>
      </c>
      <c r="I364" s="35" t="s">
        <v>41</v>
      </c>
      <c r="J364" s="35" t="s">
        <v>34</v>
      </c>
      <c r="K364" s="35" t="s">
        <v>35</v>
      </c>
      <c r="L364" s="35" t="s">
        <v>96</v>
      </c>
      <c r="M364" s="39">
        <v>31.0</v>
      </c>
      <c r="N364" s="40">
        <v>46191.0</v>
      </c>
      <c r="O364" s="42" t="b">
        <v>1</v>
      </c>
      <c r="P364" s="44">
        <v>46192.0</v>
      </c>
      <c r="Q364" s="34"/>
      <c r="R364" s="34"/>
      <c r="S364" s="34"/>
      <c r="T364" s="34"/>
    </row>
    <row r="365" ht="15.75" customHeight="1">
      <c r="B365" s="33">
        <v>46191.0</v>
      </c>
      <c r="C365" s="35">
        <v>20297.0</v>
      </c>
      <c r="D365" s="35">
        <v>18.0</v>
      </c>
      <c r="E365" s="37">
        <v>109.99</v>
      </c>
      <c r="F365" s="38">
        <f t="shared" si="1"/>
        <v>1979.82</v>
      </c>
      <c r="G365" s="35" t="s">
        <v>912</v>
      </c>
      <c r="H365" s="35" t="s">
        <v>914</v>
      </c>
      <c r="I365" s="35" t="s">
        <v>41</v>
      </c>
      <c r="J365" s="35" t="s">
        <v>34</v>
      </c>
      <c r="K365" s="35" t="s">
        <v>35</v>
      </c>
      <c r="L365" s="35" t="s">
        <v>96</v>
      </c>
      <c r="M365" s="39">
        <v>31.0</v>
      </c>
      <c r="N365" s="40">
        <v>46191.0</v>
      </c>
      <c r="O365" s="42" t="b">
        <v>1</v>
      </c>
      <c r="P365" s="44">
        <v>46192.0</v>
      </c>
      <c r="Q365" s="34"/>
      <c r="R365" s="34"/>
      <c r="S365" s="34"/>
      <c r="T365" s="34"/>
    </row>
    <row r="366" ht="15.75" customHeight="1">
      <c r="B366" s="33">
        <v>46191.0</v>
      </c>
      <c r="C366" s="35">
        <v>20297.0</v>
      </c>
      <c r="D366" s="35">
        <v>24.0</v>
      </c>
      <c r="E366" s="37">
        <v>19.9</v>
      </c>
      <c r="F366" s="38">
        <f t="shared" si="1"/>
        <v>477.6</v>
      </c>
      <c r="G366" s="35" t="s">
        <v>2328</v>
      </c>
      <c r="H366" s="35" t="s">
        <v>753</v>
      </c>
      <c r="I366" s="35" t="s">
        <v>41</v>
      </c>
      <c r="J366" s="35" t="s">
        <v>34</v>
      </c>
      <c r="K366" s="35" t="s">
        <v>35</v>
      </c>
      <c r="L366" s="35" t="s">
        <v>96</v>
      </c>
      <c r="M366" s="39">
        <v>31.0</v>
      </c>
      <c r="N366" s="40">
        <v>46191.0</v>
      </c>
      <c r="O366" s="42" t="b">
        <v>1</v>
      </c>
      <c r="P366" s="44">
        <v>46192.0</v>
      </c>
      <c r="Q366" s="34"/>
      <c r="R366" s="34"/>
      <c r="S366" s="34"/>
      <c r="T366" s="35"/>
    </row>
    <row r="367" ht="15.75" customHeight="1">
      <c r="B367" s="33">
        <v>46191.0</v>
      </c>
      <c r="C367" s="35">
        <v>20297.0</v>
      </c>
      <c r="D367" s="35">
        <v>12.0</v>
      </c>
      <c r="E367" s="37">
        <v>269.9</v>
      </c>
      <c r="F367" s="38">
        <f t="shared" si="1"/>
        <v>3238.8</v>
      </c>
      <c r="G367" s="35" t="s">
        <v>594</v>
      </c>
      <c r="H367" s="35" t="s">
        <v>596</v>
      </c>
      <c r="I367" s="35" t="s">
        <v>41</v>
      </c>
      <c r="J367" s="35" t="s">
        <v>34</v>
      </c>
      <c r="K367" s="35" t="s">
        <v>35</v>
      </c>
      <c r="L367" s="35" t="s">
        <v>96</v>
      </c>
      <c r="M367" s="39">
        <v>31.0</v>
      </c>
      <c r="N367" s="40">
        <v>46191.0</v>
      </c>
      <c r="O367" s="42" t="b">
        <v>1</v>
      </c>
      <c r="P367" s="44">
        <v>46192.0</v>
      </c>
      <c r="Q367" s="34"/>
      <c r="R367" s="34"/>
      <c r="S367" s="34"/>
      <c r="T367" s="34"/>
    </row>
    <row r="368" ht="15.75" customHeight="1">
      <c r="B368" s="33">
        <v>46191.0</v>
      </c>
      <c r="C368" s="35">
        <v>20297.0</v>
      </c>
      <c r="D368" s="35">
        <v>10.0</v>
      </c>
      <c r="E368" s="37">
        <v>379.9</v>
      </c>
      <c r="F368" s="38">
        <f t="shared" si="1"/>
        <v>3799</v>
      </c>
      <c r="G368" s="35" t="s">
        <v>1217</v>
      </c>
      <c r="H368" s="35" t="s">
        <v>1218</v>
      </c>
      <c r="I368" s="35" t="s">
        <v>41</v>
      </c>
      <c r="J368" s="35" t="s">
        <v>34</v>
      </c>
      <c r="K368" s="35" t="s">
        <v>35</v>
      </c>
      <c r="L368" s="35" t="s">
        <v>96</v>
      </c>
      <c r="M368" s="39">
        <v>31.0</v>
      </c>
      <c r="N368" s="40">
        <v>46191.0</v>
      </c>
      <c r="O368" s="42" t="b">
        <v>1</v>
      </c>
      <c r="P368" s="44">
        <v>46192.0</v>
      </c>
      <c r="Q368" s="34"/>
      <c r="R368" s="34"/>
      <c r="S368" s="34"/>
      <c r="T368" s="34"/>
    </row>
    <row r="369" ht="15.75" customHeight="1">
      <c r="B369" s="33">
        <v>46191.0</v>
      </c>
      <c r="C369" s="35">
        <v>20297.0</v>
      </c>
      <c r="D369" s="35">
        <v>10.0</v>
      </c>
      <c r="E369" s="37">
        <v>169.9</v>
      </c>
      <c r="F369" s="38">
        <f t="shared" si="1"/>
        <v>1699</v>
      </c>
      <c r="G369" s="35" t="s">
        <v>3524</v>
      </c>
      <c r="H369" s="35" t="s">
        <v>196</v>
      </c>
      <c r="I369" s="35" t="s">
        <v>41</v>
      </c>
      <c r="J369" s="35" t="s">
        <v>34</v>
      </c>
      <c r="K369" s="35" t="s">
        <v>35</v>
      </c>
      <c r="L369" s="35" t="s">
        <v>96</v>
      </c>
      <c r="M369" s="39">
        <v>31.0</v>
      </c>
      <c r="N369" s="40">
        <v>46191.0</v>
      </c>
      <c r="O369" s="42" t="b">
        <v>1</v>
      </c>
      <c r="P369" s="44">
        <v>46192.0</v>
      </c>
      <c r="Q369" s="34"/>
      <c r="R369" s="34"/>
      <c r="S369" s="34"/>
      <c r="T369" s="34"/>
    </row>
    <row r="370" ht="15.75" customHeight="1">
      <c r="B370" s="33">
        <v>46191.0</v>
      </c>
      <c r="C370" s="35">
        <v>20297.0</v>
      </c>
      <c r="D370" s="35">
        <v>20.0</v>
      </c>
      <c r="E370" s="37">
        <v>109.9</v>
      </c>
      <c r="F370" s="38">
        <f t="shared" si="1"/>
        <v>2198</v>
      </c>
      <c r="G370" s="35" t="s">
        <v>416</v>
      </c>
      <c r="H370" s="35" t="s">
        <v>417</v>
      </c>
      <c r="I370" s="35" t="s">
        <v>41</v>
      </c>
      <c r="J370" s="35" t="s">
        <v>34</v>
      </c>
      <c r="K370" s="35" t="s">
        <v>35</v>
      </c>
      <c r="L370" s="35" t="s">
        <v>96</v>
      </c>
      <c r="M370" s="39">
        <v>31.0</v>
      </c>
      <c r="N370" s="40">
        <v>46191.0</v>
      </c>
      <c r="O370" s="42" t="b">
        <v>1</v>
      </c>
      <c r="P370" s="44">
        <v>46192.0</v>
      </c>
      <c r="Q370" s="34"/>
      <c r="R370" s="34"/>
      <c r="S370" s="34"/>
      <c r="T370" s="34"/>
    </row>
    <row r="371" ht="15.75" customHeight="1">
      <c r="B371" s="33">
        <v>46191.0</v>
      </c>
      <c r="C371" s="35">
        <v>20297.0</v>
      </c>
      <c r="D371" s="35">
        <v>12.0</v>
      </c>
      <c r="E371" s="37">
        <v>89.99</v>
      </c>
      <c r="F371" s="38">
        <f t="shared" si="1"/>
        <v>1079.88</v>
      </c>
      <c r="G371" s="35" t="s">
        <v>214</v>
      </c>
      <c r="H371" s="35" t="s">
        <v>216</v>
      </c>
      <c r="I371" s="35" t="s">
        <v>41</v>
      </c>
      <c r="J371" s="35" t="s">
        <v>34</v>
      </c>
      <c r="K371" s="35" t="s">
        <v>35</v>
      </c>
      <c r="L371" s="35" t="s">
        <v>96</v>
      </c>
      <c r="M371" s="39">
        <v>31.0</v>
      </c>
      <c r="N371" s="40">
        <v>46191.0</v>
      </c>
      <c r="O371" s="42" t="b">
        <v>1</v>
      </c>
      <c r="P371" s="44">
        <v>46192.0</v>
      </c>
      <c r="Q371" s="34"/>
      <c r="R371" s="34"/>
      <c r="S371" s="34"/>
      <c r="T371" s="34"/>
    </row>
    <row r="372" ht="15.75" customHeight="1">
      <c r="B372" s="33">
        <v>46191.0</v>
      </c>
      <c r="C372" s="35">
        <v>20297.0</v>
      </c>
      <c r="D372" s="35">
        <v>12.0</v>
      </c>
      <c r="E372" s="37">
        <v>169.9</v>
      </c>
      <c r="F372" s="38">
        <f t="shared" si="1"/>
        <v>2038.8</v>
      </c>
      <c r="G372" s="35" t="s">
        <v>2217</v>
      </c>
      <c r="H372" s="35" t="s">
        <v>184</v>
      </c>
      <c r="I372" s="35" t="s">
        <v>41</v>
      </c>
      <c r="J372" s="35" t="s">
        <v>34</v>
      </c>
      <c r="K372" s="35" t="s">
        <v>35</v>
      </c>
      <c r="L372" s="35" t="s">
        <v>96</v>
      </c>
      <c r="M372" s="39">
        <v>31.0</v>
      </c>
      <c r="N372" s="40">
        <v>46191.0</v>
      </c>
      <c r="O372" s="42" t="b">
        <v>1</v>
      </c>
      <c r="P372" s="44">
        <v>46192.0</v>
      </c>
      <c r="Q372" s="34"/>
      <c r="R372" s="34"/>
      <c r="S372" s="34"/>
      <c r="T372" s="34"/>
    </row>
    <row r="373" ht="15.75" customHeight="1">
      <c r="B373" s="33">
        <v>46191.0</v>
      </c>
      <c r="C373" s="35">
        <v>20297.0</v>
      </c>
      <c r="D373" s="35">
        <v>24.0</v>
      </c>
      <c r="E373" s="37">
        <v>139.9</v>
      </c>
      <c r="F373" s="38">
        <f t="shared" si="1"/>
        <v>3357.6</v>
      </c>
      <c r="G373" s="35" t="s">
        <v>540</v>
      </c>
      <c r="H373" s="35" t="s">
        <v>541</v>
      </c>
      <c r="I373" s="35" t="s">
        <v>41</v>
      </c>
      <c r="J373" s="35" t="s">
        <v>34</v>
      </c>
      <c r="K373" s="35" t="s">
        <v>35</v>
      </c>
      <c r="L373" s="35" t="s">
        <v>96</v>
      </c>
      <c r="M373" s="39">
        <v>31.0</v>
      </c>
      <c r="N373" s="40">
        <v>46191.0</v>
      </c>
      <c r="O373" s="42" t="b">
        <v>1</v>
      </c>
      <c r="P373" s="44">
        <v>46192.0</v>
      </c>
      <c r="Q373" s="34"/>
      <c r="R373" s="34"/>
      <c r="S373" s="34"/>
      <c r="T373" s="34"/>
    </row>
    <row r="374" ht="15.75" customHeight="1">
      <c r="B374" s="33">
        <v>46191.0</v>
      </c>
      <c r="C374" s="35">
        <v>20297.0</v>
      </c>
      <c r="D374" s="35">
        <v>8.0</v>
      </c>
      <c r="E374" s="37">
        <v>169.9</v>
      </c>
      <c r="F374" s="38">
        <f t="shared" si="1"/>
        <v>1359.2</v>
      </c>
      <c r="G374" s="35" t="s">
        <v>3528</v>
      </c>
      <c r="H374" s="35" t="s">
        <v>3529</v>
      </c>
      <c r="I374" s="35" t="s">
        <v>41</v>
      </c>
      <c r="J374" s="35" t="s">
        <v>34</v>
      </c>
      <c r="K374" s="35" t="s">
        <v>35</v>
      </c>
      <c r="L374" s="35" t="s">
        <v>96</v>
      </c>
      <c r="M374" s="39">
        <v>31.0</v>
      </c>
      <c r="N374" s="40">
        <v>46191.0</v>
      </c>
      <c r="O374" s="42" t="b">
        <v>1</v>
      </c>
      <c r="P374" s="44">
        <v>46192.0</v>
      </c>
      <c r="Q374" s="34"/>
      <c r="R374" s="34"/>
      <c r="S374" s="34"/>
      <c r="T374" s="34"/>
    </row>
    <row r="375" ht="15.75" customHeight="1">
      <c r="B375" s="33">
        <v>46191.0</v>
      </c>
      <c r="C375" s="35">
        <v>20297.0</v>
      </c>
      <c r="D375" s="35">
        <v>12.0</v>
      </c>
      <c r="E375" s="37">
        <v>139.9</v>
      </c>
      <c r="F375" s="38">
        <f t="shared" si="1"/>
        <v>1678.8</v>
      </c>
      <c r="G375" s="35" t="s">
        <v>544</v>
      </c>
      <c r="H375" s="35" t="s">
        <v>546</v>
      </c>
      <c r="I375" s="35" t="s">
        <v>41</v>
      </c>
      <c r="J375" s="35" t="s">
        <v>34</v>
      </c>
      <c r="K375" s="35" t="s">
        <v>35</v>
      </c>
      <c r="L375" s="35" t="s">
        <v>96</v>
      </c>
      <c r="M375" s="39">
        <v>31.0</v>
      </c>
      <c r="N375" s="40">
        <v>46191.0</v>
      </c>
      <c r="O375" s="42" t="b">
        <v>1</v>
      </c>
      <c r="P375" s="44">
        <v>46192.0</v>
      </c>
      <c r="Q375" s="34"/>
      <c r="R375" s="34"/>
      <c r="S375" s="34"/>
      <c r="T375" s="34"/>
    </row>
    <row r="376" ht="15.75" customHeight="1">
      <c r="B376" s="33">
        <v>46191.0</v>
      </c>
      <c r="C376" s="35">
        <v>20297.0</v>
      </c>
      <c r="D376" s="35">
        <v>5.0</v>
      </c>
      <c r="E376" s="37">
        <v>329.9</v>
      </c>
      <c r="F376" s="38">
        <f t="shared" si="1"/>
        <v>1649.5</v>
      </c>
      <c r="G376" s="35" t="s">
        <v>420</v>
      </c>
      <c r="H376" s="35" t="s">
        <v>190</v>
      </c>
      <c r="I376" s="35" t="s">
        <v>41</v>
      </c>
      <c r="J376" s="35" t="s">
        <v>34</v>
      </c>
      <c r="K376" s="35" t="s">
        <v>35</v>
      </c>
      <c r="L376" s="35" t="s">
        <v>96</v>
      </c>
      <c r="M376" s="39">
        <v>31.0</v>
      </c>
      <c r="N376" s="40">
        <v>46191.0</v>
      </c>
      <c r="O376" s="42" t="b">
        <v>1</v>
      </c>
      <c r="P376" s="44">
        <v>46192.0</v>
      </c>
      <c r="Q376" s="34"/>
      <c r="R376" s="34"/>
      <c r="S376" s="34"/>
      <c r="T376" s="34"/>
    </row>
    <row r="377" ht="15.75" customHeight="1">
      <c r="B377" s="33">
        <v>46191.0</v>
      </c>
      <c r="C377" s="35">
        <v>20297.0</v>
      </c>
      <c r="D377" s="35">
        <v>60.0</v>
      </c>
      <c r="E377" s="37">
        <v>59.99</v>
      </c>
      <c r="F377" s="38">
        <f t="shared" si="1"/>
        <v>3599.4</v>
      </c>
      <c r="G377" s="35" t="s">
        <v>3536</v>
      </c>
      <c r="H377" s="35" t="s">
        <v>2410</v>
      </c>
      <c r="I377" s="35" t="s">
        <v>41</v>
      </c>
      <c r="J377" s="35" t="s">
        <v>34</v>
      </c>
      <c r="K377" s="35" t="s">
        <v>35</v>
      </c>
      <c r="L377" s="35" t="s">
        <v>96</v>
      </c>
      <c r="M377" s="39">
        <v>31.0</v>
      </c>
      <c r="N377" s="40">
        <v>46191.0</v>
      </c>
      <c r="O377" s="42" t="b">
        <v>1</v>
      </c>
      <c r="P377" s="44">
        <v>46192.0</v>
      </c>
      <c r="Q377" s="34"/>
      <c r="R377" s="34"/>
      <c r="S377" s="34"/>
      <c r="T377" s="34"/>
    </row>
    <row r="378" ht="15.75" customHeight="1">
      <c r="B378" s="33">
        <v>46191.0</v>
      </c>
      <c r="C378" s="35">
        <v>20428.0</v>
      </c>
      <c r="D378" s="35">
        <v>40.0</v>
      </c>
      <c r="E378" s="37">
        <v>32.9</v>
      </c>
      <c r="F378" s="38">
        <f t="shared" si="1"/>
        <v>1316</v>
      </c>
      <c r="G378" s="35" t="s">
        <v>3542</v>
      </c>
      <c r="H378" s="35" t="s">
        <v>3544</v>
      </c>
      <c r="I378" s="35" t="s">
        <v>77</v>
      </c>
      <c r="J378" s="35" t="s">
        <v>79</v>
      </c>
      <c r="K378" s="35" t="s">
        <v>35</v>
      </c>
      <c r="L378" s="35" t="s">
        <v>96</v>
      </c>
      <c r="M378" s="39">
        <v>1.0</v>
      </c>
      <c r="N378" s="40">
        <v>46192.0</v>
      </c>
      <c r="O378" s="42" t="b">
        <v>1</v>
      </c>
      <c r="P378" s="44">
        <v>46193.0</v>
      </c>
      <c r="Q378" s="34"/>
      <c r="R378" s="34"/>
      <c r="S378" s="34"/>
      <c r="T378" s="34"/>
    </row>
    <row r="379" ht="15.75" customHeight="1">
      <c r="B379" s="33">
        <v>46191.0</v>
      </c>
      <c r="C379" s="35">
        <v>20428.0</v>
      </c>
      <c r="D379" s="35">
        <v>40.0</v>
      </c>
      <c r="E379" s="37">
        <v>37.9</v>
      </c>
      <c r="F379" s="38">
        <f t="shared" si="1"/>
        <v>1516</v>
      </c>
      <c r="G379" s="35" t="s">
        <v>3542</v>
      </c>
      <c r="H379" s="35" t="s">
        <v>3550</v>
      </c>
      <c r="I379" s="35" t="s">
        <v>77</v>
      </c>
      <c r="J379" s="35" t="s">
        <v>79</v>
      </c>
      <c r="K379" s="35" t="s">
        <v>35</v>
      </c>
      <c r="L379" s="35" t="s">
        <v>96</v>
      </c>
      <c r="M379" s="39">
        <v>1.0</v>
      </c>
      <c r="N379" s="40">
        <v>46192.0</v>
      </c>
      <c r="O379" s="42" t="b">
        <v>1</v>
      </c>
      <c r="P379" s="44">
        <v>46193.0</v>
      </c>
      <c r="Q379" s="34"/>
      <c r="R379" s="34"/>
      <c r="S379" s="34"/>
      <c r="T379" s="34"/>
    </row>
    <row r="380" ht="15.75" customHeight="1">
      <c r="B380" s="33">
        <v>46191.0</v>
      </c>
      <c r="C380" s="35">
        <v>20428.0</v>
      </c>
      <c r="D380" s="35">
        <v>20.0</v>
      </c>
      <c r="E380" s="37">
        <v>49.9</v>
      </c>
      <c r="F380" s="38">
        <f t="shared" si="1"/>
        <v>998</v>
      </c>
      <c r="G380" s="35" t="s">
        <v>3553</v>
      </c>
      <c r="H380" s="35" t="s">
        <v>3554</v>
      </c>
      <c r="I380" s="35" t="s">
        <v>77</v>
      </c>
      <c r="J380" s="35" t="s">
        <v>79</v>
      </c>
      <c r="K380" s="35" t="s">
        <v>35</v>
      </c>
      <c r="L380" s="35" t="s">
        <v>96</v>
      </c>
      <c r="M380" s="39">
        <v>1.0</v>
      </c>
      <c r="N380" s="40">
        <v>46192.0</v>
      </c>
      <c r="O380" s="42" t="b">
        <v>1</v>
      </c>
      <c r="P380" s="44">
        <v>46193.0</v>
      </c>
      <c r="Q380" s="34"/>
      <c r="R380" s="34"/>
      <c r="S380" s="34"/>
      <c r="T380" s="34"/>
    </row>
    <row r="381" ht="15.75" customHeight="1">
      <c r="B381" s="33">
        <v>46191.0</v>
      </c>
      <c r="C381" s="35">
        <v>20428.0</v>
      </c>
      <c r="D381" s="35">
        <v>20.0</v>
      </c>
      <c r="E381" s="37">
        <v>50.9</v>
      </c>
      <c r="F381" s="38">
        <f t="shared" si="1"/>
        <v>1018</v>
      </c>
      <c r="G381" s="35" t="s">
        <v>532</v>
      </c>
      <c r="H381" s="35" t="s">
        <v>533</v>
      </c>
      <c r="I381" s="35" t="s">
        <v>77</v>
      </c>
      <c r="J381" s="35" t="s">
        <v>79</v>
      </c>
      <c r="K381" s="35" t="s">
        <v>35</v>
      </c>
      <c r="L381" s="35" t="s">
        <v>96</v>
      </c>
      <c r="M381" s="39">
        <v>1.0</v>
      </c>
      <c r="N381" s="40">
        <v>46192.0</v>
      </c>
      <c r="O381" s="42" t="b">
        <v>1</v>
      </c>
      <c r="P381" s="44">
        <v>46193.0</v>
      </c>
      <c r="Q381" s="34"/>
      <c r="R381" s="34"/>
      <c r="S381" s="34"/>
      <c r="T381" s="35"/>
    </row>
    <row r="382" ht="15.75" customHeight="1">
      <c r="B382" s="33">
        <v>46191.0</v>
      </c>
      <c r="C382" s="35">
        <v>20428.0</v>
      </c>
      <c r="D382" s="35">
        <v>36.0</v>
      </c>
      <c r="E382" s="37">
        <v>24.9</v>
      </c>
      <c r="F382" s="38">
        <f t="shared" si="1"/>
        <v>896.4</v>
      </c>
      <c r="G382" s="35" t="s">
        <v>3562</v>
      </c>
      <c r="H382" s="35" t="s">
        <v>3563</v>
      </c>
      <c r="I382" s="35" t="s">
        <v>77</v>
      </c>
      <c r="J382" s="35" t="s">
        <v>79</v>
      </c>
      <c r="K382" s="35" t="s">
        <v>35</v>
      </c>
      <c r="L382" s="35" t="s">
        <v>96</v>
      </c>
      <c r="M382" s="39">
        <v>1.0</v>
      </c>
      <c r="N382" s="40">
        <v>46192.0</v>
      </c>
      <c r="O382" s="42" t="b">
        <v>1</v>
      </c>
      <c r="P382" s="44">
        <v>46193.0</v>
      </c>
      <c r="Q382" s="34"/>
      <c r="R382" s="34"/>
      <c r="S382" s="34"/>
      <c r="T382" s="34"/>
    </row>
    <row r="383" ht="15.75" customHeight="1">
      <c r="B383" s="33">
        <v>46191.0</v>
      </c>
      <c r="C383" s="35">
        <v>20428.0</v>
      </c>
      <c r="D383" s="35">
        <v>100.0</v>
      </c>
      <c r="E383" s="37">
        <v>20.99</v>
      </c>
      <c r="F383" s="38">
        <f t="shared" si="1"/>
        <v>2099</v>
      </c>
      <c r="G383" s="35" t="s">
        <v>3567</v>
      </c>
      <c r="H383" s="35" t="s">
        <v>3568</v>
      </c>
      <c r="I383" s="35" t="s">
        <v>77</v>
      </c>
      <c r="J383" s="35" t="s">
        <v>79</v>
      </c>
      <c r="K383" s="35" t="s">
        <v>35</v>
      </c>
      <c r="L383" s="35" t="s">
        <v>96</v>
      </c>
      <c r="M383" s="39">
        <v>1.0</v>
      </c>
      <c r="N383" s="40">
        <v>46192.0</v>
      </c>
      <c r="O383" s="42" t="b">
        <v>1</v>
      </c>
      <c r="P383" s="44">
        <v>46193.0</v>
      </c>
      <c r="Q383" s="34"/>
      <c r="R383" s="34"/>
      <c r="S383" s="34"/>
      <c r="T383" s="34"/>
    </row>
    <row r="384" ht="15.75" customHeight="1">
      <c r="B384" s="33">
        <v>46191.0</v>
      </c>
      <c r="C384" s="35">
        <v>922144.0</v>
      </c>
      <c r="D384" s="35">
        <v>1000.0</v>
      </c>
      <c r="E384" s="37">
        <v>9.5</v>
      </c>
      <c r="F384" s="38">
        <f t="shared" si="1"/>
        <v>9500</v>
      </c>
      <c r="G384" s="35" t="s">
        <v>3572</v>
      </c>
      <c r="H384" s="35">
        <v>63188.0</v>
      </c>
      <c r="I384" s="35" t="s">
        <v>39</v>
      </c>
      <c r="J384" s="35" t="s">
        <v>40</v>
      </c>
      <c r="K384" s="35" t="s">
        <v>35</v>
      </c>
      <c r="L384" s="35" t="s">
        <v>43</v>
      </c>
      <c r="M384" s="39">
        <v>1.0</v>
      </c>
      <c r="N384" s="51" t="str">
        <f t="shared" ref="N384:N391" si="2">IF(B384&lt;TODAY()-2,"ATRASADO","EM DIA")</f>
        <v>ATRASADO</v>
      </c>
      <c r="O384" s="42" t="b">
        <v>0</v>
      </c>
      <c r="P384" s="36"/>
      <c r="Q384" s="34"/>
      <c r="R384" s="34"/>
      <c r="S384" s="34"/>
      <c r="T384" s="34"/>
    </row>
    <row r="385" ht="15.75" customHeight="1">
      <c r="B385" s="33">
        <v>46191.0</v>
      </c>
      <c r="C385" s="35">
        <v>922144.0</v>
      </c>
      <c r="D385" s="35">
        <v>100.0</v>
      </c>
      <c r="E385" s="37">
        <v>199.9</v>
      </c>
      <c r="F385" s="38">
        <f t="shared" si="1"/>
        <v>19990</v>
      </c>
      <c r="G385" s="35" t="s">
        <v>3579</v>
      </c>
      <c r="H385" s="35">
        <v>64940.0</v>
      </c>
      <c r="I385" s="35" t="s">
        <v>39</v>
      </c>
      <c r="J385" s="35" t="s">
        <v>40</v>
      </c>
      <c r="K385" s="35" t="s">
        <v>35</v>
      </c>
      <c r="L385" s="35" t="s">
        <v>43</v>
      </c>
      <c r="M385" s="39">
        <v>1.0</v>
      </c>
      <c r="N385" s="51" t="str">
        <f t="shared" si="2"/>
        <v>ATRASADO</v>
      </c>
      <c r="O385" s="42" t="b">
        <v>0</v>
      </c>
      <c r="P385" s="44"/>
      <c r="Q385" s="34"/>
      <c r="R385" s="34"/>
      <c r="S385" s="34"/>
      <c r="T385" s="34"/>
    </row>
    <row r="386" ht="15.75" customHeight="1">
      <c r="B386" s="33">
        <v>46191.0</v>
      </c>
      <c r="C386" s="35">
        <v>922144.0</v>
      </c>
      <c r="D386" s="35">
        <v>54.0</v>
      </c>
      <c r="E386" s="37">
        <v>554.05</v>
      </c>
      <c r="F386" s="38">
        <f t="shared" si="1"/>
        <v>29918.7</v>
      </c>
      <c r="G386" s="35" t="s">
        <v>3588</v>
      </c>
      <c r="H386" s="35">
        <v>71683.0</v>
      </c>
      <c r="I386" s="35" t="s">
        <v>39</v>
      </c>
      <c r="J386" s="35" t="s">
        <v>40</v>
      </c>
      <c r="K386" s="35" t="s">
        <v>35</v>
      </c>
      <c r="L386" s="35" t="s">
        <v>43</v>
      </c>
      <c r="M386" s="39">
        <v>1.0</v>
      </c>
      <c r="N386" s="51" t="str">
        <f t="shared" si="2"/>
        <v>ATRASADO</v>
      </c>
      <c r="O386" s="42" t="b">
        <v>0</v>
      </c>
      <c r="P386" s="44"/>
      <c r="Q386" s="34"/>
      <c r="R386" s="34"/>
      <c r="S386" s="34"/>
      <c r="T386" s="34"/>
    </row>
    <row r="387" ht="15.75" customHeight="1">
      <c r="B387" s="33">
        <v>46191.0</v>
      </c>
      <c r="C387" s="35">
        <v>922144.0</v>
      </c>
      <c r="D387" s="35">
        <v>47.0</v>
      </c>
      <c r="E387" s="37">
        <v>918.16</v>
      </c>
      <c r="F387" s="38">
        <f t="shared" si="1"/>
        <v>43153.52</v>
      </c>
      <c r="G387" s="35" t="s">
        <v>3595</v>
      </c>
      <c r="H387" s="35">
        <v>71682.0</v>
      </c>
      <c r="I387" s="35" t="s">
        <v>39</v>
      </c>
      <c r="J387" s="35" t="s">
        <v>40</v>
      </c>
      <c r="K387" s="35" t="s">
        <v>35</v>
      </c>
      <c r="L387" s="35" t="s">
        <v>43</v>
      </c>
      <c r="M387" s="39">
        <v>1.0</v>
      </c>
      <c r="N387" s="51" t="str">
        <f t="shared" si="2"/>
        <v>ATRASADO</v>
      </c>
      <c r="O387" s="42" t="b">
        <v>0</v>
      </c>
      <c r="P387" s="44"/>
      <c r="Q387" s="34"/>
      <c r="R387" s="34"/>
      <c r="S387" s="34"/>
      <c r="T387" s="34"/>
    </row>
    <row r="388" ht="15.75" customHeight="1">
      <c r="B388" s="33">
        <v>46191.0</v>
      </c>
      <c r="C388" s="35">
        <v>922144.0</v>
      </c>
      <c r="D388" s="35">
        <v>1500.0</v>
      </c>
      <c r="E388" s="37">
        <v>135.0</v>
      </c>
      <c r="F388" s="38">
        <f t="shared" si="1"/>
        <v>202500</v>
      </c>
      <c r="G388" s="35" t="s">
        <v>3600</v>
      </c>
      <c r="H388" s="35">
        <v>57944.0</v>
      </c>
      <c r="I388" s="35" t="s">
        <v>39</v>
      </c>
      <c r="J388" s="35" t="s">
        <v>40</v>
      </c>
      <c r="K388" s="35" t="s">
        <v>35</v>
      </c>
      <c r="L388" s="35" t="s">
        <v>43</v>
      </c>
      <c r="M388" s="39">
        <v>1.0</v>
      </c>
      <c r="N388" s="51" t="str">
        <f t="shared" si="2"/>
        <v>ATRASADO</v>
      </c>
      <c r="O388" s="42" t="b">
        <v>0</v>
      </c>
      <c r="P388" s="44"/>
      <c r="Q388" s="34"/>
      <c r="R388" s="34"/>
      <c r="S388" s="34"/>
      <c r="T388" s="34"/>
    </row>
    <row r="389" ht="15.75" customHeight="1">
      <c r="B389" s="33">
        <v>46191.0</v>
      </c>
      <c r="C389" s="35">
        <v>922144.0</v>
      </c>
      <c r="D389" s="35">
        <v>500.0</v>
      </c>
      <c r="E389" s="37">
        <v>135.0</v>
      </c>
      <c r="F389" s="38">
        <f t="shared" si="1"/>
        <v>67500</v>
      </c>
      <c r="G389" s="35" t="s">
        <v>3604</v>
      </c>
      <c r="H389" s="35">
        <v>57966.0</v>
      </c>
      <c r="I389" s="35" t="s">
        <v>39</v>
      </c>
      <c r="J389" s="35" t="s">
        <v>40</v>
      </c>
      <c r="K389" s="35" t="s">
        <v>35</v>
      </c>
      <c r="L389" s="35" t="s">
        <v>43</v>
      </c>
      <c r="M389" s="39">
        <v>1.0</v>
      </c>
      <c r="N389" s="51" t="str">
        <f t="shared" si="2"/>
        <v>ATRASADO</v>
      </c>
      <c r="O389" s="42" t="b">
        <v>0</v>
      </c>
      <c r="P389" s="45"/>
      <c r="Q389" s="34"/>
      <c r="R389" s="34"/>
      <c r="S389" s="34"/>
      <c r="T389" s="34"/>
    </row>
    <row r="390" ht="15.75" customHeight="1">
      <c r="B390" s="33">
        <v>46191.0</v>
      </c>
      <c r="C390" s="35">
        <v>922144.0</v>
      </c>
      <c r="D390" s="35">
        <v>300.0</v>
      </c>
      <c r="E390" s="37">
        <v>302.0</v>
      </c>
      <c r="F390" s="38">
        <f t="shared" si="1"/>
        <v>90600</v>
      </c>
      <c r="G390" s="35">
        <v>1.0</v>
      </c>
      <c r="H390" s="35">
        <v>61715.0</v>
      </c>
      <c r="I390" s="35" t="s">
        <v>39</v>
      </c>
      <c r="J390" s="35" t="s">
        <v>40</v>
      </c>
      <c r="K390" s="35" t="s">
        <v>35</v>
      </c>
      <c r="L390" s="35" t="s">
        <v>43</v>
      </c>
      <c r="M390" s="39">
        <v>1.0</v>
      </c>
      <c r="N390" s="51" t="str">
        <f t="shared" si="2"/>
        <v>ATRASADO</v>
      </c>
      <c r="O390" s="42" t="b">
        <v>0</v>
      </c>
      <c r="P390" s="45"/>
      <c r="Q390" s="34"/>
      <c r="R390" s="34"/>
      <c r="S390" s="34"/>
      <c r="T390" s="34"/>
    </row>
    <row r="391" ht="15.75" customHeight="1">
      <c r="B391" s="33">
        <v>46191.0</v>
      </c>
      <c r="C391" s="35">
        <v>922144.0</v>
      </c>
      <c r="D391" s="35">
        <v>200.0</v>
      </c>
      <c r="E391" s="37">
        <v>81.5</v>
      </c>
      <c r="F391" s="38">
        <f t="shared" si="1"/>
        <v>16300</v>
      </c>
      <c r="G391" s="35" t="s">
        <v>3617</v>
      </c>
      <c r="H391" s="35">
        <v>61188.0</v>
      </c>
      <c r="I391" s="35" t="s">
        <v>39</v>
      </c>
      <c r="J391" s="35" t="s">
        <v>40</v>
      </c>
      <c r="K391" s="35" t="s">
        <v>35</v>
      </c>
      <c r="L391" s="35" t="s">
        <v>43</v>
      </c>
      <c r="M391" s="39">
        <v>1.0</v>
      </c>
      <c r="N391" s="51" t="str">
        <f t="shared" si="2"/>
        <v>ATRASADO</v>
      </c>
      <c r="O391" s="42" t="b">
        <v>0</v>
      </c>
      <c r="P391" s="44"/>
      <c r="Q391" s="34"/>
      <c r="R391" s="34"/>
      <c r="S391" s="34"/>
      <c r="T391" s="34"/>
    </row>
    <row r="392" ht="15.75" customHeight="1">
      <c r="B392" s="44">
        <v>46191.0</v>
      </c>
      <c r="C392" s="58">
        <v>15059.0</v>
      </c>
      <c r="D392" s="35">
        <v>1.0</v>
      </c>
      <c r="E392" s="37">
        <v>248.1</v>
      </c>
      <c r="F392" s="38">
        <f t="shared" si="1"/>
        <v>248.1</v>
      </c>
      <c r="G392" s="35" t="s">
        <v>3622</v>
      </c>
      <c r="H392" s="35" t="s">
        <v>35</v>
      </c>
      <c r="I392" s="35" t="s">
        <v>174</v>
      </c>
      <c r="J392" s="35" t="s">
        <v>175</v>
      </c>
      <c r="K392" s="35" t="s">
        <v>35</v>
      </c>
      <c r="L392" s="35" t="s">
        <v>3623</v>
      </c>
      <c r="M392" s="39">
        <v>1.0</v>
      </c>
      <c r="N392" s="40">
        <v>46189.0</v>
      </c>
      <c r="O392" s="42" t="b">
        <v>0</v>
      </c>
      <c r="P392" s="44"/>
      <c r="Q392" s="34"/>
      <c r="R392" s="33">
        <v>46190.0</v>
      </c>
      <c r="S392" s="34"/>
      <c r="T392" s="34"/>
    </row>
    <row r="393" ht="15.75" customHeight="1">
      <c r="B393" s="33">
        <v>46192.0</v>
      </c>
      <c r="C393" s="35">
        <v>11054.0</v>
      </c>
      <c r="D393" s="35">
        <v>10.0</v>
      </c>
      <c r="E393" s="37">
        <v>318.0</v>
      </c>
      <c r="F393" s="38">
        <f t="shared" si="1"/>
        <v>3180</v>
      </c>
      <c r="G393" s="35" t="s">
        <v>3178</v>
      </c>
      <c r="H393" s="35" t="s">
        <v>2548</v>
      </c>
      <c r="I393" s="35" t="s">
        <v>41</v>
      </c>
      <c r="J393" s="35" t="s">
        <v>34</v>
      </c>
      <c r="K393" s="35" t="s">
        <v>35</v>
      </c>
      <c r="L393" s="35" t="s">
        <v>87</v>
      </c>
      <c r="M393" s="39">
        <v>31.0</v>
      </c>
      <c r="N393" s="40">
        <v>46192.0</v>
      </c>
      <c r="O393" s="42" t="b">
        <v>1</v>
      </c>
      <c r="P393" s="44">
        <v>46193.0</v>
      </c>
      <c r="Q393" s="34"/>
      <c r="R393" s="34"/>
      <c r="S393" s="34"/>
      <c r="T393" s="34"/>
    </row>
    <row r="394" ht="15.75" customHeight="1">
      <c r="B394" s="33">
        <v>46192.0</v>
      </c>
      <c r="C394" s="35">
        <v>11054.0</v>
      </c>
      <c r="D394" s="35">
        <v>20.0</v>
      </c>
      <c r="E394" s="37">
        <v>131.0</v>
      </c>
      <c r="F394" s="38">
        <f t="shared" si="1"/>
        <v>2620</v>
      </c>
      <c r="G394" s="35" t="s">
        <v>3173</v>
      </c>
      <c r="H394" s="35" t="s">
        <v>3174</v>
      </c>
      <c r="I394" s="35" t="s">
        <v>41</v>
      </c>
      <c r="J394" s="35" t="s">
        <v>34</v>
      </c>
      <c r="K394" s="35" t="s">
        <v>35</v>
      </c>
      <c r="L394" s="35" t="s">
        <v>87</v>
      </c>
      <c r="M394" s="39">
        <v>31.0</v>
      </c>
      <c r="N394" s="40">
        <v>46192.0</v>
      </c>
      <c r="O394" s="42" t="b">
        <v>1</v>
      </c>
      <c r="P394" s="44">
        <v>46193.0</v>
      </c>
      <c r="Q394" s="34"/>
      <c r="R394" s="34"/>
      <c r="S394" s="34"/>
      <c r="T394" s="34"/>
    </row>
    <row r="395" ht="15.75" customHeight="1">
      <c r="B395" s="33">
        <v>46192.0</v>
      </c>
      <c r="C395" s="35">
        <v>11054.0</v>
      </c>
      <c r="D395" s="35">
        <v>8.0</v>
      </c>
      <c r="E395" s="37">
        <v>340.0</v>
      </c>
      <c r="F395" s="38">
        <f t="shared" si="1"/>
        <v>2720</v>
      </c>
      <c r="G395" s="35" t="s">
        <v>3639</v>
      </c>
      <c r="H395" s="35" t="s">
        <v>3640</v>
      </c>
      <c r="I395" s="35" t="s">
        <v>41</v>
      </c>
      <c r="J395" s="35" t="s">
        <v>34</v>
      </c>
      <c r="K395" s="35" t="s">
        <v>35</v>
      </c>
      <c r="L395" s="35" t="s">
        <v>87</v>
      </c>
      <c r="M395" s="39">
        <v>31.0</v>
      </c>
      <c r="N395" s="40">
        <v>46192.0</v>
      </c>
      <c r="O395" s="42" t="b">
        <v>1</v>
      </c>
      <c r="P395" s="44">
        <v>46195.0</v>
      </c>
      <c r="Q395" s="34"/>
      <c r="R395" s="34"/>
      <c r="S395" s="34"/>
      <c r="T395" s="34"/>
    </row>
    <row r="396" ht="15.75" customHeight="1">
      <c r="B396" s="33">
        <v>46192.0</v>
      </c>
      <c r="C396" s="35">
        <v>11054.0</v>
      </c>
      <c r="D396" s="35">
        <v>4.0</v>
      </c>
      <c r="E396" s="37">
        <v>467.0</v>
      </c>
      <c r="F396" s="38">
        <f t="shared" si="1"/>
        <v>1868</v>
      </c>
      <c r="G396" s="35" t="s">
        <v>3639</v>
      </c>
      <c r="H396" s="35" t="s">
        <v>3647</v>
      </c>
      <c r="I396" s="35" t="s">
        <v>41</v>
      </c>
      <c r="J396" s="35" t="s">
        <v>34</v>
      </c>
      <c r="K396" s="35" t="s">
        <v>35</v>
      </c>
      <c r="L396" s="35" t="s">
        <v>87</v>
      </c>
      <c r="M396" s="39">
        <v>31.0</v>
      </c>
      <c r="N396" s="40">
        <v>46192.0</v>
      </c>
      <c r="O396" s="42" t="b">
        <v>1</v>
      </c>
      <c r="P396" s="44">
        <v>46195.0</v>
      </c>
      <c r="Q396" s="34"/>
      <c r="R396" s="34"/>
      <c r="S396" s="34"/>
      <c r="T396" s="34"/>
    </row>
    <row r="397" ht="15.75" customHeight="1">
      <c r="B397" s="33">
        <v>46192.0</v>
      </c>
      <c r="C397" s="35">
        <v>11054.0</v>
      </c>
      <c r="D397" s="35">
        <v>80.0</v>
      </c>
      <c r="E397" s="37">
        <v>32.3</v>
      </c>
      <c r="F397" s="38">
        <f t="shared" si="1"/>
        <v>2584</v>
      </c>
      <c r="G397" s="35" t="s">
        <v>3651</v>
      </c>
      <c r="H397" s="35" t="s">
        <v>3652</v>
      </c>
      <c r="I397" s="35" t="s">
        <v>41</v>
      </c>
      <c r="J397" s="35" t="s">
        <v>34</v>
      </c>
      <c r="K397" s="35" t="s">
        <v>35</v>
      </c>
      <c r="L397" s="35" t="s">
        <v>87</v>
      </c>
      <c r="M397" s="39">
        <v>31.0</v>
      </c>
      <c r="N397" s="40">
        <v>46192.0</v>
      </c>
      <c r="O397" s="42" t="b">
        <v>1</v>
      </c>
      <c r="P397" s="44">
        <v>46195.0</v>
      </c>
      <c r="Q397" s="34"/>
      <c r="R397" s="34"/>
      <c r="S397" s="34"/>
      <c r="T397" s="34"/>
    </row>
    <row r="398" ht="15.75" customHeight="1">
      <c r="B398" s="33">
        <v>46192.0</v>
      </c>
      <c r="C398" s="35">
        <v>11054.0</v>
      </c>
      <c r="D398" s="35">
        <v>80.0</v>
      </c>
      <c r="E398" s="37">
        <v>42.5</v>
      </c>
      <c r="F398" s="38">
        <f t="shared" si="1"/>
        <v>3400</v>
      </c>
      <c r="G398" s="35" t="s">
        <v>3651</v>
      </c>
      <c r="H398" s="35" t="s">
        <v>3658</v>
      </c>
      <c r="I398" s="35" t="s">
        <v>41</v>
      </c>
      <c r="J398" s="35" t="s">
        <v>34</v>
      </c>
      <c r="K398" s="35" t="s">
        <v>35</v>
      </c>
      <c r="L398" s="35" t="s">
        <v>87</v>
      </c>
      <c r="M398" s="39">
        <v>31.0</v>
      </c>
      <c r="N398" s="40">
        <v>46192.0</v>
      </c>
      <c r="O398" s="42" t="b">
        <v>1</v>
      </c>
      <c r="P398" s="44">
        <v>46195.0</v>
      </c>
      <c r="Q398" s="34"/>
      <c r="R398" s="34"/>
      <c r="S398" s="34"/>
      <c r="T398" s="34"/>
    </row>
    <row r="399" ht="15.75" customHeight="1">
      <c r="B399" s="33">
        <v>46192.0</v>
      </c>
      <c r="C399" s="35">
        <v>11054.0</v>
      </c>
      <c r="D399" s="35">
        <v>20.0</v>
      </c>
      <c r="E399" s="37">
        <v>255.0</v>
      </c>
      <c r="F399" s="38">
        <f t="shared" si="1"/>
        <v>5100</v>
      </c>
      <c r="G399" s="35" t="s">
        <v>3395</v>
      </c>
      <c r="H399" s="35" t="s">
        <v>3396</v>
      </c>
      <c r="I399" s="35" t="s">
        <v>41</v>
      </c>
      <c r="J399" s="35" t="s">
        <v>34</v>
      </c>
      <c r="K399" s="35" t="s">
        <v>35</v>
      </c>
      <c r="L399" s="35" t="s">
        <v>87</v>
      </c>
      <c r="M399" s="39">
        <v>31.0</v>
      </c>
      <c r="N399" s="40">
        <v>46192.0</v>
      </c>
      <c r="O399" s="42" t="b">
        <v>1</v>
      </c>
      <c r="P399" s="44">
        <v>46195.0</v>
      </c>
      <c r="Q399" s="34"/>
      <c r="R399" s="34"/>
      <c r="S399" s="34"/>
      <c r="T399" s="34"/>
    </row>
    <row r="400" ht="15.75" customHeight="1">
      <c r="B400" s="33">
        <v>46192.0</v>
      </c>
      <c r="C400" s="35">
        <v>11054.0</v>
      </c>
      <c r="D400" s="35">
        <v>16.0</v>
      </c>
      <c r="E400" s="37">
        <v>348.5</v>
      </c>
      <c r="F400" s="38">
        <f t="shared" si="1"/>
        <v>5576</v>
      </c>
      <c r="G400" s="35" t="s">
        <v>3395</v>
      </c>
      <c r="H400" s="35" t="s">
        <v>3668</v>
      </c>
      <c r="I400" s="35" t="s">
        <v>41</v>
      </c>
      <c r="J400" s="35" t="s">
        <v>34</v>
      </c>
      <c r="K400" s="35" t="s">
        <v>35</v>
      </c>
      <c r="L400" s="35" t="s">
        <v>87</v>
      </c>
      <c r="M400" s="39">
        <v>31.0</v>
      </c>
      <c r="N400" s="40">
        <v>46192.0</v>
      </c>
      <c r="O400" s="42" t="b">
        <v>1</v>
      </c>
      <c r="P400" s="44">
        <v>46195.0</v>
      </c>
      <c r="Q400" s="34"/>
      <c r="R400" s="34"/>
      <c r="S400" s="34"/>
      <c r="T400" s="34"/>
    </row>
    <row r="401" ht="15.75" customHeight="1">
      <c r="B401" s="33">
        <v>46192.0</v>
      </c>
      <c r="C401" s="35">
        <v>11054.0</v>
      </c>
      <c r="D401" s="35">
        <v>6.0</v>
      </c>
      <c r="E401" s="37">
        <v>1105.0</v>
      </c>
      <c r="F401" s="38">
        <f t="shared" si="1"/>
        <v>6630</v>
      </c>
      <c r="G401" s="35" t="s">
        <v>3672</v>
      </c>
      <c r="H401" s="35" t="s">
        <v>3674</v>
      </c>
      <c r="I401" s="35" t="s">
        <v>41</v>
      </c>
      <c r="J401" s="35" t="s">
        <v>34</v>
      </c>
      <c r="K401" s="35" t="s">
        <v>35</v>
      </c>
      <c r="L401" s="35" t="s">
        <v>87</v>
      </c>
      <c r="M401" s="39">
        <v>31.0</v>
      </c>
      <c r="N401" s="40">
        <v>46192.0</v>
      </c>
      <c r="O401" s="42" t="b">
        <v>1</v>
      </c>
      <c r="P401" s="44">
        <v>46195.0</v>
      </c>
      <c r="Q401" s="34"/>
      <c r="R401" s="34"/>
      <c r="S401" s="34"/>
      <c r="T401" s="34"/>
    </row>
    <row r="402" ht="15.75" customHeight="1">
      <c r="B402" s="33">
        <v>46192.0</v>
      </c>
      <c r="C402" s="35">
        <v>11074.0</v>
      </c>
      <c r="D402" s="35">
        <v>40.0</v>
      </c>
      <c r="E402" s="37">
        <v>467.0</v>
      </c>
      <c r="F402" s="38">
        <f t="shared" si="1"/>
        <v>18680</v>
      </c>
      <c r="G402" s="35" t="s">
        <v>3682</v>
      </c>
      <c r="H402" s="35" t="s">
        <v>3684</v>
      </c>
      <c r="I402" s="35" t="s">
        <v>77</v>
      </c>
      <c r="J402" s="35" t="s">
        <v>79</v>
      </c>
      <c r="K402" s="35" t="s">
        <v>35</v>
      </c>
      <c r="L402" s="35" t="s">
        <v>87</v>
      </c>
      <c r="M402" s="39">
        <v>1.0</v>
      </c>
      <c r="N402" s="40">
        <v>46192.0</v>
      </c>
      <c r="O402" s="42" t="b">
        <v>1</v>
      </c>
      <c r="P402" s="44"/>
      <c r="Q402" s="34"/>
      <c r="R402" s="34"/>
      <c r="S402" s="34"/>
      <c r="T402" s="34"/>
    </row>
    <row r="403" ht="15.75" customHeight="1">
      <c r="B403" s="33">
        <v>46192.0</v>
      </c>
      <c r="C403" s="35">
        <v>922321.0</v>
      </c>
      <c r="D403" s="35">
        <v>100.0</v>
      </c>
      <c r="E403" s="37">
        <v>149.9</v>
      </c>
      <c r="F403" s="38">
        <f t="shared" si="1"/>
        <v>14990</v>
      </c>
      <c r="G403" s="35" t="s">
        <v>3690</v>
      </c>
      <c r="H403" s="35">
        <v>61857.0</v>
      </c>
      <c r="I403" s="35" t="s">
        <v>41</v>
      </c>
      <c r="J403" s="35" t="s">
        <v>34</v>
      </c>
      <c r="K403" s="35" t="s">
        <v>35</v>
      </c>
      <c r="L403" s="35" t="s">
        <v>43</v>
      </c>
      <c r="M403" s="39">
        <v>31.0</v>
      </c>
      <c r="N403" s="40">
        <v>46195.0</v>
      </c>
      <c r="O403" s="42" t="b">
        <v>1</v>
      </c>
      <c r="P403" s="44">
        <v>46195.0</v>
      </c>
      <c r="Q403" s="34"/>
      <c r="R403" s="34"/>
      <c r="S403" s="34"/>
      <c r="T403" s="34"/>
    </row>
    <row r="404" ht="15.75" customHeight="1">
      <c r="B404" s="33">
        <v>46192.0</v>
      </c>
      <c r="C404" s="35">
        <v>842.0</v>
      </c>
      <c r="D404" s="35">
        <v>200.0</v>
      </c>
      <c r="E404" s="37">
        <v>90.0</v>
      </c>
      <c r="F404" s="38">
        <f t="shared" si="1"/>
        <v>18000</v>
      </c>
      <c r="G404" s="35" t="s">
        <v>959</v>
      </c>
      <c r="H404" s="35" t="s">
        <v>3630</v>
      </c>
      <c r="I404" s="35" t="s">
        <v>77</v>
      </c>
      <c r="J404" s="35" t="s">
        <v>79</v>
      </c>
      <c r="K404" s="35" t="s">
        <v>35</v>
      </c>
      <c r="L404" s="35" t="s">
        <v>140</v>
      </c>
      <c r="M404" s="39">
        <v>31.0</v>
      </c>
      <c r="N404" s="40">
        <v>46197.0</v>
      </c>
      <c r="O404" s="42" t="b">
        <v>1</v>
      </c>
      <c r="P404" s="44"/>
      <c r="Q404" s="34"/>
      <c r="R404" s="33">
        <v>46192.0</v>
      </c>
      <c r="S404" s="34"/>
      <c r="T404" s="34"/>
    </row>
    <row r="405" ht="15.75" customHeight="1">
      <c r="B405" s="33">
        <v>46192.0</v>
      </c>
      <c r="C405" s="46" t="s">
        <v>3715</v>
      </c>
      <c r="D405" s="35">
        <v>4.0</v>
      </c>
      <c r="E405" s="37">
        <v>1440.0</v>
      </c>
      <c r="F405" s="38">
        <f t="shared" si="1"/>
        <v>5760</v>
      </c>
      <c r="G405" s="35" t="s">
        <v>3717</v>
      </c>
      <c r="H405" s="35" t="s">
        <v>3719</v>
      </c>
      <c r="I405" s="35" t="s">
        <v>39</v>
      </c>
      <c r="J405" s="35" t="s">
        <v>35</v>
      </c>
      <c r="K405" s="35" t="s">
        <v>35</v>
      </c>
      <c r="L405" s="35" t="s">
        <v>151</v>
      </c>
      <c r="M405" s="39">
        <v>31.0</v>
      </c>
      <c r="N405" s="40">
        <v>46192.0</v>
      </c>
      <c r="O405" s="42" t="b">
        <v>1</v>
      </c>
      <c r="P405" s="44">
        <v>46195.0</v>
      </c>
      <c r="Q405" s="34"/>
      <c r="R405" s="34"/>
      <c r="S405" s="34"/>
      <c r="T405" s="34"/>
    </row>
    <row r="406" ht="15.75" customHeight="1">
      <c r="B406" s="33">
        <v>46192.0</v>
      </c>
      <c r="C406" s="35" t="s">
        <v>35</v>
      </c>
      <c r="D406" s="35">
        <v>50.0</v>
      </c>
      <c r="E406" s="37">
        <v>477.83</v>
      </c>
      <c r="F406" s="38">
        <f t="shared" si="1"/>
        <v>23891.5</v>
      </c>
      <c r="G406" s="35" t="s">
        <v>3726</v>
      </c>
      <c r="H406" s="35" t="s">
        <v>35</v>
      </c>
      <c r="I406" s="35" t="s">
        <v>59</v>
      </c>
      <c r="J406" s="35" t="s">
        <v>34</v>
      </c>
      <c r="K406" s="35" t="s">
        <v>35</v>
      </c>
      <c r="L406" s="35" t="s">
        <v>365</v>
      </c>
      <c r="M406" s="39">
        <v>1.0</v>
      </c>
      <c r="N406" s="40">
        <v>46199.0</v>
      </c>
      <c r="O406" s="42" t="b">
        <v>1</v>
      </c>
      <c r="P406" s="44">
        <v>46199.0</v>
      </c>
      <c r="Q406" s="34"/>
      <c r="R406" s="34"/>
      <c r="S406" s="34"/>
      <c r="T406" s="34"/>
    </row>
    <row r="407" ht="15.75" customHeight="1">
      <c r="B407" s="33">
        <v>46192.0</v>
      </c>
      <c r="C407" s="35">
        <v>15268.0</v>
      </c>
      <c r="D407" s="35">
        <v>100.0</v>
      </c>
      <c r="E407" s="37">
        <v>17.1</v>
      </c>
      <c r="F407" s="38">
        <f t="shared" si="1"/>
        <v>1710</v>
      </c>
      <c r="G407" s="35" t="s">
        <v>3734</v>
      </c>
      <c r="H407" s="35" t="s">
        <v>3735</v>
      </c>
      <c r="I407" s="35" t="s">
        <v>41</v>
      </c>
      <c r="J407" s="35" t="s">
        <v>34</v>
      </c>
      <c r="K407" s="35" t="s">
        <v>35</v>
      </c>
      <c r="L407" s="35" t="s">
        <v>279</v>
      </c>
      <c r="M407" s="39">
        <v>31.0</v>
      </c>
      <c r="N407" s="40">
        <v>46192.0</v>
      </c>
      <c r="O407" s="42" t="b">
        <v>1</v>
      </c>
      <c r="P407" s="44">
        <v>46195.0</v>
      </c>
      <c r="Q407" s="34"/>
      <c r="R407" s="34"/>
      <c r="S407" s="34"/>
      <c r="T407" s="34"/>
    </row>
    <row r="408" ht="15.75" customHeight="1">
      <c r="B408" s="33">
        <v>46192.0</v>
      </c>
      <c r="C408" s="35">
        <v>15268.0</v>
      </c>
      <c r="D408" s="35">
        <v>100.0</v>
      </c>
      <c r="E408" s="37">
        <v>16.2</v>
      </c>
      <c r="F408" s="38">
        <f t="shared" si="1"/>
        <v>1620</v>
      </c>
      <c r="G408" s="35" t="s">
        <v>3742</v>
      </c>
      <c r="H408" s="35" t="s">
        <v>3744</v>
      </c>
      <c r="I408" s="35" t="s">
        <v>41</v>
      </c>
      <c r="J408" s="35" t="s">
        <v>34</v>
      </c>
      <c r="K408" s="35" t="s">
        <v>35</v>
      </c>
      <c r="L408" s="35" t="s">
        <v>279</v>
      </c>
      <c r="M408" s="39">
        <v>31.0</v>
      </c>
      <c r="N408" s="40">
        <v>46192.0</v>
      </c>
      <c r="O408" s="42" t="b">
        <v>1</v>
      </c>
      <c r="P408" s="44">
        <v>46195.0</v>
      </c>
      <c r="Q408" s="34"/>
      <c r="R408" s="34"/>
      <c r="S408" s="34"/>
      <c r="T408" s="34"/>
    </row>
    <row r="409" ht="15.75" customHeight="1">
      <c r="B409" s="33">
        <v>46192.0</v>
      </c>
      <c r="C409" s="35">
        <v>15268.0</v>
      </c>
      <c r="D409" s="35">
        <v>200.0</v>
      </c>
      <c r="E409" s="37">
        <v>13.5</v>
      </c>
      <c r="F409" s="38">
        <f t="shared" si="1"/>
        <v>2700</v>
      </c>
      <c r="G409" s="35" t="s">
        <v>3748</v>
      </c>
      <c r="H409" s="35" t="s">
        <v>3749</v>
      </c>
      <c r="I409" s="35" t="s">
        <v>41</v>
      </c>
      <c r="J409" s="35" t="s">
        <v>34</v>
      </c>
      <c r="K409" s="35" t="s">
        <v>35</v>
      </c>
      <c r="L409" s="35" t="s">
        <v>279</v>
      </c>
      <c r="M409" s="39">
        <v>31.0</v>
      </c>
      <c r="N409" s="40">
        <v>46192.0</v>
      </c>
      <c r="O409" s="42" t="b">
        <v>1</v>
      </c>
      <c r="P409" s="44">
        <v>46195.0</v>
      </c>
      <c r="Q409" s="34"/>
      <c r="R409" s="34"/>
      <c r="S409" s="34"/>
      <c r="T409" s="34"/>
    </row>
    <row r="410" ht="15.75" customHeight="1">
      <c r="B410" s="33">
        <v>46192.0</v>
      </c>
      <c r="C410" s="35">
        <v>15268.0</v>
      </c>
      <c r="D410" s="35">
        <v>20.0</v>
      </c>
      <c r="E410" s="37">
        <v>18.0</v>
      </c>
      <c r="F410" s="38">
        <f t="shared" si="1"/>
        <v>360</v>
      </c>
      <c r="G410" s="35" t="s">
        <v>3755</v>
      </c>
      <c r="H410" s="35" t="s">
        <v>3756</v>
      </c>
      <c r="I410" s="35" t="s">
        <v>41</v>
      </c>
      <c r="J410" s="35" t="s">
        <v>34</v>
      </c>
      <c r="K410" s="35" t="s">
        <v>35</v>
      </c>
      <c r="L410" s="35" t="s">
        <v>279</v>
      </c>
      <c r="M410" s="39">
        <v>31.0</v>
      </c>
      <c r="N410" s="40">
        <v>46192.0</v>
      </c>
      <c r="O410" s="42" t="b">
        <v>1</v>
      </c>
      <c r="P410" s="44">
        <v>46195.0</v>
      </c>
      <c r="Q410" s="34"/>
      <c r="R410" s="34"/>
      <c r="S410" s="34"/>
      <c r="T410" s="34"/>
    </row>
    <row r="411" ht="15.75" customHeight="1">
      <c r="B411" s="33">
        <v>46192.0</v>
      </c>
      <c r="C411" s="35">
        <v>15268.0</v>
      </c>
      <c r="D411" s="35">
        <v>10.0</v>
      </c>
      <c r="E411" s="37">
        <v>103.5</v>
      </c>
      <c r="F411" s="38">
        <f t="shared" si="1"/>
        <v>1035</v>
      </c>
      <c r="G411" s="35" t="s">
        <v>3759</v>
      </c>
      <c r="H411" s="35" t="s">
        <v>3763</v>
      </c>
      <c r="I411" s="35" t="s">
        <v>41</v>
      </c>
      <c r="J411" s="35" t="s">
        <v>34</v>
      </c>
      <c r="K411" s="35" t="s">
        <v>35</v>
      </c>
      <c r="L411" s="35" t="s">
        <v>279</v>
      </c>
      <c r="M411" s="39">
        <v>31.0</v>
      </c>
      <c r="N411" s="40">
        <v>46192.0</v>
      </c>
      <c r="O411" s="42" t="b">
        <v>1</v>
      </c>
      <c r="P411" s="44">
        <v>46195.0</v>
      </c>
      <c r="Q411" s="34"/>
      <c r="R411" s="34"/>
      <c r="S411" s="34"/>
      <c r="T411" s="34"/>
    </row>
    <row r="412" ht="15.75" customHeight="1">
      <c r="B412" s="33">
        <v>46192.0</v>
      </c>
      <c r="C412" s="35">
        <v>15268.0</v>
      </c>
      <c r="D412" s="35">
        <v>50.0</v>
      </c>
      <c r="E412" s="37">
        <v>50.4</v>
      </c>
      <c r="F412" s="38">
        <f t="shared" si="1"/>
        <v>2520</v>
      </c>
      <c r="G412" s="35" t="s">
        <v>3765</v>
      </c>
      <c r="H412" s="35" t="s">
        <v>3767</v>
      </c>
      <c r="I412" s="35" t="s">
        <v>41</v>
      </c>
      <c r="J412" s="35" t="s">
        <v>34</v>
      </c>
      <c r="K412" s="35" t="s">
        <v>35</v>
      </c>
      <c r="L412" s="35" t="s">
        <v>279</v>
      </c>
      <c r="M412" s="39">
        <v>31.0</v>
      </c>
      <c r="N412" s="40">
        <v>46192.0</v>
      </c>
      <c r="O412" s="42" t="b">
        <v>1</v>
      </c>
      <c r="P412" s="44">
        <v>46195.0</v>
      </c>
      <c r="Q412" s="34"/>
      <c r="R412" s="34"/>
      <c r="S412" s="34"/>
      <c r="T412" s="34"/>
    </row>
    <row r="413" ht="15.75" customHeight="1">
      <c r="B413" s="33">
        <v>46192.0</v>
      </c>
      <c r="C413" s="35">
        <v>15268.0</v>
      </c>
      <c r="D413" s="35">
        <v>50.0</v>
      </c>
      <c r="E413" s="37">
        <v>14.85</v>
      </c>
      <c r="F413" s="38">
        <f t="shared" si="1"/>
        <v>742.5</v>
      </c>
      <c r="G413" s="35" t="s">
        <v>3772</v>
      </c>
      <c r="H413" s="35" t="s">
        <v>3774</v>
      </c>
      <c r="I413" s="35" t="s">
        <v>41</v>
      </c>
      <c r="J413" s="35" t="s">
        <v>34</v>
      </c>
      <c r="K413" s="35" t="s">
        <v>35</v>
      </c>
      <c r="L413" s="35" t="s">
        <v>279</v>
      </c>
      <c r="M413" s="39">
        <v>31.0</v>
      </c>
      <c r="N413" s="40">
        <v>46192.0</v>
      </c>
      <c r="O413" s="42" t="b">
        <v>1</v>
      </c>
      <c r="P413" s="44">
        <v>46195.0</v>
      </c>
      <c r="Q413" s="34"/>
      <c r="R413" s="34"/>
      <c r="S413" s="34"/>
      <c r="T413" s="34"/>
    </row>
    <row r="414" ht="15.75" customHeight="1">
      <c r="B414" s="33">
        <v>46192.0</v>
      </c>
      <c r="C414" s="35">
        <v>15268.0</v>
      </c>
      <c r="D414" s="35">
        <v>20.0</v>
      </c>
      <c r="E414" s="37">
        <v>93.6</v>
      </c>
      <c r="F414" s="38">
        <f t="shared" si="1"/>
        <v>1872</v>
      </c>
      <c r="G414" s="35" t="s">
        <v>3779</v>
      </c>
      <c r="H414" s="35" t="s">
        <v>3780</v>
      </c>
      <c r="I414" s="35" t="s">
        <v>41</v>
      </c>
      <c r="J414" s="35" t="s">
        <v>34</v>
      </c>
      <c r="K414" s="35" t="s">
        <v>35</v>
      </c>
      <c r="L414" s="35" t="s">
        <v>279</v>
      </c>
      <c r="M414" s="39">
        <v>31.0</v>
      </c>
      <c r="N414" s="40">
        <v>46192.0</v>
      </c>
      <c r="O414" s="42" t="b">
        <v>1</v>
      </c>
      <c r="P414" s="44">
        <v>46195.0</v>
      </c>
      <c r="Q414" s="34"/>
      <c r="R414" s="34"/>
      <c r="S414" s="34"/>
      <c r="T414" s="34"/>
    </row>
    <row r="415" ht="15.75" customHeight="1">
      <c r="B415" s="33">
        <v>46192.0</v>
      </c>
      <c r="C415" s="35">
        <v>20521.0</v>
      </c>
      <c r="D415" s="35">
        <v>10.0</v>
      </c>
      <c r="E415" s="37">
        <v>79.99</v>
      </c>
      <c r="F415" s="38">
        <f t="shared" si="1"/>
        <v>799.9</v>
      </c>
      <c r="G415" s="35" t="s">
        <v>3787</v>
      </c>
      <c r="H415" s="35" t="s">
        <v>3788</v>
      </c>
      <c r="I415" s="35" t="s">
        <v>174</v>
      </c>
      <c r="J415" s="35" t="s">
        <v>175</v>
      </c>
      <c r="K415" s="35" t="s">
        <v>35</v>
      </c>
      <c r="L415" s="35" t="s">
        <v>96</v>
      </c>
      <c r="M415" s="39">
        <v>1.0</v>
      </c>
      <c r="N415" s="40">
        <v>46197.0</v>
      </c>
      <c r="O415" s="42" t="b">
        <v>1</v>
      </c>
      <c r="P415" s="44">
        <v>46198.0</v>
      </c>
      <c r="Q415" s="34"/>
      <c r="R415" s="34"/>
      <c r="S415" s="34"/>
      <c r="T415" s="34"/>
    </row>
    <row r="416" ht="15.75" customHeight="1">
      <c r="B416" s="33">
        <v>46192.0</v>
      </c>
      <c r="C416" s="46" t="s">
        <v>3792</v>
      </c>
      <c r="D416" s="35">
        <v>4.0</v>
      </c>
      <c r="E416" s="37">
        <v>2030.4</v>
      </c>
      <c r="F416" s="38">
        <f t="shared" si="1"/>
        <v>8121.6</v>
      </c>
      <c r="G416" s="35" t="s">
        <v>1682</v>
      </c>
      <c r="H416" s="35" t="s">
        <v>3793</v>
      </c>
      <c r="I416" s="35" t="s">
        <v>41</v>
      </c>
      <c r="J416" s="35" t="s">
        <v>34</v>
      </c>
      <c r="K416" s="35" t="s">
        <v>35</v>
      </c>
      <c r="L416" s="35" t="s">
        <v>151</v>
      </c>
      <c r="M416" s="39">
        <v>1.0</v>
      </c>
      <c r="N416" s="40">
        <v>46197.0</v>
      </c>
      <c r="O416" s="42" t="b">
        <v>1</v>
      </c>
      <c r="P416" s="44">
        <v>46196.0</v>
      </c>
      <c r="Q416" s="34"/>
      <c r="R416" s="34"/>
      <c r="S416" s="34"/>
      <c r="T416" s="34"/>
    </row>
    <row r="417" ht="15.75" customHeight="1">
      <c r="B417" s="33">
        <v>46192.0</v>
      </c>
      <c r="C417" s="46" t="s">
        <v>3792</v>
      </c>
      <c r="D417" s="35">
        <v>2.0</v>
      </c>
      <c r="E417" s="37">
        <v>2187.0</v>
      </c>
      <c r="F417" s="38">
        <f t="shared" si="1"/>
        <v>4374</v>
      </c>
      <c r="G417" s="35" t="s">
        <v>1682</v>
      </c>
      <c r="H417" s="35" t="s">
        <v>3797</v>
      </c>
      <c r="I417" s="35" t="s">
        <v>41</v>
      </c>
      <c r="J417" s="35" t="s">
        <v>34</v>
      </c>
      <c r="K417" s="35" t="s">
        <v>35</v>
      </c>
      <c r="L417" s="35" t="s">
        <v>151</v>
      </c>
      <c r="M417" s="39">
        <v>1.0</v>
      </c>
      <c r="N417" s="40">
        <v>46197.0</v>
      </c>
      <c r="O417" s="42" t="b">
        <v>1</v>
      </c>
      <c r="P417" s="44">
        <v>46196.0</v>
      </c>
      <c r="Q417" s="34"/>
      <c r="R417" s="34"/>
      <c r="S417" s="34"/>
      <c r="T417" s="34"/>
    </row>
    <row r="418" ht="15.75" customHeight="1">
      <c r="B418" s="33">
        <v>46195.0</v>
      </c>
      <c r="C418" s="35">
        <v>11390.0</v>
      </c>
      <c r="D418" s="35">
        <v>200.0</v>
      </c>
      <c r="E418" s="37">
        <v>8.0</v>
      </c>
      <c r="F418" s="38">
        <f t="shared" si="1"/>
        <v>1600</v>
      </c>
      <c r="G418" s="35" t="s">
        <v>3802</v>
      </c>
      <c r="H418" s="35" t="s">
        <v>3804</v>
      </c>
      <c r="I418" s="35" t="s">
        <v>59</v>
      </c>
      <c r="J418" s="35" t="s">
        <v>34</v>
      </c>
      <c r="K418" s="35" t="s">
        <v>35</v>
      </c>
      <c r="L418" s="35" t="s">
        <v>87</v>
      </c>
      <c r="M418" s="39">
        <v>31.0</v>
      </c>
      <c r="N418" s="44">
        <v>46197.0</v>
      </c>
      <c r="O418" s="42" t="b">
        <v>1</v>
      </c>
      <c r="P418" s="44">
        <v>46195.0</v>
      </c>
      <c r="Q418" s="34"/>
      <c r="R418" s="34"/>
      <c r="S418" s="34"/>
      <c r="T418" s="34"/>
    </row>
    <row r="419" ht="15.75" customHeight="1">
      <c r="B419" s="33">
        <v>46195.0</v>
      </c>
      <c r="C419" s="35">
        <v>11390.0</v>
      </c>
      <c r="D419" s="35">
        <v>200.0</v>
      </c>
      <c r="E419" s="37">
        <v>9.3</v>
      </c>
      <c r="F419" s="38">
        <f t="shared" si="1"/>
        <v>1860</v>
      </c>
      <c r="G419" s="35" t="s">
        <v>3809</v>
      </c>
      <c r="H419" s="35" t="s">
        <v>3810</v>
      </c>
      <c r="I419" s="35" t="s">
        <v>59</v>
      </c>
      <c r="J419" s="35" t="s">
        <v>34</v>
      </c>
      <c r="K419" s="35" t="s">
        <v>35</v>
      </c>
      <c r="L419" s="35" t="s">
        <v>87</v>
      </c>
      <c r="M419" s="39">
        <v>31.0</v>
      </c>
      <c r="N419" s="44">
        <v>46197.0</v>
      </c>
      <c r="O419" s="42" t="b">
        <v>1</v>
      </c>
      <c r="P419" s="44">
        <v>46195.0</v>
      </c>
      <c r="Q419" s="34"/>
      <c r="R419" s="34"/>
      <c r="S419" s="70"/>
      <c r="T419" s="34"/>
    </row>
    <row r="420" ht="15.75" customHeight="1">
      <c r="B420" s="33">
        <v>46195.0</v>
      </c>
      <c r="C420" s="35">
        <v>11390.0</v>
      </c>
      <c r="D420" s="35">
        <v>800.0</v>
      </c>
      <c r="E420" s="37">
        <v>2.1</v>
      </c>
      <c r="F420" s="38">
        <f t="shared" si="1"/>
        <v>1680</v>
      </c>
      <c r="G420" s="35" t="s">
        <v>2353</v>
      </c>
      <c r="H420" s="35" t="s">
        <v>3816</v>
      </c>
      <c r="I420" s="35" t="s">
        <v>59</v>
      </c>
      <c r="J420" s="35" t="s">
        <v>34</v>
      </c>
      <c r="K420" s="35" t="s">
        <v>35</v>
      </c>
      <c r="L420" s="35" t="s">
        <v>87</v>
      </c>
      <c r="M420" s="39">
        <v>31.0</v>
      </c>
      <c r="N420" s="44">
        <v>46197.0</v>
      </c>
      <c r="O420" s="42" t="b">
        <v>1</v>
      </c>
      <c r="P420" s="44">
        <v>46195.0</v>
      </c>
      <c r="Q420" s="34"/>
      <c r="R420" s="34"/>
      <c r="S420" s="34"/>
      <c r="T420" s="34"/>
    </row>
    <row r="421" ht="15.75" customHeight="1">
      <c r="B421" s="33">
        <v>46195.0</v>
      </c>
      <c r="C421" s="35">
        <v>11390.0</v>
      </c>
      <c r="D421" s="35">
        <v>100.0</v>
      </c>
      <c r="E421" s="37">
        <v>18.7</v>
      </c>
      <c r="F421" s="38">
        <f t="shared" si="1"/>
        <v>1870</v>
      </c>
      <c r="G421" s="35" t="s">
        <v>3819</v>
      </c>
      <c r="H421" s="35" t="s">
        <v>3821</v>
      </c>
      <c r="I421" s="35" t="s">
        <v>59</v>
      </c>
      <c r="J421" s="35" t="s">
        <v>34</v>
      </c>
      <c r="K421" s="35" t="s">
        <v>35</v>
      </c>
      <c r="L421" s="35" t="s">
        <v>87</v>
      </c>
      <c r="M421" s="39">
        <v>31.0</v>
      </c>
      <c r="N421" s="44">
        <v>46197.0</v>
      </c>
      <c r="O421" s="42" t="b">
        <v>1</v>
      </c>
      <c r="P421" s="44">
        <v>46195.0</v>
      </c>
      <c r="Q421" s="34"/>
      <c r="R421" s="34"/>
      <c r="S421" s="34"/>
      <c r="T421" s="35"/>
    </row>
    <row r="422" ht="15.75" customHeight="1">
      <c r="B422" s="33">
        <v>46195.0</v>
      </c>
      <c r="C422" s="35">
        <v>11390.0</v>
      </c>
      <c r="D422" s="35">
        <v>2.0</v>
      </c>
      <c r="E422" s="37">
        <v>467.0</v>
      </c>
      <c r="F422" s="38">
        <f t="shared" si="1"/>
        <v>934</v>
      </c>
      <c r="G422" s="35" t="s">
        <v>3826</v>
      </c>
      <c r="H422" s="35" t="s">
        <v>3828</v>
      </c>
      <c r="I422" s="35" t="s">
        <v>59</v>
      </c>
      <c r="J422" s="35" t="s">
        <v>34</v>
      </c>
      <c r="K422" s="35" t="s">
        <v>35</v>
      </c>
      <c r="L422" s="35" t="s">
        <v>87</v>
      </c>
      <c r="M422" s="39">
        <v>31.0</v>
      </c>
      <c r="N422" s="44">
        <v>46197.0</v>
      </c>
      <c r="O422" s="42" t="b">
        <v>1</v>
      </c>
      <c r="P422" s="44">
        <v>46195.0</v>
      </c>
      <c r="Q422" s="34"/>
      <c r="R422" s="34"/>
      <c r="S422" s="34"/>
      <c r="T422" s="34"/>
    </row>
    <row r="423" ht="15.75" customHeight="1">
      <c r="B423" s="33">
        <v>46195.0</v>
      </c>
      <c r="C423" s="35">
        <v>11419.0</v>
      </c>
      <c r="D423" s="35">
        <v>30.0</v>
      </c>
      <c r="E423" s="37">
        <v>18.7</v>
      </c>
      <c r="F423" s="38">
        <f t="shared" si="1"/>
        <v>561</v>
      </c>
      <c r="G423" s="35" t="s">
        <v>3834</v>
      </c>
      <c r="H423" s="35" t="s">
        <v>3836</v>
      </c>
      <c r="I423" s="35" t="s">
        <v>59</v>
      </c>
      <c r="J423" s="35" t="s">
        <v>34</v>
      </c>
      <c r="K423" s="35" t="s">
        <v>35</v>
      </c>
      <c r="L423" s="35" t="s">
        <v>87</v>
      </c>
      <c r="M423" s="39">
        <v>31.0</v>
      </c>
      <c r="N423" s="44">
        <v>46195.0</v>
      </c>
      <c r="O423" s="42" t="b">
        <v>1</v>
      </c>
      <c r="P423" s="44">
        <v>46195.0</v>
      </c>
      <c r="Q423" s="34"/>
      <c r="R423" s="34"/>
      <c r="S423" s="34"/>
      <c r="T423" s="34"/>
    </row>
    <row r="424" ht="15.75" customHeight="1">
      <c r="B424" s="33">
        <v>46195.0</v>
      </c>
      <c r="C424" s="35">
        <v>11419.0</v>
      </c>
      <c r="D424" s="35">
        <v>50.0</v>
      </c>
      <c r="E424" s="37">
        <v>20.4</v>
      </c>
      <c r="F424" s="38">
        <f t="shared" si="1"/>
        <v>1020</v>
      </c>
      <c r="G424" s="35" t="s">
        <v>3838</v>
      </c>
      <c r="H424" s="35" t="s">
        <v>3842</v>
      </c>
      <c r="I424" s="35" t="s">
        <v>59</v>
      </c>
      <c r="J424" s="35" t="s">
        <v>34</v>
      </c>
      <c r="K424" s="35" t="s">
        <v>35</v>
      </c>
      <c r="L424" s="35" t="s">
        <v>87</v>
      </c>
      <c r="M424" s="39">
        <v>31.0</v>
      </c>
      <c r="N424" s="44">
        <v>46195.0</v>
      </c>
      <c r="O424" s="42" t="b">
        <v>1</v>
      </c>
      <c r="P424" s="44">
        <v>46195.0</v>
      </c>
      <c r="Q424" s="34"/>
      <c r="R424" s="34"/>
      <c r="S424" s="34"/>
      <c r="T424" s="34"/>
    </row>
    <row r="425" ht="15.0" customHeight="1">
      <c r="B425" s="33">
        <v>46195.0</v>
      </c>
      <c r="C425" s="35">
        <v>11419.0</v>
      </c>
      <c r="D425" s="35">
        <v>50.0</v>
      </c>
      <c r="E425" s="37">
        <v>15.3</v>
      </c>
      <c r="F425" s="38">
        <f t="shared" si="1"/>
        <v>765</v>
      </c>
      <c r="G425" s="35" t="s">
        <v>3846</v>
      </c>
      <c r="H425" s="35" t="s">
        <v>3848</v>
      </c>
      <c r="I425" s="35" t="s">
        <v>59</v>
      </c>
      <c r="J425" s="35" t="s">
        <v>34</v>
      </c>
      <c r="K425" s="35" t="s">
        <v>35</v>
      </c>
      <c r="L425" s="35" t="s">
        <v>87</v>
      </c>
      <c r="M425" s="39">
        <v>31.0</v>
      </c>
      <c r="N425" s="44">
        <v>46195.0</v>
      </c>
      <c r="O425" s="42" t="b">
        <v>1</v>
      </c>
      <c r="P425" s="44">
        <v>46195.0</v>
      </c>
      <c r="Q425" s="34"/>
      <c r="R425" s="34"/>
      <c r="S425" s="34"/>
      <c r="T425" s="34"/>
    </row>
    <row r="426" ht="15.75" customHeight="1">
      <c r="B426" s="33">
        <v>46195.0</v>
      </c>
      <c r="C426" s="35">
        <v>11419.0</v>
      </c>
      <c r="D426" s="35">
        <v>30.0</v>
      </c>
      <c r="E426" s="37">
        <v>63.7</v>
      </c>
      <c r="F426" s="38">
        <f t="shared" si="1"/>
        <v>1911</v>
      </c>
      <c r="G426" s="35" t="s">
        <v>3854</v>
      </c>
      <c r="H426" s="35" t="s">
        <v>3855</v>
      </c>
      <c r="I426" s="35" t="s">
        <v>59</v>
      </c>
      <c r="J426" s="35" t="s">
        <v>34</v>
      </c>
      <c r="K426" s="35" t="s">
        <v>35</v>
      </c>
      <c r="L426" s="35" t="s">
        <v>87</v>
      </c>
      <c r="M426" s="39">
        <v>31.0</v>
      </c>
      <c r="N426" s="44">
        <v>46195.0</v>
      </c>
      <c r="O426" s="42" t="b">
        <v>1</v>
      </c>
      <c r="P426" s="44">
        <v>46195.0</v>
      </c>
      <c r="Q426" s="34"/>
      <c r="R426" s="34"/>
      <c r="S426" s="34"/>
      <c r="T426" s="34"/>
    </row>
    <row r="427" ht="15.75" customHeight="1">
      <c r="B427" s="44">
        <v>46195.0</v>
      </c>
      <c r="C427" s="35">
        <v>11420.0</v>
      </c>
      <c r="D427" s="35">
        <v>50.0</v>
      </c>
      <c r="E427" s="37">
        <v>13.6</v>
      </c>
      <c r="F427" s="38">
        <f t="shared" si="1"/>
        <v>680</v>
      </c>
      <c r="G427" s="35" t="s">
        <v>3860</v>
      </c>
      <c r="H427" s="35" t="s">
        <v>3861</v>
      </c>
      <c r="I427" s="35" t="s">
        <v>59</v>
      </c>
      <c r="J427" s="35" t="s">
        <v>34</v>
      </c>
      <c r="K427" s="35" t="s">
        <v>35</v>
      </c>
      <c r="L427" s="35" t="s">
        <v>87</v>
      </c>
      <c r="M427" s="39">
        <v>31.0</v>
      </c>
      <c r="N427" s="51" t="str">
        <f t="shared" ref="N427:N428" si="3">IF(B427&lt;TODAY()-2,"ATRASADO","EM DIA")</f>
        <v>ATRASADO</v>
      </c>
      <c r="O427" s="42" t="b">
        <v>0</v>
      </c>
      <c r="P427" s="44"/>
      <c r="Q427" s="34"/>
      <c r="R427" s="34"/>
      <c r="S427" s="34"/>
      <c r="T427" s="34"/>
    </row>
    <row r="428" ht="15.75" customHeight="1">
      <c r="B428" s="44">
        <v>46195.0</v>
      </c>
      <c r="C428" s="35">
        <v>11420.0</v>
      </c>
      <c r="D428" s="35">
        <v>10.0</v>
      </c>
      <c r="E428" s="37">
        <v>51.0</v>
      </c>
      <c r="F428" s="38">
        <f t="shared" si="1"/>
        <v>510</v>
      </c>
      <c r="G428" s="35" t="s">
        <v>1805</v>
      </c>
      <c r="H428" s="35" t="s">
        <v>3872</v>
      </c>
      <c r="I428" s="35" t="s">
        <v>59</v>
      </c>
      <c r="J428" s="35" t="s">
        <v>34</v>
      </c>
      <c r="K428" s="35" t="s">
        <v>35</v>
      </c>
      <c r="L428" s="35" t="s">
        <v>87</v>
      </c>
      <c r="M428" s="39">
        <v>31.0</v>
      </c>
      <c r="N428" s="51" t="str">
        <f t="shared" si="3"/>
        <v>ATRASADO</v>
      </c>
      <c r="O428" s="42" t="b">
        <v>0</v>
      </c>
      <c r="P428" s="44"/>
      <c r="Q428" s="34"/>
      <c r="R428" s="34"/>
      <c r="S428" s="34"/>
      <c r="T428" s="34"/>
    </row>
    <row r="429" ht="15.75" customHeight="1">
      <c r="B429" s="44">
        <v>46195.0</v>
      </c>
      <c r="C429" s="35">
        <v>11421.0</v>
      </c>
      <c r="D429" s="35">
        <v>50.0</v>
      </c>
      <c r="E429" s="37">
        <v>15.3</v>
      </c>
      <c r="F429" s="38">
        <f t="shared" si="1"/>
        <v>765</v>
      </c>
      <c r="G429" s="35" t="s">
        <v>3874</v>
      </c>
      <c r="H429" s="35" t="s">
        <v>3875</v>
      </c>
      <c r="I429" s="35" t="s">
        <v>59</v>
      </c>
      <c r="J429" s="35" t="s">
        <v>34</v>
      </c>
      <c r="K429" s="35" t="s">
        <v>35</v>
      </c>
      <c r="L429" s="35" t="s">
        <v>87</v>
      </c>
      <c r="M429" s="39">
        <v>31.0</v>
      </c>
      <c r="N429" s="40">
        <v>46195.0</v>
      </c>
      <c r="O429" s="42" t="b">
        <v>1</v>
      </c>
      <c r="P429" s="44">
        <v>46195.0</v>
      </c>
      <c r="Q429" s="34"/>
      <c r="R429" s="34"/>
      <c r="S429" s="34"/>
      <c r="T429" s="34"/>
    </row>
    <row r="430" ht="15.75" customHeight="1">
      <c r="B430" s="44">
        <v>46195.0</v>
      </c>
      <c r="C430" s="35" t="s">
        <v>35</v>
      </c>
      <c r="D430" s="35">
        <v>3.0</v>
      </c>
      <c r="E430" s="37">
        <v>1000.0</v>
      </c>
      <c r="F430" s="38">
        <f t="shared" si="1"/>
        <v>3000</v>
      </c>
      <c r="G430" s="35" t="s">
        <v>3877</v>
      </c>
      <c r="H430" s="35">
        <v>265105.0</v>
      </c>
      <c r="I430" s="35" t="s">
        <v>673</v>
      </c>
      <c r="J430" s="35" t="s">
        <v>175</v>
      </c>
      <c r="K430" s="35" t="s">
        <v>35</v>
      </c>
      <c r="L430" s="35" t="s">
        <v>3880</v>
      </c>
      <c r="M430" s="39">
        <v>1.0</v>
      </c>
      <c r="N430" s="40">
        <v>46199.0</v>
      </c>
      <c r="O430" s="42" t="b">
        <v>1</v>
      </c>
      <c r="P430" s="44">
        <v>46203.0</v>
      </c>
      <c r="Q430" s="34"/>
      <c r="R430" s="35" t="s">
        <v>3881</v>
      </c>
      <c r="S430" s="71"/>
      <c r="T430" s="34"/>
    </row>
    <row r="431" ht="15.75" customHeight="1">
      <c r="B431" s="44">
        <v>46195.0</v>
      </c>
      <c r="C431" s="46" t="s">
        <v>3882</v>
      </c>
      <c r="D431" s="35">
        <v>60.0</v>
      </c>
      <c r="E431" s="37">
        <v>34.2</v>
      </c>
      <c r="F431" s="38">
        <f t="shared" si="1"/>
        <v>2052</v>
      </c>
      <c r="G431" s="35" t="s">
        <v>3883</v>
      </c>
      <c r="H431" s="35" t="s">
        <v>3884</v>
      </c>
      <c r="I431" s="35" t="s">
        <v>32</v>
      </c>
      <c r="J431" s="35" t="s">
        <v>34</v>
      </c>
      <c r="K431" s="35" t="s">
        <v>35</v>
      </c>
      <c r="L431" s="35" t="s">
        <v>46</v>
      </c>
      <c r="M431" s="39">
        <v>1.0</v>
      </c>
      <c r="N431" s="40">
        <v>46196.0</v>
      </c>
      <c r="O431" s="42" t="b">
        <v>1</v>
      </c>
      <c r="P431" s="44">
        <v>46197.0</v>
      </c>
      <c r="Q431" s="34"/>
      <c r="R431" s="34"/>
      <c r="S431" s="34"/>
      <c r="T431" s="34"/>
    </row>
    <row r="432" ht="15.75" customHeight="1">
      <c r="B432" s="44">
        <v>46195.0</v>
      </c>
      <c r="C432" s="35">
        <v>20764.0</v>
      </c>
      <c r="D432" s="35">
        <v>600.0</v>
      </c>
      <c r="E432" s="37">
        <v>6.789</v>
      </c>
      <c r="F432" s="38">
        <f t="shared" si="1"/>
        <v>4073.4</v>
      </c>
      <c r="G432" s="35" t="s">
        <v>2436</v>
      </c>
      <c r="H432" s="35" t="s">
        <v>269</v>
      </c>
      <c r="I432" s="35" t="s">
        <v>32</v>
      </c>
      <c r="J432" s="35" t="s">
        <v>34</v>
      </c>
      <c r="K432" s="35" t="s">
        <v>35</v>
      </c>
      <c r="L432" s="35" t="s">
        <v>719</v>
      </c>
      <c r="M432" s="39">
        <v>31.0</v>
      </c>
      <c r="N432" s="40">
        <v>46199.0</v>
      </c>
      <c r="O432" s="42" t="b">
        <v>1</v>
      </c>
      <c r="P432" s="44">
        <v>46199.0</v>
      </c>
      <c r="Q432" s="34"/>
      <c r="R432" s="34"/>
      <c r="S432" s="34"/>
      <c r="T432" s="34"/>
    </row>
    <row r="433" ht="15.75" customHeight="1">
      <c r="B433" s="44">
        <v>46195.0</v>
      </c>
      <c r="C433" s="35">
        <v>20764.0</v>
      </c>
      <c r="D433" s="35">
        <v>22.0</v>
      </c>
      <c r="E433" s="37">
        <v>93.0</v>
      </c>
      <c r="F433" s="38">
        <f t="shared" si="1"/>
        <v>2046</v>
      </c>
      <c r="G433" s="35" t="s">
        <v>3889</v>
      </c>
      <c r="H433" s="35" t="s">
        <v>3890</v>
      </c>
      <c r="I433" s="35" t="s">
        <v>32</v>
      </c>
      <c r="J433" s="35" t="s">
        <v>34</v>
      </c>
      <c r="K433" s="35" t="s">
        <v>35</v>
      </c>
      <c r="L433" s="35" t="s">
        <v>719</v>
      </c>
      <c r="M433" s="39">
        <v>31.0</v>
      </c>
      <c r="N433" s="40">
        <v>46199.0</v>
      </c>
      <c r="O433" s="42" t="b">
        <v>1</v>
      </c>
      <c r="P433" s="44">
        <v>46199.0</v>
      </c>
      <c r="Q433" s="34"/>
      <c r="R433" s="34"/>
      <c r="S433" s="34"/>
      <c r="T433" s="34"/>
    </row>
    <row r="434" ht="15.75" customHeight="1">
      <c r="B434" s="44">
        <v>46195.0</v>
      </c>
      <c r="C434" s="46" t="s">
        <v>3891</v>
      </c>
      <c r="D434" s="35">
        <v>99.0</v>
      </c>
      <c r="E434" s="37">
        <v>12.834</v>
      </c>
      <c r="F434" s="38">
        <f t="shared" si="1"/>
        <v>1270.566</v>
      </c>
      <c r="G434" s="35" t="s">
        <v>1195</v>
      </c>
      <c r="H434" s="35" t="s">
        <v>1197</v>
      </c>
      <c r="I434" s="35" t="s">
        <v>240</v>
      </c>
      <c r="J434" s="35" t="s">
        <v>34</v>
      </c>
      <c r="K434" s="35" t="s">
        <v>35</v>
      </c>
      <c r="L434" s="35" t="s">
        <v>1189</v>
      </c>
      <c r="M434" s="39">
        <v>1.0</v>
      </c>
      <c r="N434" s="40">
        <v>46196.0</v>
      </c>
      <c r="O434" s="42" t="b">
        <v>1</v>
      </c>
      <c r="P434" s="44">
        <v>46197.0</v>
      </c>
      <c r="Q434" s="34"/>
      <c r="R434" s="34"/>
      <c r="S434" s="34"/>
      <c r="T434" s="34"/>
    </row>
    <row r="435" ht="15.75" customHeight="1">
      <c r="B435" s="44">
        <v>46195.0</v>
      </c>
      <c r="C435" s="35">
        <v>91527.0</v>
      </c>
      <c r="D435" s="35">
        <v>200.0</v>
      </c>
      <c r="E435" s="37">
        <v>5.4</v>
      </c>
      <c r="F435" s="38">
        <f t="shared" si="1"/>
        <v>1080</v>
      </c>
      <c r="G435" s="35" t="s">
        <v>3894</v>
      </c>
      <c r="H435" s="35" t="s">
        <v>2579</v>
      </c>
      <c r="I435" s="35" t="s">
        <v>59</v>
      </c>
      <c r="J435" s="35" t="s">
        <v>34</v>
      </c>
      <c r="K435" s="35" t="s">
        <v>35</v>
      </c>
      <c r="L435" s="35" t="s">
        <v>1250</v>
      </c>
      <c r="M435" s="39">
        <v>31.0</v>
      </c>
      <c r="N435" s="40">
        <v>46196.0</v>
      </c>
      <c r="O435" s="42" t="b">
        <v>0</v>
      </c>
      <c r="P435" s="44"/>
      <c r="Q435" s="34"/>
      <c r="R435" s="33">
        <v>46196.0</v>
      </c>
      <c r="S435" s="34"/>
      <c r="T435" s="34"/>
    </row>
    <row r="436" ht="15.75" customHeight="1">
      <c r="B436" s="33">
        <v>46195.0</v>
      </c>
      <c r="C436" s="35">
        <v>91528.0</v>
      </c>
      <c r="D436" s="35">
        <v>1000.0</v>
      </c>
      <c r="E436" s="37">
        <v>5.4</v>
      </c>
      <c r="F436" s="38">
        <f t="shared" si="1"/>
        <v>5400</v>
      </c>
      <c r="G436" s="35" t="s">
        <v>3894</v>
      </c>
      <c r="H436" s="35" t="s">
        <v>2579</v>
      </c>
      <c r="I436" s="35" t="s">
        <v>59</v>
      </c>
      <c r="J436" s="35" t="s">
        <v>34</v>
      </c>
      <c r="K436" s="35" t="s">
        <v>35</v>
      </c>
      <c r="L436" s="35" t="s">
        <v>1250</v>
      </c>
      <c r="M436" s="39">
        <v>31.0</v>
      </c>
      <c r="N436" s="40">
        <v>46196.0</v>
      </c>
      <c r="O436" s="42" t="b">
        <v>0</v>
      </c>
      <c r="P436" s="45"/>
      <c r="Q436" s="34"/>
      <c r="R436" s="33">
        <v>46196.0</v>
      </c>
      <c r="S436" s="34"/>
      <c r="T436" s="34"/>
    </row>
    <row r="437" ht="15.75" customHeight="1">
      <c r="B437" s="33">
        <v>46195.0</v>
      </c>
      <c r="C437" s="35">
        <v>20804.0</v>
      </c>
      <c r="D437" s="35">
        <v>4.0</v>
      </c>
      <c r="E437" s="37">
        <v>339.9</v>
      </c>
      <c r="F437" s="38">
        <f t="shared" si="1"/>
        <v>1359.6</v>
      </c>
      <c r="G437" s="35" t="s">
        <v>393</v>
      </c>
      <c r="H437" s="35" t="s">
        <v>396</v>
      </c>
      <c r="I437" s="35" t="s">
        <v>240</v>
      </c>
      <c r="J437" s="35" t="s">
        <v>1036</v>
      </c>
      <c r="K437" s="35" t="s">
        <v>1037</v>
      </c>
      <c r="L437" s="35" t="s">
        <v>96</v>
      </c>
      <c r="M437" s="39">
        <v>31.0</v>
      </c>
      <c r="N437" s="40">
        <v>46197.0</v>
      </c>
      <c r="O437" s="42" t="b">
        <v>1</v>
      </c>
      <c r="P437" s="44">
        <v>46198.0</v>
      </c>
      <c r="Q437" s="34"/>
      <c r="R437" s="34"/>
      <c r="S437" s="34"/>
      <c r="T437" s="34"/>
    </row>
    <row r="438" ht="15.75" customHeight="1">
      <c r="B438" s="33">
        <v>46195.0</v>
      </c>
      <c r="C438" s="35">
        <v>20804.0</v>
      </c>
      <c r="D438" s="35">
        <v>1.0</v>
      </c>
      <c r="E438" s="37">
        <v>339.9</v>
      </c>
      <c r="F438" s="38">
        <f t="shared" si="1"/>
        <v>339.9</v>
      </c>
      <c r="G438" s="35" t="s">
        <v>393</v>
      </c>
      <c r="H438" s="35" t="s">
        <v>396</v>
      </c>
      <c r="I438" s="35" t="s">
        <v>240</v>
      </c>
      <c r="J438" s="35" t="s">
        <v>40</v>
      </c>
      <c r="K438" s="35" t="s">
        <v>35</v>
      </c>
      <c r="L438" s="35" t="s">
        <v>96</v>
      </c>
      <c r="M438" s="39">
        <v>31.0</v>
      </c>
      <c r="N438" s="40">
        <v>46197.0</v>
      </c>
      <c r="O438" s="42" t="b">
        <v>1</v>
      </c>
      <c r="P438" s="44">
        <v>46198.0</v>
      </c>
      <c r="Q438" s="34"/>
      <c r="R438" s="34"/>
      <c r="S438" s="34"/>
      <c r="T438" s="34"/>
    </row>
    <row r="439" ht="15.75" customHeight="1">
      <c r="B439" s="33">
        <v>46195.0</v>
      </c>
      <c r="C439" s="35" t="s">
        <v>35</v>
      </c>
      <c r="D439" s="35">
        <v>40.0</v>
      </c>
      <c r="E439" s="37">
        <v>450.0</v>
      </c>
      <c r="F439" s="38">
        <f t="shared" si="1"/>
        <v>18000</v>
      </c>
      <c r="G439" s="35" t="s">
        <v>3903</v>
      </c>
      <c r="H439" s="35" t="s">
        <v>312</v>
      </c>
      <c r="I439" s="35" t="s">
        <v>59</v>
      </c>
      <c r="J439" s="35" t="s">
        <v>34</v>
      </c>
      <c r="K439" s="35" t="s">
        <v>35</v>
      </c>
      <c r="L439" s="35" t="s">
        <v>314</v>
      </c>
      <c r="M439" s="39">
        <v>31.0</v>
      </c>
      <c r="N439" s="40">
        <v>46197.0</v>
      </c>
      <c r="O439" s="42" t="b">
        <v>0</v>
      </c>
      <c r="P439" s="44"/>
      <c r="Q439" s="34"/>
      <c r="R439" s="33">
        <v>46196.0</v>
      </c>
      <c r="S439" s="34"/>
      <c r="T439" s="34"/>
    </row>
    <row r="440" ht="15.75" customHeight="1">
      <c r="B440" s="33">
        <v>46195.0</v>
      </c>
      <c r="C440" s="35" t="s">
        <v>35</v>
      </c>
      <c r="D440" s="35">
        <v>3.0</v>
      </c>
      <c r="E440" s="37">
        <v>2880.0</v>
      </c>
      <c r="F440" s="38">
        <f t="shared" si="1"/>
        <v>8640</v>
      </c>
      <c r="G440" s="35" t="s">
        <v>3909</v>
      </c>
      <c r="H440" s="35" t="s">
        <v>35</v>
      </c>
      <c r="I440" s="35" t="s">
        <v>174</v>
      </c>
      <c r="J440" s="35" t="s">
        <v>175</v>
      </c>
      <c r="K440" s="35" t="s">
        <v>35</v>
      </c>
      <c r="L440" s="35" t="s">
        <v>2794</v>
      </c>
      <c r="M440" s="39">
        <v>31.0</v>
      </c>
      <c r="N440" s="40">
        <v>46195.0</v>
      </c>
      <c r="O440" s="42" t="b">
        <v>0</v>
      </c>
      <c r="P440" s="44"/>
      <c r="Q440" s="34"/>
      <c r="R440" s="33">
        <v>46196.0</v>
      </c>
      <c r="S440" s="34"/>
      <c r="T440" s="34"/>
    </row>
    <row r="441" ht="15.75" customHeight="1">
      <c r="B441" s="33">
        <v>46195.0</v>
      </c>
      <c r="C441" s="35">
        <v>34635.0</v>
      </c>
      <c r="D441" s="35">
        <v>3.0</v>
      </c>
      <c r="E441" s="37">
        <v>4262.53</v>
      </c>
      <c r="F441" s="38">
        <f t="shared" si="1"/>
        <v>12787.59</v>
      </c>
      <c r="G441" s="35" t="s">
        <v>3913</v>
      </c>
      <c r="H441" s="35" t="s">
        <v>35</v>
      </c>
      <c r="I441" s="35" t="s">
        <v>41</v>
      </c>
      <c r="J441" s="35" t="s">
        <v>34</v>
      </c>
      <c r="K441" s="35" t="s">
        <v>35</v>
      </c>
      <c r="L441" s="35" t="s">
        <v>3915</v>
      </c>
      <c r="M441" s="39">
        <v>1.0</v>
      </c>
      <c r="N441" s="51" t="str">
        <f>IF(B441&lt;TODAY()-2,"ATRASADO","EM DIA")</f>
        <v>ATRASADO</v>
      </c>
      <c r="O441" s="42" t="b">
        <v>0</v>
      </c>
      <c r="P441" s="45"/>
      <c r="Q441" s="34"/>
      <c r="R441" s="33">
        <v>46195.0</v>
      </c>
      <c r="S441" s="34"/>
      <c r="T441" s="34"/>
    </row>
    <row r="442" ht="15.75" customHeight="1">
      <c r="B442" s="33">
        <v>46195.0</v>
      </c>
      <c r="C442" s="58">
        <v>793941.0</v>
      </c>
      <c r="D442" s="35">
        <v>654.0</v>
      </c>
      <c r="E442" s="37">
        <v>249.9997</v>
      </c>
      <c r="F442" s="38">
        <f t="shared" si="1"/>
        <v>163499.8038</v>
      </c>
      <c r="G442" s="35" t="s">
        <v>3921</v>
      </c>
      <c r="H442" s="35" t="s">
        <v>35</v>
      </c>
      <c r="I442" s="35" t="s">
        <v>39</v>
      </c>
      <c r="J442" s="35" t="s">
        <v>40</v>
      </c>
      <c r="K442" s="35" t="s">
        <v>35</v>
      </c>
      <c r="L442" s="35" t="s">
        <v>68</v>
      </c>
      <c r="M442" s="39">
        <v>31.0</v>
      </c>
      <c r="N442" s="44">
        <v>46202.0</v>
      </c>
      <c r="O442" s="42" t="b">
        <v>1</v>
      </c>
      <c r="P442" s="44">
        <v>46205.0</v>
      </c>
      <c r="Q442" s="34"/>
      <c r="R442" s="34"/>
      <c r="S442" s="34"/>
      <c r="T442" s="34"/>
    </row>
    <row r="443" ht="15.75" customHeight="1">
      <c r="B443" s="33">
        <v>46195.0</v>
      </c>
      <c r="C443" s="58">
        <v>793941.0</v>
      </c>
      <c r="D443" s="35">
        <v>500.0</v>
      </c>
      <c r="E443" s="37">
        <v>650.826</v>
      </c>
      <c r="F443" s="38">
        <f t="shared" si="1"/>
        <v>325413</v>
      </c>
      <c r="G443" s="35" t="s">
        <v>3926</v>
      </c>
      <c r="H443" s="35" t="s">
        <v>35</v>
      </c>
      <c r="I443" s="35" t="s">
        <v>39</v>
      </c>
      <c r="J443" s="35" t="s">
        <v>40</v>
      </c>
      <c r="K443" s="35" t="s">
        <v>35</v>
      </c>
      <c r="L443" s="35" t="s">
        <v>68</v>
      </c>
      <c r="M443" s="39">
        <v>31.0</v>
      </c>
      <c r="N443" s="44">
        <v>46202.0</v>
      </c>
      <c r="O443" s="42" t="b">
        <v>1</v>
      </c>
      <c r="P443" s="44">
        <v>46205.0</v>
      </c>
      <c r="Q443" s="34"/>
      <c r="R443" s="34"/>
      <c r="S443" s="34"/>
      <c r="T443" s="34"/>
    </row>
    <row r="444" ht="15.75" customHeight="1">
      <c r="B444" s="33">
        <v>46196.0</v>
      </c>
      <c r="C444" s="35">
        <v>20873.0</v>
      </c>
      <c r="D444" s="35">
        <v>10.0</v>
      </c>
      <c r="E444" s="37">
        <v>79.99</v>
      </c>
      <c r="F444" s="38">
        <f t="shared" si="1"/>
        <v>799.9</v>
      </c>
      <c r="G444" s="35" t="s">
        <v>3930</v>
      </c>
      <c r="H444" s="35" t="s">
        <v>3931</v>
      </c>
      <c r="I444" s="35" t="s">
        <v>174</v>
      </c>
      <c r="J444" s="35" t="s">
        <v>175</v>
      </c>
      <c r="K444" s="35" t="s">
        <v>35</v>
      </c>
      <c r="L444" s="35" t="s">
        <v>96</v>
      </c>
      <c r="M444" s="39">
        <v>1.0</v>
      </c>
      <c r="N444" s="44">
        <v>46198.0</v>
      </c>
      <c r="O444" s="42" t="b">
        <v>1</v>
      </c>
      <c r="P444" s="44">
        <v>46198.0</v>
      </c>
      <c r="Q444" s="34"/>
      <c r="R444" s="34"/>
      <c r="S444" s="34"/>
      <c r="T444" s="34"/>
    </row>
    <row r="445" ht="15.75" customHeight="1">
      <c r="B445" s="33">
        <v>46196.0</v>
      </c>
      <c r="C445" s="46" t="s">
        <v>3935</v>
      </c>
      <c r="D445" s="35">
        <v>60.0</v>
      </c>
      <c r="E445" s="37">
        <v>85.5</v>
      </c>
      <c r="F445" s="38">
        <f t="shared" si="1"/>
        <v>5130</v>
      </c>
      <c r="G445" s="35" t="s">
        <v>163</v>
      </c>
      <c r="H445" s="35" t="s">
        <v>164</v>
      </c>
      <c r="I445" s="35" t="s">
        <v>673</v>
      </c>
      <c r="J445" s="35" t="s">
        <v>175</v>
      </c>
      <c r="K445" s="35" t="s">
        <v>35</v>
      </c>
      <c r="L445" s="35" t="s">
        <v>46</v>
      </c>
      <c r="M445" s="39">
        <v>1.0</v>
      </c>
      <c r="N445" s="40">
        <v>46197.0</v>
      </c>
      <c r="O445" s="42" t="b">
        <v>1</v>
      </c>
      <c r="P445" s="44">
        <v>46197.0</v>
      </c>
      <c r="Q445" s="34"/>
      <c r="R445" s="34"/>
      <c r="S445" s="34"/>
      <c r="T445" s="34"/>
    </row>
    <row r="446" ht="15.75" customHeight="1">
      <c r="B446" s="33">
        <v>46196.0</v>
      </c>
      <c r="C446" s="46" t="s">
        <v>3947</v>
      </c>
      <c r="D446" s="35">
        <v>50.0</v>
      </c>
      <c r="E446" s="37">
        <v>261.0</v>
      </c>
      <c r="F446" s="38">
        <f t="shared" si="1"/>
        <v>13050</v>
      </c>
      <c r="G446" s="35" t="s">
        <v>3335</v>
      </c>
      <c r="H446" s="35" t="s">
        <v>3336</v>
      </c>
      <c r="I446" s="35" t="s">
        <v>673</v>
      </c>
      <c r="J446" s="35" t="s">
        <v>175</v>
      </c>
      <c r="K446" s="35" t="s">
        <v>35</v>
      </c>
      <c r="L446" s="35" t="s">
        <v>46</v>
      </c>
      <c r="M446" s="39">
        <v>1.0</v>
      </c>
      <c r="N446" s="40">
        <v>46197.0</v>
      </c>
      <c r="O446" s="42" t="b">
        <v>1</v>
      </c>
      <c r="P446" s="44">
        <v>46197.0</v>
      </c>
      <c r="Q446" s="34"/>
      <c r="R446" s="34"/>
      <c r="S446" s="34"/>
      <c r="T446" s="34"/>
    </row>
    <row r="447" ht="15.75" customHeight="1">
      <c r="B447" s="33">
        <v>46196.0</v>
      </c>
      <c r="C447" s="35" t="s">
        <v>35</v>
      </c>
      <c r="D447" s="35">
        <v>30.0</v>
      </c>
      <c r="E447" s="37">
        <v>100.0</v>
      </c>
      <c r="F447" s="38">
        <f t="shared" si="1"/>
        <v>3000</v>
      </c>
      <c r="G447" s="35" t="s">
        <v>3430</v>
      </c>
      <c r="H447" s="35" t="s">
        <v>35</v>
      </c>
      <c r="I447" s="35" t="s">
        <v>59</v>
      </c>
      <c r="J447" s="35" t="s">
        <v>34</v>
      </c>
      <c r="K447" s="35" t="s">
        <v>35</v>
      </c>
      <c r="L447" s="35" t="s">
        <v>3431</v>
      </c>
      <c r="M447" s="39">
        <v>31.0</v>
      </c>
      <c r="N447" s="40">
        <v>46195.0</v>
      </c>
      <c r="O447" s="42" t="b">
        <v>1</v>
      </c>
      <c r="P447" s="121">
        <v>46203.0</v>
      </c>
      <c r="Q447" s="34"/>
      <c r="R447" s="33">
        <v>46196.0</v>
      </c>
      <c r="S447" s="34"/>
      <c r="T447" s="34"/>
    </row>
    <row r="448" ht="15.75" customHeight="1">
      <c r="B448" s="33">
        <v>46196.0</v>
      </c>
      <c r="C448" s="35">
        <v>11692.0</v>
      </c>
      <c r="D448" s="35">
        <v>20.0</v>
      </c>
      <c r="E448" s="37">
        <v>383.0</v>
      </c>
      <c r="F448" s="38">
        <f t="shared" si="1"/>
        <v>7660</v>
      </c>
      <c r="G448" s="35" t="s">
        <v>3964</v>
      </c>
      <c r="H448" s="35" t="s">
        <v>3966</v>
      </c>
      <c r="I448" s="35" t="s">
        <v>673</v>
      </c>
      <c r="J448" s="35" t="s">
        <v>175</v>
      </c>
      <c r="K448" s="35" t="s">
        <v>35</v>
      </c>
      <c r="L448" s="35" t="s">
        <v>87</v>
      </c>
      <c r="M448" s="39">
        <v>31.0</v>
      </c>
      <c r="N448" s="40">
        <v>46198.0</v>
      </c>
      <c r="O448" s="42" t="b">
        <v>1</v>
      </c>
      <c r="P448" s="44">
        <v>46203.0</v>
      </c>
      <c r="Q448" s="34"/>
      <c r="R448" s="34"/>
      <c r="S448" s="34"/>
      <c r="T448" s="34"/>
    </row>
    <row r="449" ht="15.75" customHeight="1">
      <c r="B449" s="33">
        <v>46196.0</v>
      </c>
      <c r="C449" s="35" t="s">
        <v>35</v>
      </c>
      <c r="D449" s="35">
        <v>60.0</v>
      </c>
      <c r="E449" s="37">
        <v>470.0</v>
      </c>
      <c r="F449" s="38">
        <f t="shared" si="1"/>
        <v>28200</v>
      </c>
      <c r="G449" s="35" t="s">
        <v>758</v>
      </c>
      <c r="H449" s="35" t="s">
        <v>312</v>
      </c>
      <c r="I449" s="35" t="s">
        <v>59</v>
      </c>
      <c r="J449" s="35" t="s">
        <v>34</v>
      </c>
      <c r="K449" s="35" t="s">
        <v>35</v>
      </c>
      <c r="L449" s="35" t="s">
        <v>67</v>
      </c>
      <c r="M449" s="39">
        <v>31.0</v>
      </c>
      <c r="N449" s="44">
        <v>46197.0</v>
      </c>
      <c r="O449" s="42" t="b">
        <v>1</v>
      </c>
      <c r="P449" s="44">
        <v>46197.0</v>
      </c>
      <c r="Q449" s="34"/>
      <c r="R449" s="35" t="s">
        <v>3316</v>
      </c>
      <c r="S449" s="34"/>
      <c r="T449" s="34"/>
    </row>
    <row r="450" ht="15.75" customHeight="1">
      <c r="B450" s="33">
        <v>46196.0</v>
      </c>
      <c r="C450" s="35">
        <v>11711.0</v>
      </c>
      <c r="D450" s="35">
        <v>20.0</v>
      </c>
      <c r="E450" s="37">
        <v>204.0</v>
      </c>
      <c r="F450" s="38">
        <f t="shared" si="1"/>
        <v>4080</v>
      </c>
      <c r="G450" s="35" t="s">
        <v>3977</v>
      </c>
      <c r="H450" s="35" t="s">
        <v>304</v>
      </c>
      <c r="I450" s="35" t="s">
        <v>673</v>
      </c>
      <c r="J450" s="35" t="s">
        <v>175</v>
      </c>
      <c r="K450" s="35" t="s">
        <v>35</v>
      </c>
      <c r="L450" s="35" t="s">
        <v>87</v>
      </c>
      <c r="M450" s="39">
        <v>31.0</v>
      </c>
      <c r="N450" s="44">
        <v>46197.0</v>
      </c>
      <c r="O450" s="42" t="b">
        <v>1</v>
      </c>
      <c r="P450" s="44">
        <v>46199.0</v>
      </c>
      <c r="Q450" s="34"/>
      <c r="R450" s="34"/>
      <c r="S450" s="34"/>
      <c r="T450" s="34"/>
    </row>
    <row r="451" ht="15.75" customHeight="1">
      <c r="B451" s="33">
        <v>46196.0</v>
      </c>
      <c r="C451" s="46" t="s">
        <v>3982</v>
      </c>
      <c r="D451" s="35">
        <v>15.0</v>
      </c>
      <c r="E451" s="37">
        <v>1215.0</v>
      </c>
      <c r="F451" s="38">
        <f t="shared" si="1"/>
        <v>18225</v>
      </c>
      <c r="G451" s="35" t="s">
        <v>3984</v>
      </c>
      <c r="H451" s="35" t="s">
        <v>3056</v>
      </c>
      <c r="I451" s="35" t="s">
        <v>673</v>
      </c>
      <c r="J451" s="35" t="s">
        <v>175</v>
      </c>
      <c r="K451" s="35" t="s">
        <v>35</v>
      </c>
      <c r="L451" s="35" t="s">
        <v>46</v>
      </c>
      <c r="M451" s="39">
        <v>1.0</v>
      </c>
      <c r="N451" s="40">
        <v>46199.0</v>
      </c>
      <c r="O451" s="42" t="b">
        <v>1</v>
      </c>
      <c r="P451" s="44">
        <v>46199.0</v>
      </c>
      <c r="Q451" s="34"/>
      <c r="R451" s="34"/>
      <c r="S451" s="34"/>
      <c r="T451" s="34"/>
    </row>
    <row r="452" ht="15.75" customHeight="1">
      <c r="B452" s="33">
        <v>46196.0</v>
      </c>
      <c r="C452" s="35" t="s">
        <v>35</v>
      </c>
      <c r="D452" s="35">
        <v>6.0</v>
      </c>
      <c r="E452" s="37">
        <v>809.0</v>
      </c>
      <c r="F452" s="38">
        <f t="shared" si="1"/>
        <v>4854</v>
      </c>
      <c r="G452" s="35" t="s">
        <v>1755</v>
      </c>
      <c r="H452" s="35" t="s">
        <v>35</v>
      </c>
      <c r="I452" s="35" t="s">
        <v>673</v>
      </c>
      <c r="J452" s="35" t="s">
        <v>175</v>
      </c>
      <c r="K452" s="35" t="s">
        <v>35</v>
      </c>
      <c r="L452" s="35" t="s">
        <v>1676</v>
      </c>
      <c r="M452" s="39">
        <v>31.0</v>
      </c>
      <c r="N452" s="40">
        <v>46198.0</v>
      </c>
      <c r="O452" s="42" t="b">
        <v>1</v>
      </c>
      <c r="P452" s="44">
        <v>46198.0</v>
      </c>
      <c r="Q452" s="34"/>
      <c r="R452" s="35"/>
      <c r="S452" s="34"/>
      <c r="T452" s="34"/>
    </row>
    <row r="453" ht="15.75" customHeight="1">
      <c r="B453" s="33">
        <v>46196.0</v>
      </c>
      <c r="C453" s="35">
        <v>11735.0</v>
      </c>
      <c r="D453" s="35">
        <v>60.0</v>
      </c>
      <c r="E453" s="37">
        <v>106.0</v>
      </c>
      <c r="F453" s="38">
        <f t="shared" si="1"/>
        <v>6360</v>
      </c>
      <c r="G453" s="35" t="s">
        <v>3340</v>
      </c>
      <c r="H453" s="35" t="s">
        <v>3341</v>
      </c>
      <c r="I453" s="35" t="s">
        <v>59</v>
      </c>
      <c r="J453" s="35" t="s">
        <v>34</v>
      </c>
      <c r="K453" s="35" t="s">
        <v>35</v>
      </c>
      <c r="L453" s="35" t="s">
        <v>87</v>
      </c>
      <c r="M453" s="39">
        <v>31.0</v>
      </c>
      <c r="N453" s="40">
        <v>46197.0</v>
      </c>
      <c r="O453" s="42" t="b">
        <v>0</v>
      </c>
      <c r="P453" s="36"/>
      <c r="Q453" s="34"/>
      <c r="R453" s="34"/>
      <c r="S453" s="34"/>
      <c r="T453" s="34"/>
    </row>
    <row r="454" ht="15.75" customHeight="1">
      <c r="B454" s="33">
        <v>46196.0</v>
      </c>
      <c r="C454" s="35">
        <v>11733.0</v>
      </c>
      <c r="D454" s="35">
        <v>210.0</v>
      </c>
      <c r="E454" s="37">
        <v>32.3</v>
      </c>
      <c r="F454" s="38">
        <f t="shared" si="1"/>
        <v>6783</v>
      </c>
      <c r="G454" s="35" t="s">
        <v>3994</v>
      </c>
      <c r="H454" s="35" t="s">
        <v>3995</v>
      </c>
      <c r="I454" s="35" t="s">
        <v>41</v>
      </c>
      <c r="J454" s="35" t="s">
        <v>34</v>
      </c>
      <c r="K454" s="35" t="s">
        <v>35</v>
      </c>
      <c r="L454" s="35" t="s">
        <v>87</v>
      </c>
      <c r="M454" s="39">
        <v>31.0</v>
      </c>
      <c r="N454" s="40">
        <v>46197.0</v>
      </c>
      <c r="O454" s="42" t="b">
        <v>1</v>
      </c>
      <c r="P454" s="44">
        <v>46199.0</v>
      </c>
      <c r="Q454" s="34"/>
      <c r="R454" s="34"/>
      <c r="S454" s="34"/>
      <c r="T454" s="34"/>
    </row>
    <row r="455" ht="15.75" customHeight="1">
      <c r="B455" s="33">
        <v>46196.0</v>
      </c>
      <c r="C455" s="35">
        <v>11734.0</v>
      </c>
      <c r="D455" s="35">
        <v>200.0</v>
      </c>
      <c r="E455" s="37">
        <v>106.0</v>
      </c>
      <c r="F455" s="38">
        <f t="shared" si="1"/>
        <v>21200</v>
      </c>
      <c r="G455" s="35" t="s">
        <v>3340</v>
      </c>
      <c r="H455" s="35" t="s">
        <v>3341</v>
      </c>
      <c r="I455" s="35" t="s">
        <v>41</v>
      </c>
      <c r="J455" s="35" t="s">
        <v>34</v>
      </c>
      <c r="K455" s="35" t="s">
        <v>35</v>
      </c>
      <c r="L455" s="35" t="s">
        <v>87</v>
      </c>
      <c r="M455" s="39">
        <v>31.0</v>
      </c>
      <c r="N455" s="40">
        <v>46198.0</v>
      </c>
      <c r="O455" s="42" t="b">
        <v>1</v>
      </c>
      <c r="P455" s="44">
        <v>46203.0</v>
      </c>
      <c r="Q455" s="34"/>
      <c r="R455" s="34"/>
      <c r="S455" s="34"/>
      <c r="T455" s="34"/>
    </row>
    <row r="456" ht="15.75" customHeight="1">
      <c r="B456" s="33">
        <v>46196.0</v>
      </c>
      <c r="C456" s="35">
        <v>20944.0</v>
      </c>
      <c r="D456" s="35">
        <v>24.0</v>
      </c>
      <c r="E456" s="37">
        <v>8.8</v>
      </c>
      <c r="F456" s="38">
        <f t="shared" si="1"/>
        <v>211.2</v>
      </c>
      <c r="G456" s="35" t="s">
        <v>4000</v>
      </c>
      <c r="H456" s="35" t="s">
        <v>1629</v>
      </c>
      <c r="I456" s="35" t="s">
        <v>41</v>
      </c>
      <c r="J456" s="35" t="s">
        <v>34</v>
      </c>
      <c r="K456" s="35" t="s">
        <v>35</v>
      </c>
      <c r="L456" s="35" t="s">
        <v>96</v>
      </c>
      <c r="M456" s="39">
        <v>31.0</v>
      </c>
      <c r="N456" s="40">
        <v>46196.0</v>
      </c>
      <c r="O456" s="42" t="b">
        <v>1</v>
      </c>
      <c r="P456" s="44">
        <v>46197.0</v>
      </c>
      <c r="Q456" s="34"/>
      <c r="R456" s="34"/>
      <c r="S456" s="34"/>
      <c r="T456" s="34"/>
    </row>
    <row r="457" ht="15.75" customHeight="1">
      <c r="B457" s="33">
        <v>46196.0</v>
      </c>
      <c r="C457" s="35">
        <v>20944.0</v>
      </c>
      <c r="D457" s="35">
        <v>80.0</v>
      </c>
      <c r="E457" s="37">
        <v>7.8</v>
      </c>
      <c r="F457" s="38">
        <f t="shared" si="1"/>
        <v>624</v>
      </c>
      <c r="G457" s="35" t="s">
        <v>4007</v>
      </c>
      <c r="H457" s="35" t="s">
        <v>4008</v>
      </c>
      <c r="I457" s="35" t="s">
        <v>41</v>
      </c>
      <c r="J457" s="35" t="s">
        <v>34</v>
      </c>
      <c r="K457" s="35" t="s">
        <v>35</v>
      </c>
      <c r="L457" s="35" t="s">
        <v>96</v>
      </c>
      <c r="M457" s="39">
        <v>31.0</v>
      </c>
      <c r="N457" s="40">
        <v>46196.0</v>
      </c>
      <c r="O457" s="42" t="b">
        <v>1</v>
      </c>
      <c r="P457" s="44">
        <v>46197.0</v>
      </c>
      <c r="Q457" s="34"/>
      <c r="R457" s="34"/>
      <c r="S457" s="34"/>
      <c r="T457" s="34"/>
    </row>
    <row r="458" ht="15.75" customHeight="1">
      <c r="B458" s="33">
        <v>46196.0</v>
      </c>
      <c r="C458" s="35">
        <v>20944.0</v>
      </c>
      <c r="D458" s="35">
        <v>20.0</v>
      </c>
      <c r="E458" s="37">
        <v>50.99</v>
      </c>
      <c r="F458" s="38">
        <f t="shared" si="1"/>
        <v>1019.8</v>
      </c>
      <c r="G458" s="35" t="s">
        <v>3376</v>
      </c>
      <c r="H458" s="35" t="s">
        <v>3377</v>
      </c>
      <c r="I458" s="35" t="s">
        <v>41</v>
      </c>
      <c r="J458" s="35" t="s">
        <v>34</v>
      </c>
      <c r="K458" s="35" t="s">
        <v>35</v>
      </c>
      <c r="L458" s="35" t="s">
        <v>96</v>
      </c>
      <c r="M458" s="39">
        <v>31.0</v>
      </c>
      <c r="N458" s="40">
        <v>46196.0</v>
      </c>
      <c r="O458" s="42" t="b">
        <v>1</v>
      </c>
      <c r="P458" s="44">
        <v>46197.0</v>
      </c>
      <c r="Q458" s="34"/>
      <c r="R458" s="34"/>
      <c r="S458" s="34"/>
      <c r="T458" s="34"/>
    </row>
    <row r="459" ht="15.75" customHeight="1">
      <c r="B459" s="33">
        <v>46196.0</v>
      </c>
      <c r="C459" s="35">
        <v>20944.0</v>
      </c>
      <c r="D459" s="35">
        <v>36.0</v>
      </c>
      <c r="E459" s="37">
        <v>36.9</v>
      </c>
      <c r="F459" s="38">
        <f t="shared" si="1"/>
        <v>1328.4</v>
      </c>
      <c r="G459" s="35" t="s">
        <v>4017</v>
      </c>
      <c r="H459" s="35" t="s">
        <v>4018</v>
      </c>
      <c r="I459" s="35" t="s">
        <v>41</v>
      </c>
      <c r="J459" s="35" t="s">
        <v>34</v>
      </c>
      <c r="K459" s="35" t="s">
        <v>35</v>
      </c>
      <c r="L459" s="35" t="s">
        <v>96</v>
      </c>
      <c r="M459" s="39">
        <v>31.0</v>
      </c>
      <c r="N459" s="40">
        <v>46196.0</v>
      </c>
      <c r="O459" s="42" t="b">
        <v>1</v>
      </c>
      <c r="P459" s="44">
        <v>46197.0</v>
      </c>
      <c r="Q459" s="34"/>
      <c r="R459" s="34"/>
      <c r="S459" s="34"/>
      <c r="T459" s="34"/>
    </row>
    <row r="460" ht="15.75" customHeight="1">
      <c r="B460" s="33">
        <v>46196.0</v>
      </c>
      <c r="C460" s="35">
        <v>20944.0</v>
      </c>
      <c r="D460" s="35">
        <v>10.0</v>
      </c>
      <c r="E460" s="37">
        <v>139.9</v>
      </c>
      <c r="F460" s="38">
        <f t="shared" si="1"/>
        <v>1399</v>
      </c>
      <c r="G460" s="35" t="s">
        <v>3323</v>
      </c>
      <c r="H460" s="35" t="s">
        <v>846</v>
      </c>
      <c r="I460" s="35" t="s">
        <v>41</v>
      </c>
      <c r="J460" s="35" t="s">
        <v>34</v>
      </c>
      <c r="K460" s="35" t="s">
        <v>35</v>
      </c>
      <c r="L460" s="35" t="s">
        <v>96</v>
      </c>
      <c r="M460" s="39">
        <v>31.0</v>
      </c>
      <c r="N460" s="40">
        <v>46196.0</v>
      </c>
      <c r="O460" s="42" t="b">
        <v>1</v>
      </c>
      <c r="P460" s="44">
        <v>46197.0</v>
      </c>
      <c r="Q460" s="34"/>
      <c r="R460" s="34"/>
      <c r="S460" s="34"/>
      <c r="T460" s="34"/>
    </row>
    <row r="461" ht="15.75" customHeight="1">
      <c r="B461" s="33">
        <v>46196.0</v>
      </c>
      <c r="C461" s="35">
        <v>20944.0</v>
      </c>
      <c r="D461" s="35">
        <v>3.0</v>
      </c>
      <c r="E461" s="37">
        <v>269.9</v>
      </c>
      <c r="F461" s="38">
        <f t="shared" si="1"/>
        <v>809.7</v>
      </c>
      <c r="G461" s="35" t="s">
        <v>3324</v>
      </c>
      <c r="H461" s="35" t="s">
        <v>200</v>
      </c>
      <c r="I461" s="35" t="s">
        <v>41</v>
      </c>
      <c r="J461" s="35" t="s">
        <v>34</v>
      </c>
      <c r="K461" s="35" t="s">
        <v>35</v>
      </c>
      <c r="L461" s="35" t="s">
        <v>96</v>
      </c>
      <c r="M461" s="39">
        <v>31.0</v>
      </c>
      <c r="N461" s="40">
        <v>46196.0</v>
      </c>
      <c r="O461" s="42" t="b">
        <v>1</v>
      </c>
      <c r="P461" s="44">
        <v>46197.0</v>
      </c>
      <c r="Q461" s="34"/>
      <c r="R461" s="34"/>
      <c r="S461" s="34"/>
      <c r="T461" s="34"/>
    </row>
    <row r="462" ht="15.75" customHeight="1">
      <c r="B462" s="33">
        <v>46196.0</v>
      </c>
      <c r="C462" s="35">
        <v>20944.0</v>
      </c>
      <c r="D462" s="35">
        <v>16.0</v>
      </c>
      <c r="E462" s="37">
        <v>24.99</v>
      </c>
      <c r="F462" s="38">
        <f t="shared" si="1"/>
        <v>399.84</v>
      </c>
      <c r="G462" s="35" t="s">
        <v>4031</v>
      </c>
      <c r="H462" s="35" t="s">
        <v>4032</v>
      </c>
      <c r="I462" s="35" t="s">
        <v>41</v>
      </c>
      <c r="J462" s="35" t="s">
        <v>34</v>
      </c>
      <c r="K462" s="35" t="s">
        <v>35</v>
      </c>
      <c r="L462" s="35" t="s">
        <v>96</v>
      </c>
      <c r="M462" s="39">
        <v>31.0</v>
      </c>
      <c r="N462" s="40">
        <v>46196.0</v>
      </c>
      <c r="O462" s="42" t="b">
        <v>1</v>
      </c>
      <c r="P462" s="44">
        <v>46197.0</v>
      </c>
      <c r="Q462" s="34"/>
      <c r="R462" s="34"/>
      <c r="S462" s="34"/>
      <c r="T462" s="34"/>
    </row>
    <row r="463" ht="15.75" customHeight="1">
      <c r="B463" s="33">
        <v>46196.0</v>
      </c>
      <c r="C463" s="35">
        <v>20944.0</v>
      </c>
      <c r="D463" s="35">
        <v>200.0</v>
      </c>
      <c r="E463" s="37">
        <v>9.9</v>
      </c>
      <c r="F463" s="38">
        <f t="shared" si="1"/>
        <v>1980</v>
      </c>
      <c r="G463" s="35" t="s">
        <v>4036</v>
      </c>
      <c r="H463" s="35" t="s">
        <v>4038</v>
      </c>
      <c r="I463" s="35" t="s">
        <v>41</v>
      </c>
      <c r="J463" s="35" t="s">
        <v>34</v>
      </c>
      <c r="K463" s="35" t="s">
        <v>35</v>
      </c>
      <c r="L463" s="35" t="s">
        <v>96</v>
      </c>
      <c r="M463" s="39">
        <v>31.0</v>
      </c>
      <c r="N463" s="40">
        <v>46196.0</v>
      </c>
      <c r="O463" s="42" t="b">
        <v>1</v>
      </c>
      <c r="P463" s="44">
        <v>46197.0</v>
      </c>
      <c r="Q463" s="34"/>
      <c r="R463" s="34"/>
      <c r="S463" s="34"/>
      <c r="T463" s="34"/>
    </row>
    <row r="464" ht="15.75" customHeight="1">
      <c r="B464" s="33">
        <v>46196.0</v>
      </c>
      <c r="C464" s="35">
        <v>20944.0</v>
      </c>
      <c r="D464" s="35">
        <v>150.0</v>
      </c>
      <c r="E464" s="37">
        <v>3.9</v>
      </c>
      <c r="F464" s="38">
        <f t="shared" si="1"/>
        <v>585</v>
      </c>
      <c r="G464" s="35" t="s">
        <v>4044</v>
      </c>
      <c r="H464" s="35" t="s">
        <v>4045</v>
      </c>
      <c r="I464" s="35" t="s">
        <v>41</v>
      </c>
      <c r="J464" s="35" t="s">
        <v>34</v>
      </c>
      <c r="K464" s="35" t="s">
        <v>35</v>
      </c>
      <c r="L464" s="35" t="s">
        <v>96</v>
      </c>
      <c r="M464" s="39">
        <v>31.0</v>
      </c>
      <c r="N464" s="40">
        <v>46196.0</v>
      </c>
      <c r="O464" s="42" t="b">
        <v>1</v>
      </c>
      <c r="P464" s="44">
        <v>46197.0</v>
      </c>
      <c r="Q464" s="34"/>
      <c r="R464" s="34"/>
      <c r="S464" s="34"/>
      <c r="T464" s="34"/>
    </row>
    <row r="465" ht="15.75" customHeight="1">
      <c r="B465" s="33">
        <v>46196.0</v>
      </c>
      <c r="C465" s="35">
        <v>20944.0</v>
      </c>
      <c r="D465" s="35">
        <v>6.0</v>
      </c>
      <c r="E465" s="37">
        <v>99.9</v>
      </c>
      <c r="F465" s="38">
        <f t="shared" si="1"/>
        <v>599.4</v>
      </c>
      <c r="G465" s="35" t="s">
        <v>4048</v>
      </c>
      <c r="H465" s="35" t="s">
        <v>4049</v>
      </c>
      <c r="I465" s="35" t="s">
        <v>41</v>
      </c>
      <c r="J465" s="35" t="s">
        <v>34</v>
      </c>
      <c r="K465" s="35" t="s">
        <v>35</v>
      </c>
      <c r="L465" s="35" t="s">
        <v>96</v>
      </c>
      <c r="M465" s="39">
        <v>31.0</v>
      </c>
      <c r="N465" s="40">
        <v>46196.0</v>
      </c>
      <c r="O465" s="42" t="b">
        <v>1</v>
      </c>
      <c r="P465" s="44">
        <v>46197.0</v>
      </c>
      <c r="Q465" s="34"/>
      <c r="R465" s="34"/>
      <c r="S465" s="34"/>
      <c r="T465" s="34"/>
    </row>
    <row r="466" ht="15.75" customHeight="1">
      <c r="B466" s="33">
        <v>46196.0</v>
      </c>
      <c r="C466" s="35">
        <v>20944.0</v>
      </c>
      <c r="D466" s="35">
        <v>4.0</v>
      </c>
      <c r="E466" s="37">
        <v>499.9</v>
      </c>
      <c r="F466" s="38">
        <f t="shared" si="1"/>
        <v>1999.6</v>
      </c>
      <c r="G466" s="35" t="s">
        <v>736</v>
      </c>
      <c r="H466" s="35" t="s">
        <v>737</v>
      </c>
      <c r="I466" s="35" t="s">
        <v>41</v>
      </c>
      <c r="J466" s="35" t="s">
        <v>34</v>
      </c>
      <c r="K466" s="35" t="s">
        <v>35</v>
      </c>
      <c r="L466" s="35" t="s">
        <v>96</v>
      </c>
      <c r="M466" s="39">
        <v>31.0</v>
      </c>
      <c r="N466" s="40">
        <v>46196.0</v>
      </c>
      <c r="O466" s="42" t="b">
        <v>1</v>
      </c>
      <c r="P466" s="44">
        <v>46197.0</v>
      </c>
      <c r="Q466" s="34"/>
      <c r="R466" s="34"/>
      <c r="S466" s="34"/>
      <c r="T466" s="34"/>
    </row>
    <row r="467" ht="15.75" customHeight="1">
      <c r="B467" s="33">
        <v>46196.0</v>
      </c>
      <c r="C467" s="35">
        <v>20944.0</v>
      </c>
      <c r="D467" s="35">
        <v>50.0</v>
      </c>
      <c r="E467" s="37">
        <v>16.9</v>
      </c>
      <c r="F467" s="38">
        <f t="shared" si="1"/>
        <v>845</v>
      </c>
      <c r="G467" s="35" t="s">
        <v>4053</v>
      </c>
      <c r="H467" s="35" t="s">
        <v>4054</v>
      </c>
      <c r="I467" s="35" t="s">
        <v>41</v>
      </c>
      <c r="J467" s="35" t="s">
        <v>34</v>
      </c>
      <c r="K467" s="35" t="s">
        <v>35</v>
      </c>
      <c r="L467" s="35" t="s">
        <v>96</v>
      </c>
      <c r="M467" s="39">
        <v>31.0</v>
      </c>
      <c r="N467" s="40">
        <v>46196.0</v>
      </c>
      <c r="O467" s="42" t="b">
        <v>1</v>
      </c>
      <c r="P467" s="44">
        <v>46197.0</v>
      </c>
      <c r="Q467" s="34"/>
      <c r="R467" s="34"/>
      <c r="S467" s="34"/>
      <c r="T467" s="34"/>
    </row>
    <row r="468" ht="15.75" customHeight="1">
      <c r="B468" s="33">
        <v>46196.0</v>
      </c>
      <c r="C468" s="35">
        <v>20944.0</v>
      </c>
      <c r="D468" s="35">
        <v>120.0</v>
      </c>
      <c r="E468" s="37">
        <v>18.99</v>
      </c>
      <c r="F468" s="38">
        <f t="shared" si="1"/>
        <v>2278.8</v>
      </c>
      <c r="G468" s="35" t="s">
        <v>4061</v>
      </c>
      <c r="H468" s="35" t="s">
        <v>1242</v>
      </c>
      <c r="I468" s="35" t="s">
        <v>41</v>
      </c>
      <c r="J468" s="35" t="s">
        <v>34</v>
      </c>
      <c r="K468" s="35" t="s">
        <v>35</v>
      </c>
      <c r="L468" s="35" t="s">
        <v>96</v>
      </c>
      <c r="M468" s="39">
        <v>31.0</v>
      </c>
      <c r="N468" s="40">
        <v>46196.0</v>
      </c>
      <c r="O468" s="42" t="b">
        <v>1</v>
      </c>
      <c r="P468" s="44">
        <v>46197.0</v>
      </c>
      <c r="Q468" s="34"/>
      <c r="R468" s="34"/>
      <c r="S468" s="34"/>
      <c r="T468" s="34"/>
    </row>
    <row r="469" ht="15.75" customHeight="1">
      <c r="B469" s="33">
        <v>46196.0</v>
      </c>
      <c r="C469" s="35">
        <v>20944.0</v>
      </c>
      <c r="D469" s="35">
        <v>4.0</v>
      </c>
      <c r="E469" s="37">
        <v>169.9</v>
      </c>
      <c r="F469" s="38">
        <f t="shared" si="1"/>
        <v>679.6</v>
      </c>
      <c r="G469" s="35" t="s">
        <v>2217</v>
      </c>
      <c r="H469" s="35" t="s">
        <v>184</v>
      </c>
      <c r="I469" s="35" t="s">
        <v>41</v>
      </c>
      <c r="J469" s="35" t="s">
        <v>34</v>
      </c>
      <c r="K469" s="35" t="s">
        <v>35</v>
      </c>
      <c r="L469" s="35" t="s">
        <v>96</v>
      </c>
      <c r="M469" s="39">
        <v>31.0</v>
      </c>
      <c r="N469" s="40">
        <v>46196.0</v>
      </c>
      <c r="O469" s="42" t="b">
        <v>1</v>
      </c>
      <c r="P469" s="44">
        <v>46197.0</v>
      </c>
      <c r="Q469" s="34"/>
      <c r="R469" s="34"/>
      <c r="S469" s="34"/>
      <c r="T469" s="34"/>
    </row>
    <row r="470" ht="15.75" customHeight="1">
      <c r="B470" s="33">
        <v>46196.0</v>
      </c>
      <c r="C470" s="35">
        <v>20944.0</v>
      </c>
      <c r="D470" s="35">
        <v>6.0</v>
      </c>
      <c r="E470" s="37">
        <v>139.9</v>
      </c>
      <c r="F470" s="38">
        <f t="shared" si="1"/>
        <v>839.4</v>
      </c>
      <c r="G470" s="35" t="s">
        <v>544</v>
      </c>
      <c r="H470" s="35" t="s">
        <v>546</v>
      </c>
      <c r="I470" s="35" t="s">
        <v>41</v>
      </c>
      <c r="J470" s="35" t="s">
        <v>34</v>
      </c>
      <c r="K470" s="35" t="s">
        <v>35</v>
      </c>
      <c r="L470" s="35" t="s">
        <v>96</v>
      </c>
      <c r="M470" s="39">
        <v>31.0</v>
      </c>
      <c r="N470" s="40">
        <v>46196.0</v>
      </c>
      <c r="O470" s="42" t="b">
        <v>1</v>
      </c>
      <c r="P470" s="44">
        <v>46197.0</v>
      </c>
      <c r="Q470" s="34"/>
      <c r="R470" s="34"/>
      <c r="S470" s="34"/>
      <c r="T470" s="34"/>
    </row>
    <row r="471" ht="15.75" customHeight="1">
      <c r="B471" s="33">
        <v>46196.0</v>
      </c>
      <c r="C471" s="35">
        <v>20944.0</v>
      </c>
      <c r="D471" s="35">
        <v>36.0</v>
      </c>
      <c r="E471" s="37">
        <v>12.9</v>
      </c>
      <c r="F471" s="38">
        <f t="shared" si="1"/>
        <v>464.4</v>
      </c>
      <c r="G471" s="35" t="s">
        <v>1347</v>
      </c>
      <c r="H471" s="35" t="s">
        <v>1348</v>
      </c>
      <c r="I471" s="35" t="s">
        <v>41</v>
      </c>
      <c r="J471" s="35" t="s">
        <v>34</v>
      </c>
      <c r="K471" s="35" t="s">
        <v>35</v>
      </c>
      <c r="L471" s="35" t="s">
        <v>96</v>
      </c>
      <c r="M471" s="39">
        <v>31.0</v>
      </c>
      <c r="N471" s="40">
        <v>46196.0</v>
      </c>
      <c r="O471" s="42" t="b">
        <v>1</v>
      </c>
      <c r="P471" s="44">
        <v>46197.0</v>
      </c>
      <c r="Q471" s="34"/>
      <c r="R471" s="34"/>
      <c r="S471" s="34"/>
      <c r="T471" s="34"/>
    </row>
    <row r="472" ht="15.75" customHeight="1">
      <c r="B472" s="33">
        <v>46196.0</v>
      </c>
      <c r="C472" s="35">
        <v>20944.0</v>
      </c>
      <c r="D472" s="35">
        <v>2.0</v>
      </c>
      <c r="E472" s="37">
        <v>379.9</v>
      </c>
      <c r="F472" s="38">
        <f t="shared" si="1"/>
        <v>759.8</v>
      </c>
      <c r="G472" s="35" t="s">
        <v>1217</v>
      </c>
      <c r="H472" s="35" t="s">
        <v>1218</v>
      </c>
      <c r="I472" s="35" t="s">
        <v>41</v>
      </c>
      <c r="J472" s="35" t="s">
        <v>34</v>
      </c>
      <c r="K472" s="35" t="s">
        <v>35</v>
      </c>
      <c r="L472" s="35" t="s">
        <v>96</v>
      </c>
      <c r="M472" s="39">
        <v>31.0</v>
      </c>
      <c r="N472" s="40">
        <v>46196.0</v>
      </c>
      <c r="O472" s="42" t="b">
        <v>1</v>
      </c>
      <c r="P472" s="44">
        <v>46197.0</v>
      </c>
      <c r="Q472" s="34"/>
      <c r="R472" s="34"/>
      <c r="S472" s="34"/>
      <c r="T472" s="34"/>
    </row>
    <row r="473" ht="15.75" customHeight="1">
      <c r="B473" s="33">
        <v>46196.0</v>
      </c>
      <c r="C473" s="35">
        <v>20944.0</v>
      </c>
      <c r="D473" s="35">
        <v>5.0</v>
      </c>
      <c r="E473" s="37">
        <v>219.9</v>
      </c>
      <c r="F473" s="38">
        <f t="shared" si="1"/>
        <v>1099.5</v>
      </c>
      <c r="G473" s="35" t="s">
        <v>4076</v>
      </c>
      <c r="H473" s="35" t="s">
        <v>472</v>
      </c>
      <c r="I473" s="35" t="s">
        <v>41</v>
      </c>
      <c r="J473" s="35" t="s">
        <v>34</v>
      </c>
      <c r="K473" s="35" t="s">
        <v>35</v>
      </c>
      <c r="L473" s="35" t="s">
        <v>96</v>
      </c>
      <c r="M473" s="39">
        <v>31.0</v>
      </c>
      <c r="N473" s="40">
        <v>46196.0</v>
      </c>
      <c r="O473" s="42" t="b">
        <v>1</v>
      </c>
      <c r="P473" s="44">
        <v>46197.0</v>
      </c>
      <c r="Q473" s="34"/>
      <c r="R473" s="34"/>
      <c r="S473" s="34"/>
      <c r="T473" s="34"/>
    </row>
    <row r="474" ht="15.75" customHeight="1">
      <c r="B474" s="33">
        <v>46196.0</v>
      </c>
      <c r="C474" s="35">
        <v>20944.0</v>
      </c>
      <c r="D474" s="35">
        <v>5.0</v>
      </c>
      <c r="E474" s="37">
        <v>239.9</v>
      </c>
      <c r="F474" s="38">
        <f t="shared" si="1"/>
        <v>1199.5</v>
      </c>
      <c r="G474" s="35" t="s">
        <v>3402</v>
      </c>
      <c r="H474" s="35" t="s">
        <v>2595</v>
      </c>
      <c r="I474" s="35" t="s">
        <v>41</v>
      </c>
      <c r="J474" s="35" t="s">
        <v>34</v>
      </c>
      <c r="K474" s="35" t="s">
        <v>35</v>
      </c>
      <c r="L474" s="35" t="s">
        <v>96</v>
      </c>
      <c r="M474" s="39">
        <v>31.0</v>
      </c>
      <c r="N474" s="40">
        <v>46196.0</v>
      </c>
      <c r="O474" s="42" t="b">
        <v>1</v>
      </c>
      <c r="P474" s="44">
        <v>46197.0</v>
      </c>
      <c r="Q474" s="34"/>
      <c r="R474" s="34"/>
      <c r="S474" s="34"/>
      <c r="T474" s="34"/>
    </row>
    <row r="475" ht="15.75" customHeight="1">
      <c r="B475" s="33">
        <v>46196.0</v>
      </c>
      <c r="C475" s="35">
        <v>20944.0</v>
      </c>
      <c r="D475" s="35">
        <v>1.0</v>
      </c>
      <c r="E475" s="37">
        <v>799.9</v>
      </c>
      <c r="F475" s="38">
        <f t="shared" si="1"/>
        <v>799.9</v>
      </c>
      <c r="G475" s="35" t="s">
        <v>1317</v>
      </c>
      <c r="H475" s="35" t="s">
        <v>1320</v>
      </c>
      <c r="I475" s="35" t="s">
        <v>41</v>
      </c>
      <c r="J475" s="35" t="s">
        <v>34</v>
      </c>
      <c r="K475" s="35" t="s">
        <v>35</v>
      </c>
      <c r="L475" s="35" t="s">
        <v>96</v>
      </c>
      <c r="M475" s="39">
        <v>31.0</v>
      </c>
      <c r="N475" s="40">
        <v>46196.0</v>
      </c>
      <c r="O475" s="42" t="b">
        <v>1</v>
      </c>
      <c r="P475" s="44">
        <v>46197.0</v>
      </c>
      <c r="Q475" s="34"/>
      <c r="R475" s="34"/>
      <c r="S475" s="34"/>
      <c r="T475" s="34"/>
    </row>
    <row r="476" ht="15.75" customHeight="1">
      <c r="B476" s="33">
        <v>46196.0</v>
      </c>
      <c r="C476" s="35">
        <v>1034.0</v>
      </c>
      <c r="D476" s="35">
        <v>150.0</v>
      </c>
      <c r="E476" s="37">
        <v>152.0</v>
      </c>
      <c r="F476" s="38">
        <f t="shared" si="1"/>
        <v>22800</v>
      </c>
      <c r="G476" s="35" t="s">
        <v>659</v>
      </c>
      <c r="H476" s="35" t="s">
        <v>137</v>
      </c>
      <c r="I476" s="35" t="s">
        <v>41</v>
      </c>
      <c r="J476" s="35" t="s">
        <v>34</v>
      </c>
      <c r="K476" s="35" t="s">
        <v>35</v>
      </c>
      <c r="L476" s="35" t="s">
        <v>132</v>
      </c>
      <c r="M476" s="39">
        <v>31.0</v>
      </c>
      <c r="N476" s="40">
        <v>46196.0</v>
      </c>
      <c r="O476" s="42" t="b">
        <v>0</v>
      </c>
      <c r="P476" s="44"/>
      <c r="Q476" s="34"/>
      <c r="R476" s="34"/>
      <c r="S476" s="34"/>
      <c r="T476" s="34"/>
    </row>
    <row r="477" ht="15.75" customHeight="1">
      <c r="B477" s="33">
        <v>46196.0</v>
      </c>
      <c r="C477" s="35">
        <v>1034.0</v>
      </c>
      <c r="D477" s="35">
        <v>100.0</v>
      </c>
      <c r="E477" s="37">
        <v>180.0</v>
      </c>
      <c r="F477" s="38">
        <f t="shared" si="1"/>
        <v>18000</v>
      </c>
      <c r="G477" s="35" t="s">
        <v>665</v>
      </c>
      <c r="H477" s="35" t="s">
        <v>1131</v>
      </c>
      <c r="I477" s="35" t="s">
        <v>41</v>
      </c>
      <c r="J477" s="35" t="s">
        <v>34</v>
      </c>
      <c r="K477" s="35" t="s">
        <v>35</v>
      </c>
      <c r="L477" s="35" t="s">
        <v>132</v>
      </c>
      <c r="M477" s="39">
        <v>31.0</v>
      </c>
      <c r="N477" s="44">
        <v>46196.0</v>
      </c>
      <c r="O477" s="42" t="b">
        <v>0</v>
      </c>
      <c r="P477" s="44"/>
      <c r="Q477" s="34"/>
      <c r="R477" s="34"/>
      <c r="S477" s="34"/>
      <c r="T477" s="34"/>
    </row>
    <row r="478" ht="15.75" customHeight="1">
      <c r="B478" s="33">
        <v>46196.0</v>
      </c>
      <c r="C478" s="35">
        <v>1034.0</v>
      </c>
      <c r="D478" s="35">
        <v>20.0</v>
      </c>
      <c r="E478" s="37">
        <v>215.0</v>
      </c>
      <c r="F478" s="38">
        <f t="shared" si="1"/>
        <v>4300</v>
      </c>
      <c r="G478" s="35" t="s">
        <v>675</v>
      </c>
      <c r="H478" s="35" t="s">
        <v>1125</v>
      </c>
      <c r="I478" s="35" t="s">
        <v>41</v>
      </c>
      <c r="J478" s="35" t="s">
        <v>34</v>
      </c>
      <c r="K478" s="35" t="s">
        <v>35</v>
      </c>
      <c r="L478" s="35" t="s">
        <v>132</v>
      </c>
      <c r="M478" s="39">
        <v>31.0</v>
      </c>
      <c r="N478" s="40">
        <v>46196.0</v>
      </c>
      <c r="O478" s="42" t="b">
        <v>0</v>
      </c>
      <c r="P478" s="44"/>
      <c r="Q478" s="34"/>
      <c r="R478" s="34"/>
      <c r="S478" s="34"/>
      <c r="T478" s="34"/>
    </row>
    <row r="479" ht="15.75" customHeight="1">
      <c r="B479" s="33">
        <v>46196.0</v>
      </c>
      <c r="C479" s="35">
        <v>1.0233982E7</v>
      </c>
      <c r="D479" s="35">
        <v>20.0</v>
      </c>
      <c r="E479" s="37">
        <v>555.0</v>
      </c>
      <c r="F479" s="38">
        <f t="shared" si="1"/>
        <v>11100</v>
      </c>
      <c r="G479" s="35" t="s">
        <v>4097</v>
      </c>
      <c r="H479" s="35" t="s">
        <v>35</v>
      </c>
      <c r="I479" s="35" t="s">
        <v>673</v>
      </c>
      <c r="J479" s="35" t="s">
        <v>175</v>
      </c>
      <c r="K479" s="35" t="s">
        <v>35</v>
      </c>
      <c r="L479" s="35" t="s">
        <v>1504</v>
      </c>
      <c r="M479" s="39">
        <v>1.0</v>
      </c>
      <c r="N479" s="44">
        <v>46198.0</v>
      </c>
      <c r="O479" s="42" t="b">
        <v>1</v>
      </c>
      <c r="P479" s="44">
        <v>46198.0</v>
      </c>
      <c r="Q479" s="34"/>
      <c r="R479" s="35" t="s">
        <v>4100</v>
      </c>
      <c r="S479" s="34"/>
      <c r="T479" s="34"/>
    </row>
    <row r="480" ht="15.75" customHeight="1">
      <c r="B480" s="33">
        <v>46196.0</v>
      </c>
      <c r="C480" s="35">
        <v>1.0234962E7</v>
      </c>
      <c r="D480" s="35">
        <v>1.0</v>
      </c>
      <c r="E480" s="37">
        <v>859.9</v>
      </c>
      <c r="F480" s="38">
        <f t="shared" si="1"/>
        <v>859.9</v>
      </c>
      <c r="G480" s="35" t="s">
        <v>4101</v>
      </c>
      <c r="H480" s="35" t="s">
        <v>35</v>
      </c>
      <c r="I480" s="35" t="s">
        <v>157</v>
      </c>
      <c r="J480" s="35" t="s">
        <v>34</v>
      </c>
      <c r="K480" s="35" t="s">
        <v>35</v>
      </c>
      <c r="L480" s="35" t="s">
        <v>1504</v>
      </c>
      <c r="M480" s="39">
        <v>1.0</v>
      </c>
      <c r="N480" s="40">
        <v>46204.0</v>
      </c>
      <c r="O480" s="42" t="b">
        <v>1</v>
      </c>
      <c r="P480" s="44">
        <v>46204.0</v>
      </c>
      <c r="Q480" s="34"/>
      <c r="R480" s="35" t="s">
        <v>4100</v>
      </c>
      <c r="S480" s="34"/>
      <c r="T480" s="34"/>
    </row>
    <row r="481" ht="15.75" customHeight="1">
      <c r="B481" s="33">
        <v>46196.0</v>
      </c>
      <c r="C481" s="35">
        <v>922823.0</v>
      </c>
      <c r="D481" s="35">
        <v>1000.0</v>
      </c>
      <c r="E481" s="37">
        <v>71.0</v>
      </c>
      <c r="F481" s="38">
        <f t="shared" si="1"/>
        <v>71000</v>
      </c>
      <c r="G481" s="35" t="s">
        <v>4106</v>
      </c>
      <c r="H481" s="35">
        <v>65576.0</v>
      </c>
      <c r="I481" s="35" t="s">
        <v>41</v>
      </c>
      <c r="J481" s="35" t="s">
        <v>40</v>
      </c>
      <c r="K481" s="35"/>
      <c r="L481" s="35" t="s">
        <v>43</v>
      </c>
      <c r="M481" s="39">
        <v>1.0</v>
      </c>
      <c r="N481" s="40">
        <v>46202.0</v>
      </c>
      <c r="O481" s="42" t="b">
        <v>1</v>
      </c>
      <c r="P481" s="44">
        <v>46202.0</v>
      </c>
      <c r="Q481" s="34"/>
      <c r="R481" s="34"/>
      <c r="S481" s="34"/>
      <c r="T481" s="34"/>
    </row>
    <row r="482" ht="15.75" customHeight="1">
      <c r="B482" s="33">
        <v>46196.0</v>
      </c>
      <c r="C482" s="35">
        <v>20959.0</v>
      </c>
      <c r="D482" s="35">
        <v>48.0</v>
      </c>
      <c r="E482" s="37">
        <v>19.9</v>
      </c>
      <c r="F482" s="38">
        <f t="shared" si="1"/>
        <v>955.2</v>
      </c>
      <c r="G482" s="35" t="s">
        <v>2328</v>
      </c>
      <c r="H482" s="35" t="s">
        <v>753</v>
      </c>
      <c r="I482" s="35" t="s">
        <v>41</v>
      </c>
      <c r="J482" s="35" t="s">
        <v>34</v>
      </c>
      <c r="K482" s="35" t="s">
        <v>35</v>
      </c>
      <c r="L482" s="35" t="s">
        <v>96</v>
      </c>
      <c r="M482" s="39">
        <v>31.0</v>
      </c>
      <c r="N482" s="40">
        <v>46197.0</v>
      </c>
      <c r="O482" s="42" t="b">
        <v>1</v>
      </c>
      <c r="P482" s="44">
        <v>46198.0</v>
      </c>
      <c r="Q482" s="34"/>
      <c r="R482" s="34"/>
      <c r="S482" s="34"/>
      <c r="T482" s="34"/>
    </row>
    <row r="483" ht="15.75" customHeight="1">
      <c r="B483" s="33">
        <v>46196.0</v>
      </c>
      <c r="C483" s="35">
        <v>20959.0</v>
      </c>
      <c r="D483" s="35">
        <v>20.0</v>
      </c>
      <c r="E483" s="37">
        <v>34.903</v>
      </c>
      <c r="F483" s="38">
        <f t="shared" si="1"/>
        <v>698.06</v>
      </c>
      <c r="G483" s="35" t="s">
        <v>2913</v>
      </c>
      <c r="H483" s="35" t="s">
        <v>855</v>
      </c>
      <c r="I483" s="35" t="s">
        <v>41</v>
      </c>
      <c r="J483" s="35" t="s">
        <v>34</v>
      </c>
      <c r="K483" s="35" t="s">
        <v>35</v>
      </c>
      <c r="L483" s="35" t="s">
        <v>96</v>
      </c>
      <c r="M483" s="39">
        <v>31.0</v>
      </c>
      <c r="N483" s="40">
        <v>46197.0</v>
      </c>
      <c r="O483" s="42" t="b">
        <v>1</v>
      </c>
      <c r="P483" s="44">
        <v>46198.0</v>
      </c>
      <c r="Q483" s="34"/>
      <c r="R483" s="34"/>
      <c r="S483" s="34"/>
      <c r="T483" s="34"/>
    </row>
    <row r="484" ht="15.75" customHeight="1">
      <c r="B484" s="33">
        <v>46196.0</v>
      </c>
      <c r="C484" s="35">
        <v>20959.0</v>
      </c>
      <c r="D484" s="35">
        <v>20.0</v>
      </c>
      <c r="E484" s="37">
        <v>16.99</v>
      </c>
      <c r="F484" s="38">
        <f t="shared" si="1"/>
        <v>339.8</v>
      </c>
      <c r="G484" s="35" t="s">
        <v>4113</v>
      </c>
      <c r="H484" s="35" t="s">
        <v>828</v>
      </c>
      <c r="I484" s="35" t="s">
        <v>41</v>
      </c>
      <c r="J484" s="35" t="s">
        <v>34</v>
      </c>
      <c r="K484" s="35" t="s">
        <v>35</v>
      </c>
      <c r="L484" s="35" t="s">
        <v>96</v>
      </c>
      <c r="M484" s="39">
        <v>31.0</v>
      </c>
      <c r="N484" s="40">
        <v>46197.0</v>
      </c>
      <c r="O484" s="42" t="b">
        <v>1</v>
      </c>
      <c r="P484" s="44">
        <v>46198.0</v>
      </c>
      <c r="Q484" s="34"/>
      <c r="R484" s="34"/>
      <c r="S484" s="34"/>
      <c r="T484" s="34"/>
    </row>
    <row r="485" ht="15.75" customHeight="1">
      <c r="B485" s="33">
        <v>46196.0</v>
      </c>
      <c r="C485" s="35">
        <v>20959.0</v>
      </c>
      <c r="D485" s="35">
        <v>25.0</v>
      </c>
      <c r="E485" s="37">
        <v>149.9</v>
      </c>
      <c r="F485" s="38">
        <f t="shared" si="1"/>
        <v>3747.5</v>
      </c>
      <c r="G485" s="35" t="s">
        <v>4117</v>
      </c>
      <c r="H485" s="35" t="s">
        <v>841</v>
      </c>
      <c r="I485" s="35" t="s">
        <v>41</v>
      </c>
      <c r="J485" s="35" t="s">
        <v>34</v>
      </c>
      <c r="K485" s="35" t="s">
        <v>35</v>
      </c>
      <c r="L485" s="35" t="s">
        <v>96</v>
      </c>
      <c r="M485" s="39">
        <v>31.0</v>
      </c>
      <c r="N485" s="44" t="s">
        <v>4120</v>
      </c>
      <c r="O485" s="42" t="b">
        <v>1</v>
      </c>
      <c r="P485" s="44">
        <v>46198.0</v>
      </c>
      <c r="Q485" s="34"/>
      <c r="R485" s="34"/>
      <c r="S485" s="34"/>
      <c r="T485" s="34"/>
    </row>
    <row r="486" ht="15.75" customHeight="1">
      <c r="B486" s="33">
        <v>46196.0</v>
      </c>
      <c r="C486" s="35">
        <v>20959.0</v>
      </c>
      <c r="D486" s="35">
        <v>3.0</v>
      </c>
      <c r="E486" s="37">
        <v>269.9</v>
      </c>
      <c r="F486" s="38">
        <f t="shared" si="1"/>
        <v>809.7</v>
      </c>
      <c r="G486" s="35" t="s">
        <v>3324</v>
      </c>
      <c r="H486" s="35" t="s">
        <v>200</v>
      </c>
      <c r="I486" s="35" t="s">
        <v>41</v>
      </c>
      <c r="J486" s="35" t="s">
        <v>34</v>
      </c>
      <c r="K486" s="35" t="s">
        <v>35</v>
      </c>
      <c r="L486" s="35" t="s">
        <v>96</v>
      </c>
      <c r="M486" s="39">
        <v>31.0</v>
      </c>
      <c r="N486" s="44">
        <v>46197.0</v>
      </c>
      <c r="O486" s="42" t="b">
        <v>1</v>
      </c>
      <c r="P486" s="44">
        <v>46198.0</v>
      </c>
      <c r="Q486" s="34"/>
      <c r="R486" s="34"/>
      <c r="S486" s="34"/>
      <c r="T486" s="34"/>
    </row>
    <row r="487" ht="15.75" customHeight="1">
      <c r="B487" s="33">
        <v>46196.0</v>
      </c>
      <c r="C487" s="35">
        <v>20959.0</v>
      </c>
      <c r="D487" s="35">
        <v>12.0</v>
      </c>
      <c r="E487" s="37">
        <v>53.9</v>
      </c>
      <c r="F487" s="38">
        <f t="shared" si="1"/>
        <v>646.8</v>
      </c>
      <c r="G487" s="35" t="s">
        <v>2628</v>
      </c>
      <c r="H487" s="35" t="s">
        <v>1673</v>
      </c>
      <c r="I487" s="35" t="s">
        <v>41</v>
      </c>
      <c r="J487" s="35" t="s">
        <v>34</v>
      </c>
      <c r="K487" s="35" t="s">
        <v>35</v>
      </c>
      <c r="L487" s="35" t="s">
        <v>96</v>
      </c>
      <c r="M487" s="39">
        <v>31.0</v>
      </c>
      <c r="N487" s="44">
        <v>46198.0</v>
      </c>
      <c r="O487" s="42" t="b">
        <v>1</v>
      </c>
      <c r="P487" s="44">
        <v>46198.0</v>
      </c>
      <c r="Q487" s="34"/>
      <c r="R487" s="34"/>
      <c r="S487" s="34"/>
      <c r="T487" s="34"/>
    </row>
    <row r="488" ht="15.75" customHeight="1">
      <c r="B488" s="33">
        <v>46196.0</v>
      </c>
      <c r="C488" s="35">
        <v>20959.0</v>
      </c>
      <c r="D488" s="35">
        <v>60.0</v>
      </c>
      <c r="E488" s="37">
        <v>139.9</v>
      </c>
      <c r="F488" s="38">
        <f t="shared" si="1"/>
        <v>8394</v>
      </c>
      <c r="G488" s="35" t="s">
        <v>3323</v>
      </c>
      <c r="H488" s="35" t="s">
        <v>846</v>
      </c>
      <c r="I488" s="35" t="s">
        <v>41</v>
      </c>
      <c r="J488" s="35" t="s">
        <v>34</v>
      </c>
      <c r="K488" s="35" t="s">
        <v>35</v>
      </c>
      <c r="L488" s="35" t="s">
        <v>96</v>
      </c>
      <c r="M488" s="39">
        <v>31.0</v>
      </c>
      <c r="N488" s="44">
        <v>46198.0</v>
      </c>
      <c r="O488" s="42" t="b">
        <v>1</v>
      </c>
      <c r="P488" s="44">
        <v>46198.0</v>
      </c>
      <c r="Q488" s="34"/>
      <c r="R488" s="34"/>
      <c r="S488" s="34"/>
      <c r="T488" s="34"/>
    </row>
    <row r="489" ht="15.75" customHeight="1">
      <c r="B489" s="33">
        <v>46196.0</v>
      </c>
      <c r="C489" s="35">
        <v>20959.0</v>
      </c>
      <c r="D489" s="35">
        <v>10.0</v>
      </c>
      <c r="E489" s="37">
        <v>89.99</v>
      </c>
      <c r="F489" s="38">
        <f t="shared" si="1"/>
        <v>899.9</v>
      </c>
      <c r="G489" s="35" t="s">
        <v>918</v>
      </c>
      <c r="H489" s="35" t="s">
        <v>512</v>
      </c>
      <c r="I489" s="35" t="s">
        <v>41</v>
      </c>
      <c r="J489" s="35" t="s">
        <v>34</v>
      </c>
      <c r="K489" s="35" t="s">
        <v>35</v>
      </c>
      <c r="L489" s="35" t="s">
        <v>96</v>
      </c>
      <c r="M489" s="39">
        <v>31.0</v>
      </c>
      <c r="N489" s="44">
        <v>46198.0</v>
      </c>
      <c r="O489" s="42" t="b">
        <v>1</v>
      </c>
      <c r="P489" s="44">
        <v>46198.0</v>
      </c>
      <c r="Q489" s="34"/>
      <c r="R489" s="34"/>
      <c r="S489" s="34"/>
      <c r="T489" s="34"/>
    </row>
    <row r="490" ht="15.75" customHeight="1">
      <c r="B490" s="33">
        <v>46196.0</v>
      </c>
      <c r="C490" s="35">
        <v>20959.0</v>
      </c>
      <c r="D490" s="35">
        <v>10.0</v>
      </c>
      <c r="E490" s="37">
        <v>89.99</v>
      </c>
      <c r="F490" s="38">
        <f t="shared" si="1"/>
        <v>899.9</v>
      </c>
      <c r="G490" s="35" t="s">
        <v>2191</v>
      </c>
      <c r="H490" s="35" t="s">
        <v>2192</v>
      </c>
      <c r="I490" s="35" t="s">
        <v>41</v>
      </c>
      <c r="J490" s="35" t="s">
        <v>34</v>
      </c>
      <c r="K490" s="35" t="s">
        <v>35</v>
      </c>
      <c r="L490" s="35" t="s">
        <v>96</v>
      </c>
      <c r="M490" s="39">
        <v>31.0</v>
      </c>
      <c r="N490" s="44">
        <v>46198.0</v>
      </c>
      <c r="O490" s="42" t="b">
        <v>1</v>
      </c>
      <c r="P490" s="44">
        <v>46198.0</v>
      </c>
      <c r="Q490" s="34"/>
      <c r="R490" s="34"/>
      <c r="S490" s="34"/>
      <c r="T490" s="34"/>
    </row>
    <row r="491" ht="15.75" customHeight="1">
      <c r="B491" s="33">
        <v>46196.0</v>
      </c>
      <c r="C491" s="35">
        <v>20959.0</v>
      </c>
      <c r="D491" s="35">
        <v>20.0</v>
      </c>
      <c r="E491" s="37">
        <v>79.9</v>
      </c>
      <c r="F491" s="38">
        <f t="shared" si="1"/>
        <v>1598</v>
      </c>
      <c r="G491" s="35" t="s">
        <v>902</v>
      </c>
      <c r="H491" s="35" t="s">
        <v>732</v>
      </c>
      <c r="I491" s="35" t="s">
        <v>41</v>
      </c>
      <c r="J491" s="35" t="s">
        <v>34</v>
      </c>
      <c r="K491" s="35" t="s">
        <v>35</v>
      </c>
      <c r="L491" s="35" t="s">
        <v>96</v>
      </c>
      <c r="M491" s="39">
        <v>31.0</v>
      </c>
      <c r="N491" s="44">
        <v>46198.0</v>
      </c>
      <c r="O491" s="42" t="b">
        <v>1</v>
      </c>
      <c r="P491" s="44">
        <v>46198.0</v>
      </c>
      <c r="Q491" s="34"/>
      <c r="R491" s="34"/>
      <c r="S491" s="34"/>
      <c r="T491" s="34"/>
    </row>
    <row r="492" ht="15.75" customHeight="1">
      <c r="B492" s="33">
        <v>46196.0</v>
      </c>
      <c r="C492" s="35">
        <v>20959.0</v>
      </c>
      <c r="D492" s="35">
        <v>10.0</v>
      </c>
      <c r="E492" s="37">
        <v>79.9</v>
      </c>
      <c r="F492" s="38">
        <f t="shared" si="1"/>
        <v>799</v>
      </c>
      <c r="G492" s="35" t="s">
        <v>2262</v>
      </c>
      <c r="H492" s="35" t="s">
        <v>2263</v>
      </c>
      <c r="I492" s="35" t="s">
        <v>41</v>
      </c>
      <c r="J492" s="35" t="s">
        <v>34</v>
      </c>
      <c r="K492" s="35" t="s">
        <v>35</v>
      </c>
      <c r="L492" s="35" t="s">
        <v>96</v>
      </c>
      <c r="M492" s="39">
        <v>31.0</v>
      </c>
      <c r="N492" s="44">
        <v>46198.0</v>
      </c>
      <c r="O492" s="42" t="b">
        <v>1</v>
      </c>
      <c r="P492" s="44">
        <v>46198.0</v>
      </c>
      <c r="Q492" s="34"/>
      <c r="R492" s="34"/>
      <c r="S492" s="34"/>
      <c r="T492" s="34"/>
    </row>
    <row r="493" ht="15.75" customHeight="1">
      <c r="B493" s="33">
        <v>46196.0</v>
      </c>
      <c r="C493" s="35">
        <v>20959.0</v>
      </c>
      <c r="D493" s="35">
        <v>4.0</v>
      </c>
      <c r="E493" s="37">
        <v>169.9</v>
      </c>
      <c r="F493" s="38">
        <f t="shared" si="1"/>
        <v>679.6</v>
      </c>
      <c r="G493" s="35" t="s">
        <v>1278</v>
      </c>
      <c r="H493" s="35" t="s">
        <v>184</v>
      </c>
      <c r="I493" s="35" t="s">
        <v>41</v>
      </c>
      <c r="J493" s="35" t="s">
        <v>34</v>
      </c>
      <c r="K493" s="35" t="s">
        <v>35</v>
      </c>
      <c r="L493" s="35" t="s">
        <v>96</v>
      </c>
      <c r="M493" s="39">
        <v>31.0</v>
      </c>
      <c r="N493" s="44">
        <v>46198.0</v>
      </c>
      <c r="O493" s="42" t="b">
        <v>1</v>
      </c>
      <c r="P493" s="44">
        <v>46198.0</v>
      </c>
      <c r="Q493" s="34"/>
      <c r="R493" s="34"/>
      <c r="S493" s="34"/>
      <c r="T493" s="34"/>
    </row>
    <row r="494" ht="15.75" customHeight="1">
      <c r="B494" s="33">
        <v>46196.0</v>
      </c>
      <c r="C494" s="35">
        <v>20959.0</v>
      </c>
      <c r="D494" s="35">
        <v>50.0</v>
      </c>
      <c r="E494" s="37">
        <v>99.9</v>
      </c>
      <c r="F494" s="38">
        <f t="shared" si="1"/>
        <v>4995</v>
      </c>
      <c r="G494" s="35" t="s">
        <v>2202</v>
      </c>
      <c r="H494" s="35" t="s">
        <v>2203</v>
      </c>
      <c r="I494" s="35" t="s">
        <v>41</v>
      </c>
      <c r="J494" s="35" t="s">
        <v>34</v>
      </c>
      <c r="K494" s="35" t="s">
        <v>35</v>
      </c>
      <c r="L494" s="35" t="s">
        <v>96</v>
      </c>
      <c r="M494" s="39">
        <v>31.0</v>
      </c>
      <c r="N494" s="44">
        <v>46198.0</v>
      </c>
      <c r="O494" s="42" t="b">
        <v>1</v>
      </c>
      <c r="P494" s="44">
        <v>46198.0</v>
      </c>
      <c r="Q494" s="34"/>
      <c r="R494" s="34"/>
      <c r="S494" s="34"/>
      <c r="T494" s="34"/>
    </row>
    <row r="495" ht="15.75" customHeight="1">
      <c r="B495" s="33">
        <v>46196.0</v>
      </c>
      <c r="C495" s="35">
        <v>20959.0</v>
      </c>
      <c r="D495" s="35">
        <v>100.0</v>
      </c>
      <c r="E495" s="37">
        <v>70.99</v>
      </c>
      <c r="F495" s="38">
        <f t="shared" si="1"/>
        <v>7099</v>
      </c>
      <c r="G495" s="35" t="s">
        <v>416</v>
      </c>
      <c r="H495" s="35" t="s">
        <v>545</v>
      </c>
      <c r="I495" s="35" t="s">
        <v>41</v>
      </c>
      <c r="J495" s="35" t="s">
        <v>34</v>
      </c>
      <c r="K495" s="35" t="s">
        <v>35</v>
      </c>
      <c r="L495" s="35" t="s">
        <v>96</v>
      </c>
      <c r="M495" s="39">
        <v>31.0</v>
      </c>
      <c r="N495" s="44">
        <v>46198.0</v>
      </c>
      <c r="O495" s="42" t="b">
        <v>1</v>
      </c>
      <c r="P495" s="44">
        <v>46198.0</v>
      </c>
      <c r="Q495" s="34"/>
      <c r="R495" s="34"/>
      <c r="S495" s="34"/>
      <c r="T495" s="34"/>
    </row>
    <row r="496" ht="15.75" customHeight="1">
      <c r="B496" s="33">
        <v>46196.0</v>
      </c>
      <c r="C496" s="35">
        <v>20959.0</v>
      </c>
      <c r="D496" s="35">
        <v>25.0</v>
      </c>
      <c r="E496" s="37">
        <v>229.9</v>
      </c>
      <c r="F496" s="38">
        <f t="shared" si="1"/>
        <v>5747.5</v>
      </c>
      <c r="G496" s="35" t="s">
        <v>2205</v>
      </c>
      <c r="H496" s="35" t="s">
        <v>2207</v>
      </c>
      <c r="I496" s="35" t="s">
        <v>41</v>
      </c>
      <c r="J496" s="35" t="s">
        <v>34</v>
      </c>
      <c r="K496" s="35" t="s">
        <v>35</v>
      </c>
      <c r="L496" s="35" t="s">
        <v>96</v>
      </c>
      <c r="M496" s="39">
        <v>31.0</v>
      </c>
      <c r="N496" s="44">
        <v>46198.0</v>
      </c>
      <c r="O496" s="42" t="b">
        <v>1</v>
      </c>
      <c r="P496" s="44">
        <v>46198.0</v>
      </c>
      <c r="Q496" s="34"/>
      <c r="R496" s="34"/>
      <c r="S496" s="34"/>
      <c r="T496" s="34"/>
    </row>
    <row r="497" ht="15.75" customHeight="1">
      <c r="B497" s="33">
        <v>46196.0</v>
      </c>
      <c r="C497" s="35">
        <v>20959.0</v>
      </c>
      <c r="D497" s="35">
        <v>20.0</v>
      </c>
      <c r="E497" s="37">
        <v>109.9</v>
      </c>
      <c r="F497" s="38">
        <f t="shared" si="1"/>
        <v>2198</v>
      </c>
      <c r="G497" s="35" t="s">
        <v>416</v>
      </c>
      <c r="H497" s="35" t="s">
        <v>417</v>
      </c>
      <c r="I497" s="35" t="s">
        <v>41</v>
      </c>
      <c r="J497" s="35" t="s">
        <v>34</v>
      </c>
      <c r="K497" s="35" t="s">
        <v>35</v>
      </c>
      <c r="L497" s="35" t="s">
        <v>96</v>
      </c>
      <c r="M497" s="39">
        <v>31.0</v>
      </c>
      <c r="N497" s="44">
        <v>46198.0</v>
      </c>
      <c r="O497" s="42" t="b">
        <v>1</v>
      </c>
      <c r="P497" s="44">
        <v>46198.0</v>
      </c>
      <c r="Q497" s="34"/>
      <c r="R497" s="34"/>
      <c r="S497" s="34"/>
      <c r="T497" s="34"/>
    </row>
    <row r="498" ht="15.75" customHeight="1">
      <c r="B498" s="33">
        <v>46196.0</v>
      </c>
      <c r="C498" s="35">
        <v>20959.0</v>
      </c>
      <c r="D498" s="35">
        <v>10.0</v>
      </c>
      <c r="E498" s="37">
        <v>79.9</v>
      </c>
      <c r="F498" s="38">
        <f t="shared" si="1"/>
        <v>799</v>
      </c>
      <c r="G498" s="35" t="s">
        <v>1228</v>
      </c>
      <c r="H498" s="35" t="s">
        <v>1229</v>
      </c>
      <c r="I498" s="35" t="s">
        <v>41</v>
      </c>
      <c r="J498" s="35" t="s">
        <v>34</v>
      </c>
      <c r="K498" s="35" t="s">
        <v>35</v>
      </c>
      <c r="L498" s="35" t="s">
        <v>96</v>
      </c>
      <c r="M498" s="39">
        <v>31.0</v>
      </c>
      <c r="N498" s="44">
        <v>46198.0</v>
      </c>
      <c r="O498" s="42" t="b">
        <v>1</v>
      </c>
      <c r="P498" s="44">
        <v>46198.0</v>
      </c>
      <c r="Q498" s="34"/>
      <c r="R498" s="34"/>
      <c r="S498" s="34"/>
      <c r="T498" s="34"/>
    </row>
    <row r="499" ht="15.75" customHeight="1">
      <c r="B499" s="33">
        <v>46196.0</v>
      </c>
      <c r="C499" s="35">
        <v>20959.0</v>
      </c>
      <c r="D499" s="35">
        <v>120.0</v>
      </c>
      <c r="E499" s="37">
        <v>14.9</v>
      </c>
      <c r="F499" s="38">
        <f t="shared" si="1"/>
        <v>1788</v>
      </c>
      <c r="G499" s="35" t="s">
        <v>4180</v>
      </c>
      <c r="H499" s="35" t="s">
        <v>395</v>
      </c>
      <c r="I499" s="35" t="s">
        <v>41</v>
      </c>
      <c r="J499" s="35" t="s">
        <v>34</v>
      </c>
      <c r="K499" s="35" t="s">
        <v>35</v>
      </c>
      <c r="L499" s="35" t="s">
        <v>96</v>
      </c>
      <c r="M499" s="39">
        <v>31.0</v>
      </c>
      <c r="N499" s="44">
        <v>46198.0</v>
      </c>
      <c r="O499" s="42" t="b">
        <v>1</v>
      </c>
      <c r="P499" s="44">
        <v>46198.0</v>
      </c>
      <c r="Q499" s="34"/>
      <c r="R499" s="34"/>
      <c r="S499" s="34"/>
      <c r="T499" s="34"/>
    </row>
    <row r="500" ht="15.75" customHeight="1">
      <c r="B500" s="33">
        <v>46196.0</v>
      </c>
      <c r="C500" s="35">
        <v>20959.0</v>
      </c>
      <c r="D500" s="35">
        <v>40.0</v>
      </c>
      <c r="E500" s="37">
        <v>59.9</v>
      </c>
      <c r="F500" s="38">
        <f t="shared" si="1"/>
        <v>2396</v>
      </c>
      <c r="G500" s="35" t="s">
        <v>4180</v>
      </c>
      <c r="H500" s="35" t="s">
        <v>4187</v>
      </c>
      <c r="I500" s="35" t="s">
        <v>41</v>
      </c>
      <c r="J500" s="35" t="s">
        <v>34</v>
      </c>
      <c r="K500" s="35" t="s">
        <v>35</v>
      </c>
      <c r="L500" s="35" t="s">
        <v>96</v>
      </c>
      <c r="M500" s="39">
        <v>31.0</v>
      </c>
      <c r="N500" s="44">
        <v>46198.0</v>
      </c>
      <c r="O500" s="42" t="b">
        <v>1</v>
      </c>
      <c r="P500" s="44">
        <v>46198.0</v>
      </c>
      <c r="Q500" s="34"/>
      <c r="R500" s="34"/>
      <c r="S500" s="34"/>
      <c r="T500" s="34"/>
    </row>
    <row r="501" ht="15.75" customHeight="1">
      <c r="B501" s="33">
        <v>46196.0</v>
      </c>
      <c r="C501" s="35">
        <v>20959.0</v>
      </c>
      <c r="D501" s="35">
        <v>50.0</v>
      </c>
      <c r="E501" s="37">
        <v>39.9</v>
      </c>
      <c r="F501" s="38">
        <f t="shared" si="1"/>
        <v>1995</v>
      </c>
      <c r="G501" s="35" t="s">
        <v>4191</v>
      </c>
      <c r="H501" s="35" t="s">
        <v>862</v>
      </c>
      <c r="I501" s="35" t="s">
        <v>41</v>
      </c>
      <c r="J501" s="35" t="s">
        <v>34</v>
      </c>
      <c r="K501" s="35" t="s">
        <v>35</v>
      </c>
      <c r="L501" s="35" t="s">
        <v>96</v>
      </c>
      <c r="M501" s="39">
        <v>31.0</v>
      </c>
      <c r="N501" s="44">
        <v>46198.0</v>
      </c>
      <c r="O501" s="42" t="b">
        <v>1</v>
      </c>
      <c r="P501" s="44">
        <v>46198.0</v>
      </c>
      <c r="Q501" s="34"/>
      <c r="R501" s="34"/>
      <c r="S501" s="34"/>
      <c r="T501" s="34"/>
    </row>
    <row r="502" ht="15.75" customHeight="1">
      <c r="B502" s="33">
        <v>46196.0</v>
      </c>
      <c r="C502" s="35">
        <v>20959.0</v>
      </c>
      <c r="D502" s="35">
        <v>12.0</v>
      </c>
      <c r="E502" s="37">
        <v>79.9</v>
      </c>
      <c r="F502" s="38">
        <f t="shared" si="1"/>
        <v>958.8</v>
      </c>
      <c r="G502" s="35" t="s">
        <v>4196</v>
      </c>
      <c r="H502" s="35" t="s">
        <v>872</v>
      </c>
      <c r="I502" s="35" t="s">
        <v>41</v>
      </c>
      <c r="J502" s="35" t="s">
        <v>34</v>
      </c>
      <c r="K502" s="35" t="s">
        <v>35</v>
      </c>
      <c r="L502" s="35" t="s">
        <v>96</v>
      </c>
      <c r="M502" s="39">
        <v>31.0</v>
      </c>
      <c r="N502" s="40">
        <v>46198.0</v>
      </c>
      <c r="O502" s="42" t="b">
        <v>1</v>
      </c>
      <c r="P502" s="44">
        <v>46198.0</v>
      </c>
      <c r="Q502" s="34"/>
      <c r="R502" s="34"/>
      <c r="S502" s="34"/>
      <c r="T502" s="34"/>
    </row>
    <row r="503" ht="15.75" customHeight="1">
      <c r="B503" s="33">
        <v>46196.0</v>
      </c>
      <c r="C503" s="35">
        <v>20959.0</v>
      </c>
      <c r="D503" s="35">
        <v>120.0</v>
      </c>
      <c r="E503" s="37">
        <v>18.99</v>
      </c>
      <c r="F503" s="38">
        <f t="shared" si="1"/>
        <v>2278.8</v>
      </c>
      <c r="G503" s="35" t="s">
        <v>4061</v>
      </c>
      <c r="H503" s="35" t="s">
        <v>1242</v>
      </c>
      <c r="I503" s="35" t="s">
        <v>41</v>
      </c>
      <c r="J503" s="35" t="s">
        <v>34</v>
      </c>
      <c r="K503" s="35" t="s">
        <v>35</v>
      </c>
      <c r="L503" s="35" t="s">
        <v>96</v>
      </c>
      <c r="M503" s="39">
        <v>31.0</v>
      </c>
      <c r="N503" s="44">
        <v>46198.0</v>
      </c>
      <c r="O503" s="42" t="b">
        <v>1</v>
      </c>
      <c r="P503" s="44">
        <v>46198.0</v>
      </c>
      <c r="Q503" s="34"/>
      <c r="R503" s="34"/>
      <c r="S503" s="34"/>
      <c r="T503" s="34"/>
    </row>
    <row r="504" ht="15.75" customHeight="1">
      <c r="B504" s="33">
        <v>46197.0</v>
      </c>
      <c r="C504" s="35">
        <v>1035.0</v>
      </c>
      <c r="D504" s="35">
        <v>100.0</v>
      </c>
      <c r="E504" s="37">
        <v>180.0</v>
      </c>
      <c r="F504" s="38">
        <f t="shared" si="1"/>
        <v>18000</v>
      </c>
      <c r="G504" s="35" t="s">
        <v>665</v>
      </c>
      <c r="H504" s="35" t="s">
        <v>1131</v>
      </c>
      <c r="I504" s="35" t="s">
        <v>59</v>
      </c>
      <c r="J504" s="35" t="s">
        <v>34</v>
      </c>
      <c r="K504" s="35" t="s">
        <v>35</v>
      </c>
      <c r="L504" s="35" t="s">
        <v>132</v>
      </c>
      <c r="M504" s="39">
        <v>31.0</v>
      </c>
      <c r="N504" s="40">
        <v>46197.0</v>
      </c>
      <c r="O504" s="42" t="b">
        <v>0</v>
      </c>
      <c r="P504" s="44"/>
      <c r="Q504" s="34"/>
      <c r="R504" s="34"/>
      <c r="S504" s="34"/>
      <c r="T504" s="34"/>
    </row>
    <row r="505" ht="15.75" customHeight="1">
      <c r="B505" s="33">
        <v>46197.0</v>
      </c>
      <c r="C505" s="46" t="s">
        <v>4213</v>
      </c>
      <c r="D505" s="35">
        <v>12.0</v>
      </c>
      <c r="E505" s="37">
        <v>3600.0</v>
      </c>
      <c r="F505" s="38">
        <f t="shared" si="1"/>
        <v>43200</v>
      </c>
      <c r="G505" s="35" t="s">
        <v>4218</v>
      </c>
      <c r="H505" s="35" t="s">
        <v>1193</v>
      </c>
      <c r="I505" s="35" t="s">
        <v>174</v>
      </c>
      <c r="J505" s="35" t="s">
        <v>175</v>
      </c>
      <c r="K505" s="35" t="s">
        <v>35</v>
      </c>
      <c r="L505" s="35" t="s">
        <v>151</v>
      </c>
      <c r="M505" s="39">
        <v>31.0</v>
      </c>
      <c r="N505" s="40">
        <v>46199.0</v>
      </c>
      <c r="O505" s="42" t="b">
        <v>1</v>
      </c>
      <c r="P505" s="44">
        <v>46199.0</v>
      </c>
      <c r="Q505" s="34"/>
      <c r="R505" s="34"/>
      <c r="S505" s="34"/>
      <c r="T505" s="34"/>
    </row>
    <row r="506" ht="15.75" customHeight="1">
      <c r="B506" s="33">
        <v>46197.0</v>
      </c>
      <c r="C506" s="35" t="s">
        <v>35</v>
      </c>
      <c r="D506" s="35">
        <v>5.0</v>
      </c>
      <c r="E506" s="37">
        <v>460.0</v>
      </c>
      <c r="F506" s="38">
        <f t="shared" si="1"/>
        <v>2300</v>
      </c>
      <c r="G506" s="35" t="s">
        <v>4227</v>
      </c>
      <c r="H506" s="35" t="s">
        <v>312</v>
      </c>
      <c r="I506" s="35" t="s">
        <v>41</v>
      </c>
      <c r="J506" s="35" t="s">
        <v>34</v>
      </c>
      <c r="K506" s="35" t="s">
        <v>35</v>
      </c>
      <c r="L506" s="35" t="s">
        <v>868</v>
      </c>
      <c r="M506" s="39">
        <v>31.0</v>
      </c>
      <c r="N506" s="51" t="str">
        <f>IF(B506&lt;TODAY()-2,"ATRASADO","EM DIA")</f>
        <v>ATRASADO</v>
      </c>
      <c r="O506" s="42" t="b">
        <v>0</v>
      </c>
      <c r="P506" s="44"/>
      <c r="Q506" s="34"/>
      <c r="R506" s="35" t="s">
        <v>3316</v>
      </c>
      <c r="S506" s="34"/>
      <c r="T506" s="34"/>
    </row>
    <row r="507" ht="15.75" customHeight="1">
      <c r="B507" s="33">
        <v>46197.0</v>
      </c>
      <c r="C507" s="35" t="s">
        <v>35</v>
      </c>
      <c r="D507" s="35">
        <v>5.0</v>
      </c>
      <c r="E507" s="37">
        <v>160.0</v>
      </c>
      <c r="F507" s="38">
        <f t="shared" si="1"/>
        <v>800</v>
      </c>
      <c r="G507" s="35" t="s">
        <v>4237</v>
      </c>
      <c r="H507" s="35" t="s">
        <v>4237</v>
      </c>
      <c r="I507" s="35" t="s">
        <v>41</v>
      </c>
      <c r="J507" s="35" t="s">
        <v>34</v>
      </c>
      <c r="K507" s="35" t="s">
        <v>35</v>
      </c>
      <c r="L507" s="35" t="s">
        <v>868</v>
      </c>
      <c r="M507" s="39">
        <v>31.0</v>
      </c>
      <c r="N507" s="40">
        <v>46197.0</v>
      </c>
      <c r="O507" s="42" t="b">
        <v>1</v>
      </c>
      <c r="P507" s="44">
        <v>46198.0</v>
      </c>
      <c r="Q507" s="34"/>
      <c r="R507" s="33">
        <v>46197.0</v>
      </c>
      <c r="S507" s="34"/>
      <c r="T507" s="34"/>
    </row>
    <row r="508" ht="15.75" customHeight="1">
      <c r="B508" s="33">
        <v>46197.0</v>
      </c>
      <c r="C508" s="35" t="s">
        <v>35</v>
      </c>
      <c r="D508" s="35">
        <v>5.0</v>
      </c>
      <c r="E508" s="37">
        <v>350.0</v>
      </c>
      <c r="F508" s="38">
        <f t="shared" si="1"/>
        <v>1750</v>
      </c>
      <c r="G508" s="35" t="s">
        <v>4243</v>
      </c>
      <c r="H508" s="35" t="s">
        <v>4243</v>
      </c>
      <c r="I508" s="35" t="s">
        <v>41</v>
      </c>
      <c r="J508" s="35" t="s">
        <v>34</v>
      </c>
      <c r="K508" s="35" t="s">
        <v>35</v>
      </c>
      <c r="L508" s="35" t="s">
        <v>868</v>
      </c>
      <c r="M508" s="39">
        <v>31.0</v>
      </c>
      <c r="N508" s="40">
        <v>46197.0</v>
      </c>
      <c r="O508" s="42" t="b">
        <v>1</v>
      </c>
      <c r="P508" s="44">
        <v>46198.0</v>
      </c>
      <c r="Q508" s="34"/>
      <c r="R508" s="33">
        <v>46197.0</v>
      </c>
      <c r="S508" s="34"/>
      <c r="T508" s="34"/>
    </row>
    <row r="509" ht="15.75" customHeight="1">
      <c r="B509" s="33">
        <v>46197.0</v>
      </c>
      <c r="C509" s="35" t="s">
        <v>35</v>
      </c>
      <c r="D509" s="35">
        <v>5.0</v>
      </c>
      <c r="E509" s="37">
        <v>400.0</v>
      </c>
      <c r="F509" s="38">
        <f t="shared" si="1"/>
        <v>2000</v>
      </c>
      <c r="G509" s="35" t="s">
        <v>2302</v>
      </c>
      <c r="H509" s="35" t="s">
        <v>2302</v>
      </c>
      <c r="I509" s="35" t="s">
        <v>41</v>
      </c>
      <c r="J509" s="35" t="s">
        <v>34</v>
      </c>
      <c r="K509" s="35" t="s">
        <v>35</v>
      </c>
      <c r="L509" s="35" t="s">
        <v>868</v>
      </c>
      <c r="M509" s="39">
        <v>31.0</v>
      </c>
      <c r="N509" s="40">
        <v>46197.0</v>
      </c>
      <c r="O509" s="42" t="b">
        <v>1</v>
      </c>
      <c r="P509" s="44">
        <v>46198.0</v>
      </c>
      <c r="Q509" s="34"/>
      <c r="R509" s="33">
        <v>46197.0</v>
      </c>
      <c r="S509" s="34"/>
      <c r="T509" s="34"/>
    </row>
    <row r="510" ht="15.75" customHeight="1">
      <c r="B510" s="33">
        <v>46197.0</v>
      </c>
      <c r="C510" s="35">
        <v>11890.0</v>
      </c>
      <c r="D510" s="35">
        <v>1500.0</v>
      </c>
      <c r="E510" s="37">
        <v>1.2</v>
      </c>
      <c r="F510" s="38">
        <f t="shared" si="1"/>
        <v>1800</v>
      </c>
      <c r="G510" s="35" t="s">
        <v>4248</v>
      </c>
      <c r="H510" s="35" t="s">
        <v>631</v>
      </c>
      <c r="I510" s="35" t="s">
        <v>59</v>
      </c>
      <c r="J510" s="35" t="s">
        <v>34</v>
      </c>
      <c r="K510" s="35" t="s">
        <v>35</v>
      </c>
      <c r="L510" s="35" t="s">
        <v>87</v>
      </c>
      <c r="M510" s="39">
        <v>31.0</v>
      </c>
      <c r="N510" s="40">
        <v>46196.0</v>
      </c>
      <c r="O510" s="42" t="b">
        <v>1</v>
      </c>
      <c r="P510" s="44">
        <v>46197.0</v>
      </c>
      <c r="Q510" s="34"/>
      <c r="R510" s="34"/>
      <c r="S510" s="34"/>
      <c r="T510" s="34"/>
    </row>
    <row r="511" ht="15.75" customHeight="1">
      <c r="B511" s="33">
        <v>46197.0</v>
      </c>
      <c r="C511" s="35">
        <v>11890.0</v>
      </c>
      <c r="D511" s="35">
        <v>1800.0</v>
      </c>
      <c r="E511" s="37">
        <v>2.1</v>
      </c>
      <c r="F511" s="38">
        <f t="shared" si="1"/>
        <v>3780</v>
      </c>
      <c r="G511" s="35" t="s">
        <v>4254</v>
      </c>
      <c r="H511" s="35" t="s">
        <v>4255</v>
      </c>
      <c r="I511" s="35" t="s">
        <v>59</v>
      </c>
      <c r="J511" s="35" t="s">
        <v>34</v>
      </c>
      <c r="K511" s="35" t="s">
        <v>35</v>
      </c>
      <c r="L511" s="35" t="s">
        <v>87</v>
      </c>
      <c r="M511" s="39">
        <v>31.0</v>
      </c>
      <c r="N511" s="40">
        <v>46196.0</v>
      </c>
      <c r="O511" s="42" t="b">
        <v>1</v>
      </c>
      <c r="P511" s="44">
        <v>46197.0</v>
      </c>
      <c r="Q511" s="34"/>
      <c r="R511" s="34"/>
      <c r="S511" s="34"/>
      <c r="T511" s="34"/>
    </row>
    <row r="512" ht="15.75" customHeight="1">
      <c r="B512" s="33">
        <v>46197.0</v>
      </c>
      <c r="C512" s="35">
        <v>11890.0</v>
      </c>
      <c r="D512" s="35">
        <v>900.0</v>
      </c>
      <c r="E512" s="37">
        <v>2.1</v>
      </c>
      <c r="F512" s="38">
        <f t="shared" si="1"/>
        <v>1890</v>
      </c>
      <c r="G512" s="35" t="s">
        <v>4261</v>
      </c>
      <c r="H512" s="35" t="s">
        <v>643</v>
      </c>
      <c r="I512" s="35" t="s">
        <v>59</v>
      </c>
      <c r="J512" s="35" t="s">
        <v>34</v>
      </c>
      <c r="K512" s="35" t="s">
        <v>35</v>
      </c>
      <c r="L512" s="35" t="s">
        <v>87</v>
      </c>
      <c r="M512" s="39">
        <v>31.0</v>
      </c>
      <c r="N512" s="40">
        <v>46196.0</v>
      </c>
      <c r="O512" s="42" t="b">
        <v>1</v>
      </c>
      <c r="P512" s="44">
        <v>46197.0</v>
      </c>
      <c r="Q512" s="34"/>
      <c r="R512" s="34"/>
      <c r="S512" s="34"/>
      <c r="T512" s="34"/>
    </row>
    <row r="513" ht="15.75" customHeight="1">
      <c r="B513" s="33">
        <v>46197.0</v>
      </c>
      <c r="C513" s="35">
        <v>11891.0</v>
      </c>
      <c r="D513" s="35">
        <v>100.0</v>
      </c>
      <c r="E513" s="37">
        <v>106.0</v>
      </c>
      <c r="F513" s="38">
        <f t="shared" si="1"/>
        <v>10600</v>
      </c>
      <c r="G513" s="35" t="s">
        <v>3340</v>
      </c>
      <c r="H513" s="35" t="s">
        <v>3341</v>
      </c>
      <c r="I513" s="35" t="s">
        <v>59</v>
      </c>
      <c r="J513" s="35" t="s">
        <v>34</v>
      </c>
      <c r="K513" s="35" t="s">
        <v>35</v>
      </c>
      <c r="L513" s="35" t="s">
        <v>87</v>
      </c>
      <c r="M513" s="39">
        <v>31.0</v>
      </c>
      <c r="N513" s="51" t="str">
        <f>IF(B513&lt;TODAY()-2,"ATRASADO","EM DIA")</f>
        <v>ATRASADO</v>
      </c>
      <c r="O513" s="42" t="b">
        <v>0</v>
      </c>
      <c r="P513" s="44"/>
      <c r="Q513" s="34"/>
      <c r="R513" s="34"/>
      <c r="S513" s="34"/>
      <c r="T513" s="34"/>
    </row>
    <row r="514" ht="15.75" customHeight="1">
      <c r="B514" s="33">
        <v>46197.0</v>
      </c>
      <c r="C514" s="35">
        <v>624026.0</v>
      </c>
      <c r="D514" s="35">
        <v>1.0</v>
      </c>
      <c r="E514" s="37">
        <v>1412.95</v>
      </c>
      <c r="F514" s="38">
        <f t="shared" si="1"/>
        <v>1412.95</v>
      </c>
      <c r="G514" s="35" t="s">
        <v>4276</v>
      </c>
      <c r="H514" s="35" t="s">
        <v>2246</v>
      </c>
      <c r="I514" s="35" t="s">
        <v>41</v>
      </c>
      <c r="J514" s="35" t="s">
        <v>34</v>
      </c>
      <c r="K514" s="35" t="s">
        <v>35</v>
      </c>
      <c r="L514" s="35" t="s">
        <v>2232</v>
      </c>
      <c r="M514" s="39">
        <v>1.0</v>
      </c>
      <c r="N514" s="40">
        <v>46199.0</v>
      </c>
      <c r="O514" s="42" t="b">
        <v>0</v>
      </c>
      <c r="P514" s="44"/>
      <c r="Q514" s="34"/>
      <c r="R514" s="34"/>
      <c r="S514" s="34"/>
      <c r="T514" s="34"/>
    </row>
    <row r="515" ht="15.75" customHeight="1">
      <c r="B515" s="33">
        <v>46197.0</v>
      </c>
      <c r="C515" s="35">
        <v>624026.0</v>
      </c>
      <c r="D515" s="35">
        <v>48.0</v>
      </c>
      <c r="E515" s="37">
        <v>277.2</v>
      </c>
      <c r="F515" s="38">
        <f t="shared" si="1"/>
        <v>13305.6</v>
      </c>
      <c r="G515" s="35" t="s">
        <v>4280</v>
      </c>
      <c r="H515" s="35" t="s">
        <v>4281</v>
      </c>
      <c r="I515" s="35" t="s">
        <v>41</v>
      </c>
      <c r="J515" s="35" t="s">
        <v>34</v>
      </c>
      <c r="K515" s="35" t="s">
        <v>35</v>
      </c>
      <c r="L515" s="35" t="s">
        <v>2232</v>
      </c>
      <c r="M515" s="39">
        <v>1.0</v>
      </c>
      <c r="N515" s="40">
        <v>46199.0</v>
      </c>
      <c r="O515" s="42" t="b">
        <v>1</v>
      </c>
      <c r="P515" s="44">
        <v>46218.0</v>
      </c>
      <c r="Q515" s="34"/>
      <c r="R515" s="34"/>
      <c r="S515" s="34"/>
      <c r="T515" s="34"/>
    </row>
    <row r="516" ht="15.75" customHeight="1">
      <c r="B516" s="33">
        <v>46197.0</v>
      </c>
      <c r="C516" s="35">
        <v>624025.0</v>
      </c>
      <c r="D516" s="35">
        <v>100.0</v>
      </c>
      <c r="E516" s="37">
        <v>8.47</v>
      </c>
      <c r="F516" s="38">
        <f t="shared" si="1"/>
        <v>847</v>
      </c>
      <c r="G516" s="35" t="s">
        <v>4284</v>
      </c>
      <c r="H516" s="35" t="s">
        <v>4285</v>
      </c>
      <c r="I516" s="35" t="s">
        <v>41</v>
      </c>
      <c r="J516" s="35" t="s">
        <v>34</v>
      </c>
      <c r="K516" s="35" t="s">
        <v>35</v>
      </c>
      <c r="L516" s="35" t="s">
        <v>2232</v>
      </c>
      <c r="M516" s="39">
        <v>1.0</v>
      </c>
      <c r="N516" s="40">
        <v>46199.0</v>
      </c>
      <c r="O516" s="42" t="b">
        <v>1</v>
      </c>
      <c r="P516" s="44">
        <v>46204.0</v>
      </c>
      <c r="Q516" s="34"/>
      <c r="R516" s="34"/>
      <c r="S516" s="34"/>
      <c r="T516" s="34"/>
    </row>
    <row r="517" ht="15.75" customHeight="1">
      <c r="B517" s="33">
        <v>46197.0</v>
      </c>
      <c r="C517" s="35">
        <v>624025.0</v>
      </c>
      <c r="D517" s="35">
        <v>100.0</v>
      </c>
      <c r="E517" s="37">
        <v>8.47</v>
      </c>
      <c r="F517" s="38">
        <f t="shared" si="1"/>
        <v>847</v>
      </c>
      <c r="G517" s="35" t="s">
        <v>4288</v>
      </c>
      <c r="H517" s="35" t="s">
        <v>4289</v>
      </c>
      <c r="I517" s="35" t="s">
        <v>41</v>
      </c>
      <c r="J517" s="35" t="s">
        <v>34</v>
      </c>
      <c r="K517" s="35" t="s">
        <v>35</v>
      </c>
      <c r="L517" s="35" t="s">
        <v>2232</v>
      </c>
      <c r="M517" s="39">
        <v>1.0</v>
      </c>
      <c r="N517" s="40">
        <v>46199.0</v>
      </c>
      <c r="O517" s="42" t="b">
        <v>1</v>
      </c>
      <c r="P517" s="44">
        <v>46204.0</v>
      </c>
      <c r="Q517" s="34"/>
      <c r="R517" s="34"/>
      <c r="S517" s="34"/>
      <c r="T517" s="34"/>
    </row>
    <row r="518" ht="15.75" customHeight="1">
      <c r="B518" s="33">
        <v>46197.0</v>
      </c>
      <c r="C518" s="35">
        <v>624025.0</v>
      </c>
      <c r="D518" s="35">
        <v>200.0</v>
      </c>
      <c r="E518" s="37">
        <v>15.4</v>
      </c>
      <c r="F518" s="38">
        <f t="shared" si="1"/>
        <v>3080</v>
      </c>
      <c r="G518" s="35" t="s">
        <v>4291</v>
      </c>
      <c r="H518" s="35" t="s">
        <v>4292</v>
      </c>
      <c r="I518" s="35" t="s">
        <v>41</v>
      </c>
      <c r="J518" s="35" t="s">
        <v>34</v>
      </c>
      <c r="K518" s="35" t="s">
        <v>35</v>
      </c>
      <c r="L518" s="35" t="s">
        <v>2232</v>
      </c>
      <c r="M518" s="39">
        <v>1.0</v>
      </c>
      <c r="N518" s="40">
        <v>46199.0</v>
      </c>
      <c r="O518" s="42" t="b">
        <v>1</v>
      </c>
      <c r="P518" s="44">
        <v>46204.0</v>
      </c>
      <c r="Q518" s="34"/>
      <c r="R518" s="34"/>
      <c r="S518" s="34"/>
      <c r="T518" s="34"/>
    </row>
    <row r="519" ht="15.75" customHeight="1">
      <c r="B519" s="33">
        <v>46197.0</v>
      </c>
      <c r="C519" s="35">
        <v>624025.0</v>
      </c>
      <c r="D519" s="35">
        <v>200.0</v>
      </c>
      <c r="E519" s="37">
        <v>15.4</v>
      </c>
      <c r="F519" s="38">
        <f t="shared" si="1"/>
        <v>3080</v>
      </c>
      <c r="G519" s="35" t="s">
        <v>4296</v>
      </c>
      <c r="H519" s="35" t="s">
        <v>4298</v>
      </c>
      <c r="I519" s="35" t="s">
        <v>41</v>
      </c>
      <c r="J519" s="35" t="s">
        <v>34</v>
      </c>
      <c r="K519" s="35" t="s">
        <v>35</v>
      </c>
      <c r="L519" s="35" t="s">
        <v>2232</v>
      </c>
      <c r="M519" s="39">
        <v>1.0</v>
      </c>
      <c r="N519" s="40">
        <v>46199.0</v>
      </c>
      <c r="O519" s="42" t="b">
        <v>1</v>
      </c>
      <c r="P519" s="44">
        <v>46204.0</v>
      </c>
      <c r="Q519" s="34"/>
      <c r="R519" s="34"/>
      <c r="S519" s="34"/>
      <c r="T519" s="34"/>
    </row>
    <row r="520" ht="15.75" customHeight="1">
      <c r="B520" s="33">
        <v>46197.0</v>
      </c>
      <c r="C520" s="35">
        <v>624025.0</v>
      </c>
      <c r="D520" s="35">
        <v>200.0</v>
      </c>
      <c r="E520" s="37">
        <v>13.86</v>
      </c>
      <c r="F520" s="38">
        <f t="shared" si="1"/>
        <v>2772</v>
      </c>
      <c r="G520" s="35" t="s">
        <v>4302</v>
      </c>
      <c r="H520" s="35" t="s">
        <v>4304</v>
      </c>
      <c r="I520" s="35" t="s">
        <v>41</v>
      </c>
      <c r="J520" s="35" t="s">
        <v>34</v>
      </c>
      <c r="K520" s="35" t="s">
        <v>35</v>
      </c>
      <c r="L520" s="35" t="s">
        <v>2232</v>
      </c>
      <c r="M520" s="39">
        <v>1.0</v>
      </c>
      <c r="N520" s="40">
        <v>46199.0</v>
      </c>
      <c r="O520" s="42" t="b">
        <v>1</v>
      </c>
      <c r="P520" s="44">
        <v>46204.0</v>
      </c>
      <c r="Q520" s="34"/>
      <c r="R520" s="34"/>
      <c r="S520" s="34"/>
      <c r="T520" s="34"/>
    </row>
    <row r="521" ht="15.75" customHeight="1">
      <c r="B521" s="33">
        <v>46197.0</v>
      </c>
      <c r="C521" s="35">
        <v>624025.0</v>
      </c>
      <c r="D521" s="35">
        <v>100.0</v>
      </c>
      <c r="E521" s="37">
        <v>30.8</v>
      </c>
      <c r="F521" s="38">
        <f t="shared" si="1"/>
        <v>3080</v>
      </c>
      <c r="G521" s="35" t="s">
        <v>4307</v>
      </c>
      <c r="H521" s="35" t="s">
        <v>4308</v>
      </c>
      <c r="I521" s="35" t="s">
        <v>41</v>
      </c>
      <c r="J521" s="35" t="s">
        <v>34</v>
      </c>
      <c r="K521" s="35" t="s">
        <v>35</v>
      </c>
      <c r="L521" s="35" t="s">
        <v>2232</v>
      </c>
      <c r="M521" s="39">
        <v>1.0</v>
      </c>
      <c r="N521" s="40">
        <v>46199.0</v>
      </c>
      <c r="O521" s="42" t="b">
        <v>1</v>
      </c>
      <c r="P521" s="44">
        <v>46204.0</v>
      </c>
      <c r="Q521" s="34"/>
      <c r="R521" s="34"/>
      <c r="S521" s="34"/>
      <c r="T521" s="34"/>
    </row>
    <row r="522" ht="15.75" customHeight="1">
      <c r="B522" s="33">
        <v>46197.0</v>
      </c>
      <c r="C522" s="35">
        <v>624025.0</v>
      </c>
      <c r="D522" s="35">
        <v>100.0</v>
      </c>
      <c r="E522" s="37">
        <v>32.34</v>
      </c>
      <c r="F522" s="38">
        <f t="shared" si="1"/>
        <v>3234</v>
      </c>
      <c r="G522" s="35" t="s">
        <v>4313</v>
      </c>
      <c r="H522" s="35" t="s">
        <v>4314</v>
      </c>
      <c r="I522" s="35" t="s">
        <v>41</v>
      </c>
      <c r="J522" s="35" t="s">
        <v>34</v>
      </c>
      <c r="K522" s="35" t="s">
        <v>35</v>
      </c>
      <c r="L522" s="35" t="s">
        <v>2232</v>
      </c>
      <c r="M522" s="39">
        <v>1.0</v>
      </c>
      <c r="N522" s="40">
        <v>46199.0</v>
      </c>
      <c r="O522" s="42" t="b">
        <v>1</v>
      </c>
      <c r="P522" s="44">
        <v>46204.0</v>
      </c>
      <c r="Q522" s="34"/>
      <c r="R522" s="34"/>
      <c r="S522" s="34"/>
      <c r="T522" s="34"/>
    </row>
    <row r="523" ht="15.75" customHeight="1">
      <c r="B523" s="33">
        <v>46197.0</v>
      </c>
      <c r="C523" s="35">
        <v>624025.0</v>
      </c>
      <c r="D523" s="35">
        <v>100.0</v>
      </c>
      <c r="E523" s="37">
        <v>32.34</v>
      </c>
      <c r="F523" s="38">
        <f t="shared" si="1"/>
        <v>3234</v>
      </c>
      <c r="G523" s="35" t="s">
        <v>4317</v>
      </c>
      <c r="H523" s="35" t="s">
        <v>4318</v>
      </c>
      <c r="I523" s="35" t="s">
        <v>41</v>
      </c>
      <c r="J523" s="35" t="s">
        <v>34</v>
      </c>
      <c r="K523" s="35" t="s">
        <v>35</v>
      </c>
      <c r="L523" s="35" t="s">
        <v>2232</v>
      </c>
      <c r="M523" s="39">
        <v>1.0</v>
      </c>
      <c r="N523" s="40">
        <v>46199.0</v>
      </c>
      <c r="O523" s="42" t="b">
        <v>1</v>
      </c>
      <c r="P523" s="44">
        <v>46204.0</v>
      </c>
      <c r="Q523" s="34"/>
      <c r="R523" s="34"/>
      <c r="S523" s="34"/>
      <c r="T523" s="34"/>
    </row>
    <row r="524" ht="15.75" customHeight="1">
      <c r="B524" s="33">
        <v>46197.0</v>
      </c>
      <c r="C524" s="35">
        <v>624025.0</v>
      </c>
      <c r="D524" s="35">
        <v>100.0</v>
      </c>
      <c r="E524" s="37">
        <v>34.65</v>
      </c>
      <c r="F524" s="38">
        <f t="shared" si="1"/>
        <v>3465</v>
      </c>
      <c r="G524" s="35" t="s">
        <v>4320</v>
      </c>
      <c r="H524" s="35" t="s">
        <v>4321</v>
      </c>
      <c r="I524" s="35" t="s">
        <v>41</v>
      </c>
      <c r="J524" s="35" t="s">
        <v>34</v>
      </c>
      <c r="K524" s="35" t="s">
        <v>35</v>
      </c>
      <c r="L524" s="35" t="s">
        <v>2232</v>
      </c>
      <c r="M524" s="39">
        <v>1.0</v>
      </c>
      <c r="N524" s="40">
        <v>46199.0</v>
      </c>
      <c r="O524" s="42" t="b">
        <v>1</v>
      </c>
      <c r="P524" s="44">
        <v>46204.0</v>
      </c>
      <c r="Q524" s="34"/>
      <c r="R524" s="34"/>
      <c r="S524" s="34"/>
      <c r="T524" s="34"/>
    </row>
    <row r="525" ht="15.75" customHeight="1">
      <c r="B525" s="33">
        <v>46197.0</v>
      </c>
      <c r="C525" s="35">
        <v>624025.0</v>
      </c>
      <c r="D525" s="35">
        <v>20.0</v>
      </c>
      <c r="E525" s="37">
        <v>103.95</v>
      </c>
      <c r="F525" s="38">
        <f t="shared" si="1"/>
        <v>2079</v>
      </c>
      <c r="G525" s="35" t="s">
        <v>3062</v>
      </c>
      <c r="H525" s="35" t="s">
        <v>4326</v>
      </c>
      <c r="I525" s="35" t="s">
        <v>41</v>
      </c>
      <c r="J525" s="35" t="s">
        <v>34</v>
      </c>
      <c r="K525" s="35" t="s">
        <v>35</v>
      </c>
      <c r="L525" s="35" t="s">
        <v>2232</v>
      </c>
      <c r="M525" s="39">
        <v>1.0</v>
      </c>
      <c r="N525" s="40">
        <v>46199.0</v>
      </c>
      <c r="O525" s="42" t="b">
        <v>1</v>
      </c>
      <c r="P525" s="44">
        <v>46204.0</v>
      </c>
      <c r="Q525" s="34"/>
      <c r="R525" s="34"/>
      <c r="S525" s="34"/>
      <c r="T525" s="34"/>
    </row>
    <row r="526" ht="15.75" customHeight="1">
      <c r="B526" s="33">
        <v>46197.0</v>
      </c>
      <c r="C526" s="35">
        <v>624025.0</v>
      </c>
      <c r="D526" s="35">
        <v>12.0</v>
      </c>
      <c r="E526" s="37">
        <v>211.75</v>
      </c>
      <c r="F526" s="38">
        <f t="shared" si="1"/>
        <v>2541</v>
      </c>
      <c r="G526" s="35" t="s">
        <v>4331</v>
      </c>
      <c r="H526" s="35" t="s">
        <v>4332</v>
      </c>
      <c r="I526" s="35" t="s">
        <v>41</v>
      </c>
      <c r="J526" s="35" t="s">
        <v>34</v>
      </c>
      <c r="K526" s="35" t="s">
        <v>35</v>
      </c>
      <c r="L526" s="35" t="s">
        <v>2232</v>
      </c>
      <c r="M526" s="39">
        <v>1.0</v>
      </c>
      <c r="N526" s="40">
        <v>46199.0</v>
      </c>
      <c r="O526" s="42" t="b">
        <v>1</v>
      </c>
      <c r="P526" s="44">
        <v>46204.0</v>
      </c>
      <c r="Q526" s="34"/>
      <c r="R526" s="34"/>
      <c r="S526" s="34"/>
      <c r="T526" s="34"/>
    </row>
    <row r="527" ht="15.75" customHeight="1">
      <c r="B527" s="33">
        <v>46197.0</v>
      </c>
      <c r="C527" s="35">
        <v>624025.0</v>
      </c>
      <c r="D527" s="35">
        <v>20.0</v>
      </c>
      <c r="E527" s="37">
        <v>80.85</v>
      </c>
      <c r="F527" s="38">
        <f t="shared" si="1"/>
        <v>1617</v>
      </c>
      <c r="G527" s="35" t="s">
        <v>4337</v>
      </c>
      <c r="H527" s="35" t="s">
        <v>4339</v>
      </c>
      <c r="I527" s="35" t="s">
        <v>41</v>
      </c>
      <c r="J527" s="35" t="s">
        <v>34</v>
      </c>
      <c r="K527" s="35" t="s">
        <v>35</v>
      </c>
      <c r="L527" s="35" t="s">
        <v>2232</v>
      </c>
      <c r="M527" s="39">
        <v>1.0</v>
      </c>
      <c r="N527" s="40">
        <v>46199.0</v>
      </c>
      <c r="O527" s="42" t="b">
        <v>1</v>
      </c>
      <c r="P527" s="44">
        <v>46204.0</v>
      </c>
      <c r="Q527" s="34"/>
      <c r="R527" s="34"/>
      <c r="S527" s="34"/>
      <c r="T527" s="34"/>
    </row>
    <row r="528" ht="15.75" customHeight="1">
      <c r="B528" s="33">
        <v>46197.0</v>
      </c>
      <c r="C528" s="35">
        <v>624025.0</v>
      </c>
      <c r="D528" s="35">
        <v>20.0</v>
      </c>
      <c r="E528" s="37">
        <v>96.25</v>
      </c>
      <c r="F528" s="38">
        <f t="shared" si="1"/>
        <v>1925</v>
      </c>
      <c r="G528" s="35" t="s">
        <v>4343</v>
      </c>
      <c r="H528" s="35" t="s">
        <v>4344</v>
      </c>
      <c r="I528" s="35" t="s">
        <v>41</v>
      </c>
      <c r="J528" s="35" t="s">
        <v>34</v>
      </c>
      <c r="K528" s="35" t="s">
        <v>35</v>
      </c>
      <c r="L528" s="35" t="s">
        <v>2232</v>
      </c>
      <c r="M528" s="39">
        <v>1.0</v>
      </c>
      <c r="N528" s="40">
        <v>46199.0</v>
      </c>
      <c r="O528" s="42" t="b">
        <v>1</v>
      </c>
      <c r="P528" s="44">
        <v>46204.0</v>
      </c>
      <c r="Q528" s="34"/>
      <c r="R528" s="34"/>
      <c r="S528" s="34"/>
      <c r="T528" s="34"/>
    </row>
    <row r="529" ht="15.75" customHeight="1">
      <c r="B529" s="33">
        <v>46197.0</v>
      </c>
      <c r="C529" s="35">
        <v>624025.0</v>
      </c>
      <c r="D529" s="35">
        <v>10.0</v>
      </c>
      <c r="E529" s="37">
        <v>148.61</v>
      </c>
      <c r="F529" s="38">
        <f t="shared" si="1"/>
        <v>1486.1</v>
      </c>
      <c r="G529" s="35" t="s">
        <v>4347</v>
      </c>
      <c r="H529" s="35" t="s">
        <v>4348</v>
      </c>
      <c r="I529" s="35" t="s">
        <v>41</v>
      </c>
      <c r="J529" s="35" t="s">
        <v>34</v>
      </c>
      <c r="K529" s="35" t="s">
        <v>35</v>
      </c>
      <c r="L529" s="35" t="s">
        <v>2232</v>
      </c>
      <c r="M529" s="39">
        <v>1.0</v>
      </c>
      <c r="N529" s="40">
        <v>46199.0</v>
      </c>
      <c r="O529" s="42" t="b">
        <v>1</v>
      </c>
      <c r="P529" s="44">
        <v>46204.0</v>
      </c>
      <c r="Q529" s="34"/>
      <c r="R529" s="34"/>
      <c r="S529" s="34"/>
      <c r="T529" s="34"/>
    </row>
    <row r="530" ht="15.75" customHeight="1">
      <c r="B530" s="33">
        <v>46197.0</v>
      </c>
      <c r="C530" s="35">
        <v>624025.0</v>
      </c>
      <c r="D530" s="35">
        <v>40.0</v>
      </c>
      <c r="E530" s="37">
        <v>114.73</v>
      </c>
      <c r="F530" s="38">
        <f t="shared" si="1"/>
        <v>4589.2</v>
      </c>
      <c r="G530" s="35" t="s">
        <v>4351</v>
      </c>
      <c r="H530" s="35" t="s">
        <v>4352</v>
      </c>
      <c r="I530" s="35" t="s">
        <v>41</v>
      </c>
      <c r="J530" s="35" t="s">
        <v>34</v>
      </c>
      <c r="K530" s="35" t="s">
        <v>35</v>
      </c>
      <c r="L530" s="35" t="s">
        <v>2232</v>
      </c>
      <c r="M530" s="39">
        <v>1.0</v>
      </c>
      <c r="N530" s="40">
        <v>46199.0</v>
      </c>
      <c r="O530" s="42" t="b">
        <v>1</v>
      </c>
      <c r="P530" s="44">
        <v>46204.0</v>
      </c>
      <c r="Q530" s="34"/>
      <c r="R530" s="34"/>
      <c r="S530" s="34"/>
      <c r="T530" s="34"/>
    </row>
    <row r="531" ht="15.75" customHeight="1">
      <c r="B531" s="33">
        <v>46197.0</v>
      </c>
      <c r="C531" s="35">
        <v>624025.0</v>
      </c>
      <c r="D531" s="35">
        <v>13.0</v>
      </c>
      <c r="E531" s="37">
        <v>129.36</v>
      </c>
      <c r="F531" s="38">
        <f t="shared" si="1"/>
        <v>1681.68</v>
      </c>
      <c r="G531" s="35" t="s">
        <v>4357</v>
      </c>
      <c r="H531" s="35" t="s">
        <v>4359</v>
      </c>
      <c r="I531" s="35" t="s">
        <v>41</v>
      </c>
      <c r="J531" s="35" t="s">
        <v>34</v>
      </c>
      <c r="K531" s="35" t="s">
        <v>35</v>
      </c>
      <c r="L531" s="35" t="s">
        <v>2232</v>
      </c>
      <c r="M531" s="39">
        <v>1.0</v>
      </c>
      <c r="N531" s="40">
        <v>46199.0</v>
      </c>
      <c r="O531" s="42" t="b">
        <v>1</v>
      </c>
      <c r="P531" s="44">
        <v>46204.0</v>
      </c>
      <c r="Q531" s="34"/>
      <c r="R531" s="34"/>
      <c r="S531" s="34"/>
      <c r="T531" s="34"/>
    </row>
    <row r="532" ht="15.75" customHeight="1">
      <c r="B532" s="33">
        <v>46197.0</v>
      </c>
      <c r="C532" s="35">
        <v>624025.0</v>
      </c>
      <c r="D532" s="35">
        <v>20.0</v>
      </c>
      <c r="E532" s="37">
        <v>107.03</v>
      </c>
      <c r="F532" s="38">
        <f t="shared" si="1"/>
        <v>2140.6</v>
      </c>
      <c r="G532" s="35" t="s">
        <v>4361</v>
      </c>
      <c r="H532" s="35" t="s">
        <v>4363</v>
      </c>
      <c r="I532" s="35" t="s">
        <v>41</v>
      </c>
      <c r="J532" s="35" t="s">
        <v>34</v>
      </c>
      <c r="K532" s="35" t="s">
        <v>35</v>
      </c>
      <c r="L532" s="35" t="s">
        <v>2232</v>
      </c>
      <c r="M532" s="39">
        <v>1.0</v>
      </c>
      <c r="N532" s="40">
        <v>46199.0</v>
      </c>
      <c r="O532" s="42" t="b">
        <v>1</v>
      </c>
      <c r="P532" s="44">
        <v>46204.0</v>
      </c>
      <c r="Q532" s="34"/>
      <c r="R532" s="34"/>
      <c r="S532" s="34"/>
      <c r="T532" s="34"/>
    </row>
    <row r="533" ht="15.75" customHeight="1">
      <c r="B533" s="33">
        <v>46197.0</v>
      </c>
      <c r="C533" s="35">
        <v>624025.0</v>
      </c>
      <c r="D533" s="35">
        <v>6.0</v>
      </c>
      <c r="E533" s="37">
        <v>673.75</v>
      </c>
      <c r="F533" s="38">
        <f t="shared" si="1"/>
        <v>4042.5</v>
      </c>
      <c r="G533" s="35" t="s">
        <v>3059</v>
      </c>
      <c r="H533" s="35" t="s">
        <v>4370</v>
      </c>
      <c r="I533" s="35" t="s">
        <v>41</v>
      </c>
      <c r="J533" s="35" t="s">
        <v>34</v>
      </c>
      <c r="K533" s="35" t="s">
        <v>35</v>
      </c>
      <c r="L533" s="35" t="s">
        <v>2232</v>
      </c>
      <c r="M533" s="39">
        <v>1.0</v>
      </c>
      <c r="N533" s="40">
        <v>46199.0</v>
      </c>
      <c r="O533" s="42" t="b">
        <v>1</v>
      </c>
      <c r="P533" s="44">
        <v>46204.0</v>
      </c>
      <c r="Q533" s="34"/>
      <c r="R533" s="34"/>
      <c r="S533" s="34"/>
      <c r="T533" s="34"/>
    </row>
    <row r="534" ht="15.75" customHeight="1">
      <c r="B534" s="33">
        <v>46198.0</v>
      </c>
      <c r="C534" s="46" t="s">
        <v>4373</v>
      </c>
      <c r="D534" s="35">
        <v>3.0</v>
      </c>
      <c r="E534" s="37">
        <v>3600.0</v>
      </c>
      <c r="F534" s="38">
        <f t="shared" si="1"/>
        <v>10800</v>
      </c>
      <c r="G534" s="35" t="s">
        <v>4218</v>
      </c>
      <c r="H534" s="35" t="s">
        <v>1193</v>
      </c>
      <c r="I534" s="35" t="s">
        <v>41</v>
      </c>
      <c r="J534" s="35" t="s">
        <v>34</v>
      </c>
      <c r="K534" s="35" t="s">
        <v>35</v>
      </c>
      <c r="L534" s="35" t="s">
        <v>151</v>
      </c>
      <c r="M534" s="39">
        <v>31.0</v>
      </c>
      <c r="N534" s="40">
        <v>46198.0</v>
      </c>
      <c r="O534" s="42" t="b">
        <v>1</v>
      </c>
      <c r="P534" s="44">
        <v>46198.0</v>
      </c>
      <c r="Q534" s="34"/>
      <c r="R534" s="34"/>
      <c r="S534" s="34"/>
      <c r="T534" s="34"/>
    </row>
    <row r="535" ht="15.75" customHeight="1">
      <c r="B535" s="33">
        <v>46198.0</v>
      </c>
      <c r="C535" s="35">
        <v>15795.0</v>
      </c>
      <c r="D535" s="35">
        <v>10.0</v>
      </c>
      <c r="E535" s="37">
        <v>25.2</v>
      </c>
      <c r="F535" s="38">
        <f t="shared" si="1"/>
        <v>252</v>
      </c>
      <c r="G535" s="35" t="s">
        <v>4379</v>
      </c>
      <c r="H535" s="35" t="s">
        <v>2462</v>
      </c>
      <c r="I535" s="35" t="s">
        <v>4381</v>
      </c>
      <c r="J535" s="35" t="s">
        <v>40</v>
      </c>
      <c r="K535" s="35" t="s">
        <v>35</v>
      </c>
      <c r="L535" s="35" t="s">
        <v>279</v>
      </c>
      <c r="M535" s="39">
        <v>1.0</v>
      </c>
      <c r="N535" s="40">
        <v>46198.0</v>
      </c>
      <c r="O535" s="42" t="b">
        <v>1</v>
      </c>
      <c r="P535" s="44">
        <v>46203.0</v>
      </c>
      <c r="Q535" s="34"/>
      <c r="R535" s="34"/>
      <c r="S535" s="34"/>
      <c r="T535" s="34"/>
    </row>
    <row r="536" ht="15.75" customHeight="1">
      <c r="B536" s="33">
        <v>46198.0</v>
      </c>
      <c r="C536" s="35">
        <v>1036.0</v>
      </c>
      <c r="D536" s="35">
        <v>5000.0</v>
      </c>
      <c r="E536" s="37">
        <v>14.0</v>
      </c>
      <c r="F536" s="38">
        <f t="shared" si="1"/>
        <v>70000</v>
      </c>
      <c r="G536" s="35" t="s">
        <v>4384</v>
      </c>
      <c r="H536" s="35" t="s">
        <v>35</v>
      </c>
      <c r="I536" s="35" t="s">
        <v>41</v>
      </c>
      <c r="J536" s="35" t="s">
        <v>40</v>
      </c>
      <c r="K536" s="35" t="s">
        <v>35</v>
      </c>
      <c r="L536" s="35" t="s">
        <v>132</v>
      </c>
      <c r="M536" s="39">
        <v>31.0</v>
      </c>
      <c r="N536" s="40">
        <v>46198.0</v>
      </c>
      <c r="O536" s="42" t="b">
        <v>1</v>
      </c>
      <c r="P536" s="44">
        <v>46203.0</v>
      </c>
      <c r="Q536" s="34"/>
      <c r="R536" s="34"/>
      <c r="S536" s="34"/>
      <c r="T536" s="34"/>
    </row>
    <row r="537" ht="15.75" customHeight="1">
      <c r="B537" s="33">
        <v>46198.0</v>
      </c>
      <c r="C537" s="35">
        <v>1036.0</v>
      </c>
      <c r="D537" s="35">
        <v>1000.0</v>
      </c>
      <c r="E537" s="37">
        <v>18.0</v>
      </c>
      <c r="F537" s="38">
        <f t="shared" si="1"/>
        <v>18000</v>
      </c>
      <c r="G537" s="35" t="s">
        <v>4389</v>
      </c>
      <c r="H537" s="35" t="s">
        <v>35</v>
      </c>
      <c r="I537" s="35" t="s">
        <v>41</v>
      </c>
      <c r="J537" s="35" t="s">
        <v>40</v>
      </c>
      <c r="K537" s="35" t="s">
        <v>35</v>
      </c>
      <c r="L537" s="35" t="s">
        <v>132</v>
      </c>
      <c r="M537" s="39">
        <v>31.0</v>
      </c>
      <c r="N537" s="40">
        <v>46198.0</v>
      </c>
      <c r="O537" s="42" t="b">
        <v>1</v>
      </c>
      <c r="P537" s="44">
        <v>46203.0</v>
      </c>
      <c r="Q537" s="34"/>
      <c r="R537" s="34"/>
      <c r="S537" s="34"/>
      <c r="T537" s="34"/>
    </row>
    <row r="538" ht="15.75" customHeight="1">
      <c r="B538" s="33">
        <v>46198.0</v>
      </c>
      <c r="C538" s="35">
        <v>1036.0</v>
      </c>
      <c r="D538" s="35">
        <v>10.0</v>
      </c>
      <c r="E538" s="37">
        <v>152.0</v>
      </c>
      <c r="F538" s="38">
        <f t="shared" si="1"/>
        <v>1520</v>
      </c>
      <c r="G538" s="35" t="s">
        <v>659</v>
      </c>
      <c r="H538" s="35" t="s">
        <v>137</v>
      </c>
      <c r="I538" s="35" t="s">
        <v>59</v>
      </c>
      <c r="J538" s="35" t="s">
        <v>34</v>
      </c>
      <c r="K538" s="35" t="s">
        <v>35</v>
      </c>
      <c r="L538" s="35" t="s">
        <v>132</v>
      </c>
      <c r="M538" s="39">
        <v>31.0</v>
      </c>
      <c r="N538" s="40">
        <v>46198.0</v>
      </c>
      <c r="O538" s="42" t="b">
        <v>1</v>
      </c>
      <c r="P538" s="44">
        <v>46198.0</v>
      </c>
      <c r="Q538" s="34"/>
      <c r="R538" s="34"/>
      <c r="S538" s="34"/>
      <c r="T538" s="34"/>
    </row>
    <row r="539" ht="15.75" customHeight="1">
      <c r="B539" s="33">
        <v>46198.0</v>
      </c>
      <c r="C539" s="35">
        <v>11938.0</v>
      </c>
      <c r="D539" s="35">
        <v>300.0</v>
      </c>
      <c r="E539" s="37">
        <v>106.0</v>
      </c>
      <c r="F539" s="38">
        <f t="shared" si="1"/>
        <v>31800</v>
      </c>
      <c r="G539" s="35" t="s">
        <v>3340</v>
      </c>
      <c r="H539" s="35" t="s">
        <v>3341</v>
      </c>
      <c r="I539" s="35" t="s">
        <v>77</v>
      </c>
      <c r="J539" s="35" t="s">
        <v>79</v>
      </c>
      <c r="K539" s="35" t="s">
        <v>35</v>
      </c>
      <c r="L539" s="35" t="s">
        <v>87</v>
      </c>
      <c r="M539" s="39">
        <v>1.0</v>
      </c>
      <c r="N539" s="40">
        <v>46198.0</v>
      </c>
      <c r="O539" s="42" t="b">
        <v>1</v>
      </c>
      <c r="P539" s="44">
        <v>46203.0</v>
      </c>
      <c r="Q539" s="34"/>
      <c r="R539" s="34"/>
      <c r="S539" s="34"/>
      <c r="T539" s="34"/>
    </row>
    <row r="540" ht="15.75" customHeight="1">
      <c r="B540" s="33">
        <v>46198.0</v>
      </c>
      <c r="C540" s="35" t="s">
        <v>35</v>
      </c>
      <c r="D540" s="35">
        <v>200.0</v>
      </c>
      <c r="E540" s="37">
        <v>123.0</v>
      </c>
      <c r="F540" s="38">
        <f t="shared" si="1"/>
        <v>24600</v>
      </c>
      <c r="G540" s="35" t="s">
        <v>1837</v>
      </c>
      <c r="H540" s="35" t="s">
        <v>299</v>
      </c>
      <c r="I540" s="35" t="s">
        <v>59</v>
      </c>
      <c r="J540" s="35" t="s">
        <v>40</v>
      </c>
      <c r="K540" s="35" t="s">
        <v>35</v>
      </c>
      <c r="L540" s="35" t="s">
        <v>67</v>
      </c>
      <c r="M540" s="39">
        <v>31.0</v>
      </c>
      <c r="N540" s="40">
        <v>46198.0</v>
      </c>
      <c r="O540" s="42" t="b">
        <v>1</v>
      </c>
      <c r="P540" s="44">
        <v>46217.0</v>
      </c>
      <c r="Q540" s="34"/>
      <c r="R540" s="34"/>
      <c r="S540" s="34"/>
      <c r="T540" s="34"/>
    </row>
    <row r="541" ht="15.75" customHeight="1">
      <c r="B541" s="33">
        <v>46198.0</v>
      </c>
      <c r="C541" s="35">
        <v>21166.0</v>
      </c>
      <c r="D541" s="35">
        <v>100.0</v>
      </c>
      <c r="E541" s="37">
        <v>7.905</v>
      </c>
      <c r="F541" s="38">
        <f t="shared" si="1"/>
        <v>790.5</v>
      </c>
      <c r="G541" s="35" t="s">
        <v>4410</v>
      </c>
      <c r="H541" s="35" t="s">
        <v>4412</v>
      </c>
      <c r="I541" s="35" t="s">
        <v>41</v>
      </c>
      <c r="J541" s="35" t="s">
        <v>40</v>
      </c>
      <c r="K541" s="35" t="s">
        <v>35</v>
      </c>
      <c r="L541" s="35" t="s">
        <v>719</v>
      </c>
      <c r="M541" s="39">
        <v>1.0</v>
      </c>
      <c r="N541" s="40">
        <v>46198.0</v>
      </c>
      <c r="O541" s="42" t="b">
        <v>1</v>
      </c>
      <c r="P541" s="44">
        <v>46203.0</v>
      </c>
      <c r="Q541" s="34"/>
      <c r="R541" s="34"/>
      <c r="S541" s="34"/>
      <c r="T541" s="34"/>
    </row>
    <row r="542" ht="15.75" customHeight="1">
      <c r="B542" s="33">
        <v>46198.0</v>
      </c>
      <c r="C542" s="35">
        <v>21166.0</v>
      </c>
      <c r="D542" s="35">
        <v>30.0</v>
      </c>
      <c r="E542" s="37">
        <v>20.46</v>
      </c>
      <c r="F542" s="38">
        <f t="shared" si="1"/>
        <v>613.8</v>
      </c>
      <c r="G542" s="35" t="s">
        <v>4410</v>
      </c>
      <c r="H542" s="35" t="s">
        <v>4416</v>
      </c>
      <c r="I542" s="35" t="s">
        <v>41</v>
      </c>
      <c r="J542" s="35" t="s">
        <v>40</v>
      </c>
      <c r="K542" s="35" t="s">
        <v>35</v>
      </c>
      <c r="L542" s="35" t="s">
        <v>719</v>
      </c>
      <c r="M542" s="39">
        <v>1.0</v>
      </c>
      <c r="N542" s="40">
        <v>46198.0</v>
      </c>
      <c r="O542" s="42" t="b">
        <v>1</v>
      </c>
      <c r="P542" s="44">
        <v>46203.0</v>
      </c>
      <c r="Q542" s="34"/>
      <c r="R542" s="34"/>
      <c r="S542" s="34"/>
      <c r="T542" s="34"/>
    </row>
    <row r="543" ht="15.75" customHeight="1">
      <c r="B543" s="33">
        <v>46198.0</v>
      </c>
      <c r="C543" s="35">
        <v>21166.0</v>
      </c>
      <c r="D543" s="35">
        <v>50.0</v>
      </c>
      <c r="E543" s="37">
        <v>11.625</v>
      </c>
      <c r="F543" s="38">
        <f t="shared" si="1"/>
        <v>581.25</v>
      </c>
      <c r="G543" s="35" t="s">
        <v>4410</v>
      </c>
      <c r="H543" s="35" t="s">
        <v>4422</v>
      </c>
      <c r="I543" s="35" t="s">
        <v>41</v>
      </c>
      <c r="J543" s="35" t="s">
        <v>40</v>
      </c>
      <c r="K543" s="35" t="s">
        <v>35</v>
      </c>
      <c r="L543" s="35" t="s">
        <v>719</v>
      </c>
      <c r="M543" s="39">
        <v>1.0</v>
      </c>
      <c r="N543" s="40">
        <v>46198.0</v>
      </c>
      <c r="O543" s="42" t="b">
        <v>1</v>
      </c>
      <c r="P543" s="44">
        <v>46203.0</v>
      </c>
      <c r="Q543" s="34"/>
      <c r="R543" s="34"/>
      <c r="S543" s="34"/>
      <c r="T543" s="34"/>
    </row>
    <row r="544" ht="15.75" customHeight="1">
      <c r="B544" s="33">
        <v>46198.0</v>
      </c>
      <c r="C544" s="35">
        <v>21166.0</v>
      </c>
      <c r="D544" s="35">
        <v>100.0</v>
      </c>
      <c r="E544" s="37">
        <v>6.51</v>
      </c>
      <c r="F544" s="38">
        <f t="shared" si="1"/>
        <v>651</v>
      </c>
      <c r="G544" s="35" t="s">
        <v>4410</v>
      </c>
      <c r="H544" s="35" t="s">
        <v>1615</v>
      </c>
      <c r="I544" s="35" t="s">
        <v>41</v>
      </c>
      <c r="J544" s="35" t="s">
        <v>40</v>
      </c>
      <c r="K544" s="35" t="s">
        <v>35</v>
      </c>
      <c r="L544" s="35" t="s">
        <v>719</v>
      </c>
      <c r="M544" s="39">
        <v>1.0</v>
      </c>
      <c r="N544" s="40">
        <v>46198.0</v>
      </c>
      <c r="O544" s="42" t="b">
        <v>1</v>
      </c>
      <c r="P544" s="44">
        <v>46203.0</v>
      </c>
      <c r="Q544" s="34"/>
      <c r="R544" s="34"/>
      <c r="S544" s="34"/>
      <c r="T544" s="34"/>
    </row>
    <row r="545" ht="15.75" customHeight="1">
      <c r="B545" s="33">
        <v>46199.0</v>
      </c>
      <c r="C545" s="35" t="s">
        <v>35</v>
      </c>
      <c r="D545" s="35">
        <v>2.0</v>
      </c>
      <c r="E545" s="37">
        <v>1220.0</v>
      </c>
      <c r="F545" s="38">
        <f t="shared" si="1"/>
        <v>2440</v>
      </c>
      <c r="G545" s="35" t="s">
        <v>4432</v>
      </c>
      <c r="H545" s="35" t="s">
        <v>35</v>
      </c>
      <c r="I545" s="35" t="s">
        <v>157</v>
      </c>
      <c r="J545" s="35" t="s">
        <v>34</v>
      </c>
      <c r="K545" s="35" t="s">
        <v>35</v>
      </c>
      <c r="L545" s="35" t="s">
        <v>2794</v>
      </c>
      <c r="M545" s="39">
        <v>31.0</v>
      </c>
      <c r="N545" s="40">
        <v>46198.0</v>
      </c>
      <c r="O545" s="42" t="b">
        <v>0</v>
      </c>
      <c r="P545" s="44"/>
      <c r="Q545" s="34"/>
      <c r="R545" s="33">
        <v>46199.0</v>
      </c>
      <c r="S545" s="34"/>
      <c r="T545" s="34"/>
    </row>
    <row r="546" ht="15.75" customHeight="1">
      <c r="B546" s="33">
        <v>46199.0</v>
      </c>
      <c r="C546" s="35" t="s">
        <v>35</v>
      </c>
      <c r="D546" s="35">
        <v>1.0</v>
      </c>
      <c r="E546" s="37">
        <v>1430.0</v>
      </c>
      <c r="F546" s="38">
        <f t="shared" si="1"/>
        <v>1430</v>
      </c>
      <c r="G546" s="35" t="s">
        <v>4441</v>
      </c>
      <c r="H546" s="35" t="s">
        <v>35</v>
      </c>
      <c r="I546" s="35" t="s">
        <v>157</v>
      </c>
      <c r="J546" s="35" t="s">
        <v>34</v>
      </c>
      <c r="K546" s="35" t="s">
        <v>35</v>
      </c>
      <c r="L546" s="35" t="s">
        <v>2794</v>
      </c>
      <c r="M546" s="39">
        <v>31.0</v>
      </c>
      <c r="N546" s="40">
        <v>46198.0</v>
      </c>
      <c r="O546" s="42" t="b">
        <v>0</v>
      </c>
      <c r="P546" s="44"/>
      <c r="Q546" s="34"/>
      <c r="R546" s="33">
        <v>46199.0</v>
      </c>
      <c r="S546" s="34"/>
      <c r="T546" s="34"/>
    </row>
    <row r="547" ht="15.75" customHeight="1">
      <c r="B547" s="33">
        <v>46199.0</v>
      </c>
      <c r="C547" s="35" t="s">
        <v>35</v>
      </c>
      <c r="D547" s="35">
        <v>1.0</v>
      </c>
      <c r="E547" s="37">
        <v>1870.0</v>
      </c>
      <c r="F547" s="38">
        <f t="shared" si="1"/>
        <v>1870</v>
      </c>
      <c r="G547" s="35" t="s">
        <v>4448</v>
      </c>
      <c r="H547" s="35" t="s">
        <v>35</v>
      </c>
      <c r="I547" s="35" t="s">
        <v>157</v>
      </c>
      <c r="J547" s="35" t="s">
        <v>34</v>
      </c>
      <c r="K547" s="35" t="s">
        <v>35</v>
      </c>
      <c r="L547" s="35" t="s">
        <v>2794</v>
      </c>
      <c r="M547" s="39">
        <v>31.0</v>
      </c>
      <c r="N547" s="40">
        <v>46198.0</v>
      </c>
      <c r="O547" s="42" t="b">
        <v>0</v>
      </c>
      <c r="P547" s="44"/>
      <c r="Q547" s="34"/>
      <c r="R547" s="33">
        <v>46199.0</v>
      </c>
      <c r="S547" s="34"/>
      <c r="T547" s="34"/>
    </row>
    <row r="548" ht="15.75" customHeight="1">
      <c r="B548" s="33">
        <v>46199.0</v>
      </c>
      <c r="C548" s="35" t="s">
        <v>35</v>
      </c>
      <c r="D548" s="35">
        <v>1.0</v>
      </c>
      <c r="E548" s="37">
        <v>1360.0</v>
      </c>
      <c r="F548" s="38">
        <f t="shared" si="1"/>
        <v>1360</v>
      </c>
      <c r="G548" s="35" t="s">
        <v>4454</v>
      </c>
      <c r="H548" s="35" t="s">
        <v>35</v>
      </c>
      <c r="I548" s="35" t="s">
        <v>157</v>
      </c>
      <c r="J548" s="35" t="s">
        <v>34</v>
      </c>
      <c r="K548" s="35" t="s">
        <v>35</v>
      </c>
      <c r="L548" s="35" t="s">
        <v>2794</v>
      </c>
      <c r="M548" s="39">
        <v>31.0</v>
      </c>
      <c r="N548" s="40">
        <v>46198.0</v>
      </c>
      <c r="O548" s="42" t="b">
        <v>0</v>
      </c>
      <c r="P548" s="44"/>
      <c r="Q548" s="34"/>
      <c r="R548" s="33">
        <v>46199.0</v>
      </c>
      <c r="S548" s="34"/>
      <c r="T548" s="34"/>
    </row>
    <row r="549" ht="15.75" customHeight="1">
      <c r="B549" s="33">
        <v>46199.0</v>
      </c>
      <c r="C549" s="46" t="s">
        <v>4457</v>
      </c>
      <c r="D549" s="35">
        <v>5.0</v>
      </c>
      <c r="E549" s="37">
        <v>734.7</v>
      </c>
      <c r="F549" s="38">
        <f t="shared" si="1"/>
        <v>3673.5</v>
      </c>
      <c r="G549" s="35" t="s">
        <v>4459</v>
      </c>
      <c r="H549" s="35" t="s">
        <v>4461</v>
      </c>
      <c r="I549" s="35" t="s">
        <v>39</v>
      </c>
      <c r="J549" s="35" t="s">
        <v>183</v>
      </c>
      <c r="K549" s="35" t="s">
        <v>35</v>
      </c>
      <c r="L549" s="35" t="s">
        <v>1189</v>
      </c>
      <c r="M549" s="39">
        <v>1.0</v>
      </c>
      <c r="N549" s="40">
        <v>46199.0</v>
      </c>
      <c r="O549" s="42" t="b">
        <v>0</v>
      </c>
      <c r="P549" s="44"/>
      <c r="Q549" s="34"/>
      <c r="R549" s="34"/>
      <c r="S549" s="34"/>
      <c r="T549" s="34"/>
    </row>
    <row r="550" ht="15.75" customHeight="1">
      <c r="B550" s="33">
        <v>46199.0</v>
      </c>
      <c r="C550" s="35">
        <v>21301.0</v>
      </c>
      <c r="D550" s="35">
        <v>30.0</v>
      </c>
      <c r="E550" s="37">
        <v>229.9</v>
      </c>
      <c r="F550" s="38">
        <f t="shared" si="1"/>
        <v>6897</v>
      </c>
      <c r="G550" s="35" t="s">
        <v>187</v>
      </c>
      <c r="H550" s="35" t="s">
        <v>188</v>
      </c>
      <c r="I550" s="35" t="s">
        <v>240</v>
      </c>
      <c r="J550" s="35" t="s">
        <v>1036</v>
      </c>
      <c r="K550" s="35" t="s">
        <v>1037</v>
      </c>
      <c r="L550" s="35" t="s">
        <v>96</v>
      </c>
      <c r="M550" s="39">
        <v>1.0</v>
      </c>
      <c r="N550" s="40">
        <v>46203.0</v>
      </c>
      <c r="O550" s="42" t="b">
        <v>1</v>
      </c>
      <c r="P550" s="44"/>
      <c r="Q550" s="34"/>
      <c r="R550" s="33">
        <v>46203.0</v>
      </c>
      <c r="S550" s="34"/>
      <c r="T550" s="34"/>
    </row>
    <row r="551" ht="15.75" customHeight="1">
      <c r="B551" s="33">
        <v>46199.0</v>
      </c>
      <c r="C551" s="35">
        <v>21308.0</v>
      </c>
      <c r="D551" s="35">
        <v>4.0</v>
      </c>
      <c r="E551" s="37">
        <v>299.9</v>
      </c>
      <c r="F551" s="38">
        <f t="shared" si="1"/>
        <v>1199.6</v>
      </c>
      <c r="G551" s="35" t="s">
        <v>4473</v>
      </c>
      <c r="H551" s="35" t="s">
        <v>4474</v>
      </c>
      <c r="I551" s="35" t="s">
        <v>32</v>
      </c>
      <c r="J551" s="35" t="s">
        <v>34</v>
      </c>
      <c r="K551" s="35" t="s">
        <v>35</v>
      </c>
      <c r="L551" s="35" t="s">
        <v>96</v>
      </c>
      <c r="M551" s="39">
        <v>1.0</v>
      </c>
      <c r="N551" s="40">
        <v>46203.0</v>
      </c>
      <c r="O551" s="42" t="b">
        <v>1</v>
      </c>
      <c r="P551" s="44">
        <v>46203.0</v>
      </c>
      <c r="Q551" s="34"/>
      <c r="R551" s="34"/>
      <c r="S551" s="34"/>
      <c r="T551" s="34"/>
    </row>
    <row r="552" ht="15.75" customHeight="1">
      <c r="B552" s="33">
        <v>46199.0</v>
      </c>
      <c r="C552" s="35">
        <v>923310.0</v>
      </c>
      <c r="D552" s="35">
        <v>88.0</v>
      </c>
      <c r="E552" s="37">
        <v>189.9</v>
      </c>
      <c r="F552" s="38">
        <f t="shared" si="1"/>
        <v>16711.2</v>
      </c>
      <c r="G552" s="35" t="s">
        <v>4480</v>
      </c>
      <c r="H552" s="35">
        <v>72430.0</v>
      </c>
      <c r="I552" s="35" t="s">
        <v>59</v>
      </c>
      <c r="J552" s="35" t="s">
        <v>34</v>
      </c>
      <c r="K552" s="35" t="s">
        <v>35</v>
      </c>
      <c r="L552" s="35" t="s">
        <v>43</v>
      </c>
      <c r="M552" s="39">
        <v>31.0</v>
      </c>
      <c r="N552" s="40">
        <v>46208.0</v>
      </c>
      <c r="O552" s="42" t="b">
        <v>1</v>
      </c>
      <c r="P552" s="44">
        <v>46209.0</v>
      </c>
      <c r="Q552" s="34"/>
      <c r="R552" s="34"/>
      <c r="S552" s="34"/>
      <c r="T552" s="34"/>
    </row>
    <row r="553" ht="15.75" customHeight="1">
      <c r="B553" s="33">
        <v>46199.0</v>
      </c>
      <c r="C553" s="46" t="s">
        <v>4483</v>
      </c>
      <c r="D553" s="35">
        <v>100.0</v>
      </c>
      <c r="E553" s="37">
        <v>80.0</v>
      </c>
      <c r="F553" s="38">
        <f t="shared" si="1"/>
        <v>8000</v>
      </c>
      <c r="G553" s="35" t="s">
        <v>1418</v>
      </c>
      <c r="H553" s="35" t="s">
        <v>1420</v>
      </c>
      <c r="I553" s="35" t="s">
        <v>32</v>
      </c>
      <c r="J553" s="35" t="s">
        <v>34</v>
      </c>
      <c r="K553" s="35" t="s">
        <v>35</v>
      </c>
      <c r="L553" s="35" t="s">
        <v>515</v>
      </c>
      <c r="M553" s="39">
        <v>1.0</v>
      </c>
      <c r="N553" s="40">
        <v>46201.0</v>
      </c>
      <c r="O553" s="42" t="b">
        <v>1</v>
      </c>
      <c r="P553" s="44">
        <v>46205.0</v>
      </c>
      <c r="Q553" s="34"/>
      <c r="R553" s="33">
        <v>46202.0</v>
      </c>
      <c r="S553" s="34"/>
      <c r="T553" s="34"/>
    </row>
    <row r="554" ht="15.75" customHeight="1">
      <c r="B554" s="33">
        <v>46199.0</v>
      </c>
      <c r="C554" s="46" t="s">
        <v>4483</v>
      </c>
      <c r="D554" s="35">
        <v>75.0</v>
      </c>
      <c r="E554" s="37">
        <v>80.0</v>
      </c>
      <c r="F554" s="38">
        <f t="shared" si="1"/>
        <v>6000</v>
      </c>
      <c r="G554" s="35" t="s">
        <v>2465</v>
      </c>
      <c r="H554" s="35" t="s">
        <v>1420</v>
      </c>
      <c r="I554" s="35" t="s">
        <v>32</v>
      </c>
      <c r="J554" s="35" t="s">
        <v>34</v>
      </c>
      <c r="K554" s="35" t="s">
        <v>35</v>
      </c>
      <c r="L554" s="35" t="s">
        <v>515</v>
      </c>
      <c r="M554" s="39">
        <v>1.0</v>
      </c>
      <c r="N554" s="40">
        <v>46201.0</v>
      </c>
      <c r="O554" s="42" t="b">
        <v>1</v>
      </c>
      <c r="P554" s="44">
        <v>46205.0</v>
      </c>
      <c r="Q554" s="34"/>
      <c r="R554" s="33">
        <v>46202.0</v>
      </c>
      <c r="S554" s="34"/>
      <c r="T554" s="34"/>
    </row>
    <row r="555" ht="15.75" customHeight="1">
      <c r="B555" s="33">
        <v>46199.0</v>
      </c>
      <c r="C555" s="35">
        <v>15890.0</v>
      </c>
      <c r="D555" s="35">
        <v>1.0</v>
      </c>
      <c r="E555" s="37">
        <v>1152.0</v>
      </c>
      <c r="F555" s="38">
        <f t="shared" si="1"/>
        <v>1152</v>
      </c>
      <c r="G555" s="35" t="s">
        <v>4489</v>
      </c>
      <c r="H555" s="35" t="s">
        <v>4490</v>
      </c>
      <c r="I555" s="35" t="s">
        <v>32</v>
      </c>
      <c r="J555" s="35" t="s">
        <v>183</v>
      </c>
      <c r="K555" s="35" t="s">
        <v>35</v>
      </c>
      <c r="L555" s="35" t="s">
        <v>279</v>
      </c>
      <c r="M555" s="39">
        <v>1.0</v>
      </c>
      <c r="N555" s="40">
        <v>46204.0</v>
      </c>
      <c r="O555" s="42" t="b">
        <v>0</v>
      </c>
      <c r="P555" s="44"/>
      <c r="Q555" s="34"/>
      <c r="R555" s="34"/>
      <c r="S555" s="34"/>
      <c r="T555" s="34"/>
    </row>
    <row r="556" ht="15.75" customHeight="1">
      <c r="B556" s="33">
        <v>46199.0</v>
      </c>
      <c r="C556" s="35">
        <v>15890.0</v>
      </c>
      <c r="D556" s="35">
        <v>1.0</v>
      </c>
      <c r="E556" s="37">
        <v>1169.1</v>
      </c>
      <c r="F556" s="38">
        <f t="shared" si="1"/>
        <v>1169.1</v>
      </c>
      <c r="G556" s="35" t="s">
        <v>4489</v>
      </c>
      <c r="H556" s="35" t="s">
        <v>4493</v>
      </c>
      <c r="I556" s="35" t="s">
        <v>32</v>
      </c>
      <c r="J556" s="35" t="s">
        <v>183</v>
      </c>
      <c r="K556" s="35" t="s">
        <v>35</v>
      </c>
      <c r="L556" s="35" t="s">
        <v>279</v>
      </c>
      <c r="M556" s="39">
        <v>1.0</v>
      </c>
      <c r="N556" s="40">
        <v>46204.0</v>
      </c>
      <c r="O556" s="42" t="b">
        <v>0</v>
      </c>
      <c r="P556" s="44"/>
      <c r="Q556" s="34"/>
      <c r="R556" s="34"/>
      <c r="S556" s="34"/>
      <c r="T556" s="34"/>
    </row>
    <row r="557" ht="15.75" customHeight="1">
      <c r="B557" s="33">
        <v>46199.0</v>
      </c>
      <c r="C557" s="35">
        <v>1037.0</v>
      </c>
      <c r="D557" s="35">
        <v>50.0</v>
      </c>
      <c r="E557" s="37">
        <v>650.0</v>
      </c>
      <c r="F557" s="38">
        <f t="shared" si="1"/>
        <v>32500</v>
      </c>
      <c r="G557" s="35" t="s">
        <v>4498</v>
      </c>
      <c r="H557" s="35" t="s">
        <v>35</v>
      </c>
      <c r="I557" s="35" t="s">
        <v>41</v>
      </c>
      <c r="J557" s="35" t="s">
        <v>34</v>
      </c>
      <c r="K557" s="35" t="s">
        <v>35</v>
      </c>
      <c r="L557" s="35" t="s">
        <v>132</v>
      </c>
      <c r="M557" s="39">
        <v>31.0</v>
      </c>
      <c r="N557" s="40">
        <v>46202.0</v>
      </c>
      <c r="O557" s="42" t="b">
        <v>1</v>
      </c>
      <c r="P557" s="44">
        <v>46203.0</v>
      </c>
      <c r="Q557" s="34"/>
      <c r="R557" s="34"/>
      <c r="S557" s="34"/>
      <c r="T557" s="34"/>
    </row>
    <row r="558" ht="15.75" customHeight="1">
      <c r="B558" s="33">
        <v>46199.0</v>
      </c>
      <c r="C558" s="35">
        <v>12143.0</v>
      </c>
      <c r="D558" s="35">
        <v>999.0</v>
      </c>
      <c r="E558" s="37">
        <v>100.0</v>
      </c>
      <c r="F558" s="38">
        <f t="shared" si="1"/>
        <v>99900</v>
      </c>
      <c r="G558" s="35" t="s">
        <v>3340</v>
      </c>
      <c r="H558" s="35" t="s">
        <v>3341</v>
      </c>
      <c r="I558" s="35" t="s">
        <v>41</v>
      </c>
      <c r="J558" s="35" t="s">
        <v>40</v>
      </c>
      <c r="K558" s="35" t="s">
        <v>35</v>
      </c>
      <c r="L558" s="35" t="s">
        <v>87</v>
      </c>
      <c r="M558" s="39">
        <v>1.0</v>
      </c>
      <c r="N558" s="40">
        <v>46205.0</v>
      </c>
      <c r="O558" s="42" t="b">
        <v>1</v>
      </c>
      <c r="P558" s="44">
        <v>46205.0</v>
      </c>
      <c r="Q558" s="34"/>
      <c r="R558" s="34"/>
      <c r="S558" s="34"/>
      <c r="T558" s="34"/>
    </row>
    <row r="559" ht="15.75" customHeight="1">
      <c r="B559" s="33">
        <v>46199.0</v>
      </c>
      <c r="C559" s="35">
        <v>12143.0</v>
      </c>
      <c r="D559" s="35">
        <v>643.0</v>
      </c>
      <c r="E559" s="37">
        <v>100.0</v>
      </c>
      <c r="F559" s="38">
        <f t="shared" si="1"/>
        <v>64300</v>
      </c>
      <c r="G559" s="35" t="s">
        <v>4511</v>
      </c>
      <c r="H559" s="35" t="s">
        <v>4512</v>
      </c>
      <c r="I559" s="35" t="s">
        <v>41</v>
      </c>
      <c r="J559" s="35" t="s">
        <v>40</v>
      </c>
      <c r="K559" s="35" t="s">
        <v>35</v>
      </c>
      <c r="L559" s="35" t="s">
        <v>87</v>
      </c>
      <c r="M559" s="39">
        <v>1.0</v>
      </c>
      <c r="N559" s="40">
        <v>46205.0</v>
      </c>
      <c r="O559" s="42" t="b">
        <v>1</v>
      </c>
      <c r="P559" s="44">
        <v>46205.0</v>
      </c>
      <c r="Q559" s="34"/>
      <c r="R559" s="34"/>
      <c r="S559" s="34"/>
      <c r="T559" s="34"/>
    </row>
    <row r="560" ht="15.75" customHeight="1">
      <c r="B560" s="33">
        <v>46199.0</v>
      </c>
      <c r="C560" s="35">
        <v>12143.0</v>
      </c>
      <c r="D560" s="35">
        <v>155.0</v>
      </c>
      <c r="E560" s="37">
        <v>100.0</v>
      </c>
      <c r="F560" s="38">
        <f t="shared" si="1"/>
        <v>15500</v>
      </c>
      <c r="G560" s="35" t="s">
        <v>4517</v>
      </c>
      <c r="H560" s="35" t="s">
        <v>4518</v>
      </c>
      <c r="I560" s="35" t="s">
        <v>41</v>
      </c>
      <c r="J560" s="35" t="s">
        <v>40</v>
      </c>
      <c r="K560" s="35" t="s">
        <v>35</v>
      </c>
      <c r="L560" s="35" t="s">
        <v>87</v>
      </c>
      <c r="M560" s="39">
        <v>1.0</v>
      </c>
      <c r="N560" s="40">
        <v>46205.0</v>
      </c>
      <c r="O560" s="42" t="b">
        <v>1</v>
      </c>
      <c r="P560" s="44">
        <v>46205.0</v>
      </c>
      <c r="Q560" s="34"/>
      <c r="R560" s="34"/>
      <c r="S560" s="34"/>
      <c r="T560" s="34"/>
    </row>
    <row r="561" ht="15.75" customHeight="1">
      <c r="B561" s="33">
        <v>46199.0</v>
      </c>
      <c r="C561" s="35">
        <v>12144.0</v>
      </c>
      <c r="D561" s="35">
        <v>203.0</v>
      </c>
      <c r="E561" s="37">
        <v>100.0</v>
      </c>
      <c r="F561" s="38">
        <f t="shared" si="1"/>
        <v>20300</v>
      </c>
      <c r="G561" s="35" t="s">
        <v>4521</v>
      </c>
      <c r="H561" s="35" t="s">
        <v>4195</v>
      </c>
      <c r="I561" s="35" t="s">
        <v>41</v>
      </c>
      <c r="J561" s="35" t="s">
        <v>40</v>
      </c>
      <c r="K561" s="35" t="s">
        <v>35</v>
      </c>
      <c r="L561" s="35" t="s">
        <v>87</v>
      </c>
      <c r="M561" s="39">
        <v>1.0</v>
      </c>
      <c r="N561" s="40">
        <v>46204.0</v>
      </c>
      <c r="O561" s="42" t="b">
        <v>0</v>
      </c>
      <c r="P561" s="44"/>
      <c r="Q561" s="34"/>
      <c r="R561" s="34"/>
      <c r="S561" s="34"/>
      <c r="T561" s="34"/>
    </row>
    <row r="562" ht="15.75" customHeight="1">
      <c r="B562" s="33">
        <v>46199.0</v>
      </c>
      <c r="C562" s="58">
        <v>593118.0</v>
      </c>
      <c r="D562" s="35">
        <v>1.0</v>
      </c>
      <c r="E562" s="37">
        <v>3419.0</v>
      </c>
      <c r="F562" s="38">
        <f t="shared" si="1"/>
        <v>3419</v>
      </c>
      <c r="G562" s="35" t="s">
        <v>4526</v>
      </c>
      <c r="H562" s="35" t="s">
        <v>35</v>
      </c>
      <c r="I562" s="35" t="s">
        <v>174</v>
      </c>
      <c r="J562" s="35" t="s">
        <v>175</v>
      </c>
      <c r="K562" s="35" t="s">
        <v>35</v>
      </c>
      <c r="L562" s="35" t="s">
        <v>4527</v>
      </c>
      <c r="M562" s="39">
        <v>1.0</v>
      </c>
      <c r="N562" s="40">
        <v>46203.0</v>
      </c>
      <c r="O562" s="42" t="b">
        <v>0</v>
      </c>
      <c r="P562" s="44"/>
      <c r="Q562" s="34"/>
      <c r="R562" s="33">
        <v>46199.0</v>
      </c>
      <c r="S562" s="34"/>
      <c r="T562" s="34"/>
    </row>
    <row r="563" ht="15.75" customHeight="1">
      <c r="B563" s="33">
        <v>46202.0</v>
      </c>
      <c r="C563" s="35">
        <v>21483.0</v>
      </c>
      <c r="D563" s="35">
        <v>10.0</v>
      </c>
      <c r="E563" s="37">
        <v>79.9</v>
      </c>
      <c r="F563" s="38">
        <f t="shared" si="1"/>
        <v>799</v>
      </c>
      <c r="G563" s="35" t="s">
        <v>902</v>
      </c>
      <c r="H563" s="35" t="s">
        <v>732</v>
      </c>
      <c r="I563" s="35" t="s">
        <v>41</v>
      </c>
      <c r="J563" s="35" t="s">
        <v>34</v>
      </c>
      <c r="K563" s="35" t="s">
        <v>35</v>
      </c>
      <c r="L563" s="35" t="s">
        <v>96</v>
      </c>
      <c r="M563" s="39">
        <v>31.0</v>
      </c>
      <c r="N563" s="40">
        <v>46204.0</v>
      </c>
      <c r="O563" s="42" t="b">
        <v>1</v>
      </c>
      <c r="P563" s="44">
        <v>46204.0</v>
      </c>
      <c r="Q563" s="34"/>
      <c r="R563" s="34"/>
      <c r="S563" s="34"/>
      <c r="T563" s="34"/>
    </row>
    <row r="564" ht="15.75" customHeight="1">
      <c r="B564" s="33">
        <v>46202.0</v>
      </c>
      <c r="C564" s="35">
        <v>21483.0</v>
      </c>
      <c r="D564" s="35">
        <v>10.0</v>
      </c>
      <c r="E564" s="37">
        <v>79.9</v>
      </c>
      <c r="F564" s="38">
        <f t="shared" si="1"/>
        <v>799</v>
      </c>
      <c r="G564" s="35" t="s">
        <v>2262</v>
      </c>
      <c r="H564" s="35" t="s">
        <v>2263</v>
      </c>
      <c r="I564" s="35" t="s">
        <v>41</v>
      </c>
      <c r="J564" s="35" t="s">
        <v>34</v>
      </c>
      <c r="K564" s="35" t="s">
        <v>35</v>
      </c>
      <c r="L564" s="35" t="s">
        <v>96</v>
      </c>
      <c r="M564" s="39">
        <v>31.0</v>
      </c>
      <c r="N564" s="40">
        <v>46204.0</v>
      </c>
      <c r="O564" s="42" t="b">
        <v>1</v>
      </c>
      <c r="P564" s="44">
        <v>46204.0</v>
      </c>
      <c r="Q564" s="34"/>
      <c r="R564" s="34"/>
      <c r="S564" s="34"/>
      <c r="T564" s="34"/>
    </row>
    <row r="565" ht="15.75" customHeight="1">
      <c r="B565" s="33">
        <v>46202.0</v>
      </c>
      <c r="C565" s="35">
        <v>21483.0</v>
      </c>
      <c r="D565" s="35">
        <v>20.0</v>
      </c>
      <c r="E565" s="37">
        <v>79.9</v>
      </c>
      <c r="F565" s="38">
        <f t="shared" si="1"/>
        <v>1598</v>
      </c>
      <c r="G565" s="35" t="s">
        <v>1366</v>
      </c>
      <c r="H565" s="35" t="s">
        <v>1368</v>
      </c>
      <c r="I565" s="35" t="s">
        <v>41</v>
      </c>
      <c r="J565" s="35" t="s">
        <v>34</v>
      </c>
      <c r="K565" s="35" t="s">
        <v>35</v>
      </c>
      <c r="L565" s="35" t="s">
        <v>96</v>
      </c>
      <c r="M565" s="39">
        <v>31.0</v>
      </c>
      <c r="N565" s="40">
        <v>46204.0</v>
      </c>
      <c r="O565" s="42" t="b">
        <v>1</v>
      </c>
      <c r="P565" s="44">
        <v>46204.0</v>
      </c>
      <c r="Q565" s="34"/>
      <c r="R565" s="34"/>
      <c r="S565" s="34"/>
      <c r="T565" s="34"/>
    </row>
    <row r="566" ht="15.75" customHeight="1">
      <c r="B566" s="33">
        <v>46202.0</v>
      </c>
      <c r="C566" s="35">
        <v>21483.0</v>
      </c>
      <c r="D566" s="35">
        <v>20.0</v>
      </c>
      <c r="E566" s="37">
        <v>34.9</v>
      </c>
      <c r="F566" s="38">
        <f t="shared" si="1"/>
        <v>698</v>
      </c>
      <c r="G566" s="35" t="s">
        <v>4538</v>
      </c>
      <c r="H566" s="35" t="s">
        <v>855</v>
      </c>
      <c r="I566" s="35" t="s">
        <v>41</v>
      </c>
      <c r="J566" s="35" t="s">
        <v>34</v>
      </c>
      <c r="K566" s="35" t="s">
        <v>35</v>
      </c>
      <c r="L566" s="35" t="s">
        <v>96</v>
      </c>
      <c r="M566" s="39">
        <v>31.0</v>
      </c>
      <c r="N566" s="40">
        <v>46204.0</v>
      </c>
      <c r="O566" s="42" t="b">
        <v>1</v>
      </c>
      <c r="P566" s="44">
        <v>46204.0</v>
      </c>
      <c r="Q566" s="34"/>
      <c r="R566" s="34"/>
      <c r="S566" s="34"/>
      <c r="T566" s="34"/>
    </row>
    <row r="567" ht="15.75" customHeight="1">
      <c r="B567" s="33">
        <v>46202.0</v>
      </c>
      <c r="C567" s="35">
        <v>21483.0</v>
      </c>
      <c r="D567" s="35">
        <v>36.0</v>
      </c>
      <c r="E567" s="37">
        <v>109.99</v>
      </c>
      <c r="F567" s="38">
        <f t="shared" si="1"/>
        <v>3959.64</v>
      </c>
      <c r="G567" s="35" t="s">
        <v>912</v>
      </c>
      <c r="H567" s="35" t="s">
        <v>914</v>
      </c>
      <c r="I567" s="35" t="s">
        <v>41</v>
      </c>
      <c r="J567" s="35" t="s">
        <v>34</v>
      </c>
      <c r="K567" s="35" t="s">
        <v>35</v>
      </c>
      <c r="L567" s="35" t="s">
        <v>96</v>
      </c>
      <c r="M567" s="39">
        <v>31.0</v>
      </c>
      <c r="N567" s="40">
        <v>46204.0</v>
      </c>
      <c r="O567" s="42" t="b">
        <v>1</v>
      </c>
      <c r="P567" s="44">
        <v>46204.0</v>
      </c>
      <c r="Q567" s="34"/>
      <c r="R567" s="34"/>
      <c r="S567" s="34"/>
      <c r="T567" s="34"/>
    </row>
    <row r="568" ht="15.75" customHeight="1">
      <c r="B568" s="33">
        <v>46202.0</v>
      </c>
      <c r="C568" s="35">
        <v>21483.0</v>
      </c>
      <c r="D568" s="35">
        <v>20.0</v>
      </c>
      <c r="E568" s="37">
        <v>119.9</v>
      </c>
      <c r="F568" s="38">
        <f t="shared" si="1"/>
        <v>2398</v>
      </c>
      <c r="G568" s="35" t="s">
        <v>700</v>
      </c>
      <c r="H568" s="35" t="s">
        <v>701</v>
      </c>
      <c r="I568" s="35" t="s">
        <v>41</v>
      </c>
      <c r="J568" s="35" t="s">
        <v>34</v>
      </c>
      <c r="K568" s="35" t="s">
        <v>35</v>
      </c>
      <c r="L568" s="35" t="s">
        <v>96</v>
      </c>
      <c r="M568" s="39">
        <v>31.0</v>
      </c>
      <c r="N568" s="40">
        <v>46204.0</v>
      </c>
      <c r="O568" s="42" t="b">
        <v>1</v>
      </c>
      <c r="P568" s="44">
        <v>46204.0</v>
      </c>
      <c r="Q568" s="34"/>
      <c r="R568" s="34"/>
      <c r="S568" s="34"/>
      <c r="T568" s="34"/>
    </row>
    <row r="569" ht="15.75" customHeight="1">
      <c r="B569" s="33">
        <v>46202.0</v>
      </c>
      <c r="C569" s="35">
        <v>21483.0</v>
      </c>
      <c r="D569" s="35">
        <v>4.0</v>
      </c>
      <c r="E569" s="37">
        <v>189.9</v>
      </c>
      <c r="F569" s="38">
        <f t="shared" si="1"/>
        <v>759.6</v>
      </c>
      <c r="G569" s="35" t="s">
        <v>3378</v>
      </c>
      <c r="H569" s="35" t="s">
        <v>3379</v>
      </c>
      <c r="I569" s="35" t="s">
        <v>41</v>
      </c>
      <c r="J569" s="35" t="s">
        <v>34</v>
      </c>
      <c r="K569" s="35" t="s">
        <v>35</v>
      </c>
      <c r="L569" s="35" t="s">
        <v>96</v>
      </c>
      <c r="M569" s="39">
        <v>31.0</v>
      </c>
      <c r="N569" s="40">
        <v>46204.0</v>
      </c>
      <c r="O569" s="42" t="b">
        <v>1</v>
      </c>
      <c r="P569" s="44"/>
      <c r="Q569" s="34"/>
      <c r="R569" s="34"/>
      <c r="S569" s="34"/>
      <c r="T569" s="34"/>
    </row>
    <row r="570" ht="15.75" customHeight="1">
      <c r="B570" s="33">
        <v>46202.0</v>
      </c>
      <c r="C570" s="35">
        <v>21483.0</v>
      </c>
      <c r="D570" s="35">
        <v>20.0</v>
      </c>
      <c r="E570" s="37">
        <v>379.9</v>
      </c>
      <c r="F570" s="38">
        <f t="shared" si="1"/>
        <v>7598</v>
      </c>
      <c r="G570" s="35" t="s">
        <v>1217</v>
      </c>
      <c r="H570" s="35" t="s">
        <v>1218</v>
      </c>
      <c r="I570" s="35" t="s">
        <v>41</v>
      </c>
      <c r="J570" s="35" t="s">
        <v>34</v>
      </c>
      <c r="K570" s="35" t="s">
        <v>35</v>
      </c>
      <c r="L570" s="35" t="s">
        <v>96</v>
      </c>
      <c r="M570" s="39">
        <v>31.0</v>
      </c>
      <c r="N570" s="40">
        <v>46204.0</v>
      </c>
      <c r="O570" s="42" t="b">
        <v>1</v>
      </c>
      <c r="P570" s="44">
        <v>46204.0</v>
      </c>
      <c r="Q570" s="34"/>
      <c r="R570" s="34"/>
      <c r="S570" s="34"/>
      <c r="T570" s="34"/>
    </row>
    <row r="571" ht="15.75" customHeight="1">
      <c r="B571" s="33">
        <v>46202.0</v>
      </c>
      <c r="C571" s="35">
        <v>21483.0</v>
      </c>
      <c r="D571" s="35">
        <v>24.0</v>
      </c>
      <c r="E571" s="37">
        <v>139.9</v>
      </c>
      <c r="F571" s="38">
        <f t="shared" si="1"/>
        <v>3357.6</v>
      </c>
      <c r="G571" s="35" t="s">
        <v>540</v>
      </c>
      <c r="H571" s="35" t="s">
        <v>541</v>
      </c>
      <c r="I571" s="35" t="s">
        <v>41</v>
      </c>
      <c r="J571" s="35" t="s">
        <v>34</v>
      </c>
      <c r="K571" s="35" t="s">
        <v>35</v>
      </c>
      <c r="L571" s="35" t="s">
        <v>96</v>
      </c>
      <c r="M571" s="39">
        <v>31.0</v>
      </c>
      <c r="N571" s="40">
        <v>46204.0</v>
      </c>
      <c r="O571" s="42" t="b">
        <v>1</v>
      </c>
      <c r="P571" s="44">
        <v>46204.0</v>
      </c>
      <c r="Q571" s="34"/>
      <c r="R571" s="34"/>
      <c r="S571" s="34"/>
      <c r="T571" s="34"/>
    </row>
    <row r="572" ht="15.75" customHeight="1">
      <c r="B572" s="33">
        <v>46202.0</v>
      </c>
      <c r="C572" s="35">
        <v>21483.0</v>
      </c>
      <c r="D572" s="35">
        <v>12.0</v>
      </c>
      <c r="E572" s="37">
        <v>139.9</v>
      </c>
      <c r="F572" s="38">
        <f t="shared" si="1"/>
        <v>1678.8</v>
      </c>
      <c r="G572" s="35" t="s">
        <v>544</v>
      </c>
      <c r="H572" s="35" t="s">
        <v>546</v>
      </c>
      <c r="I572" s="35" t="s">
        <v>41</v>
      </c>
      <c r="J572" s="35" t="s">
        <v>34</v>
      </c>
      <c r="K572" s="35" t="s">
        <v>35</v>
      </c>
      <c r="L572" s="35" t="s">
        <v>96</v>
      </c>
      <c r="M572" s="39">
        <v>31.0</v>
      </c>
      <c r="N572" s="40">
        <v>46204.0</v>
      </c>
      <c r="O572" s="42" t="b">
        <v>1</v>
      </c>
      <c r="P572" s="44">
        <v>46204.0</v>
      </c>
      <c r="Q572" s="34"/>
      <c r="R572" s="34"/>
      <c r="S572" s="34"/>
      <c r="T572" s="34"/>
    </row>
    <row r="573" ht="15.75" customHeight="1">
      <c r="B573" s="33">
        <v>46202.0</v>
      </c>
      <c r="C573" s="35">
        <v>21483.0</v>
      </c>
      <c r="D573" s="35">
        <v>20.0</v>
      </c>
      <c r="E573" s="37">
        <v>89.9</v>
      </c>
      <c r="F573" s="38">
        <f t="shared" si="1"/>
        <v>1798</v>
      </c>
      <c r="G573" s="35" t="s">
        <v>558</v>
      </c>
      <c r="H573" s="35" t="s">
        <v>559</v>
      </c>
      <c r="I573" s="35" t="s">
        <v>41</v>
      </c>
      <c r="J573" s="35" t="s">
        <v>34</v>
      </c>
      <c r="K573" s="35" t="s">
        <v>35</v>
      </c>
      <c r="L573" s="35" t="s">
        <v>96</v>
      </c>
      <c r="M573" s="39">
        <v>31.0</v>
      </c>
      <c r="N573" s="40">
        <v>46204.0</v>
      </c>
      <c r="O573" s="42" t="b">
        <v>1</v>
      </c>
      <c r="P573" s="44">
        <v>46204.0</v>
      </c>
      <c r="Q573" s="34"/>
      <c r="R573" s="34"/>
      <c r="S573" s="34"/>
      <c r="T573" s="34"/>
    </row>
    <row r="574" ht="15.75" customHeight="1">
      <c r="B574" s="33">
        <v>46202.0</v>
      </c>
      <c r="C574" s="35" t="s">
        <v>35</v>
      </c>
      <c r="D574" s="35">
        <v>50.0</v>
      </c>
      <c r="E574" s="37">
        <v>380.0</v>
      </c>
      <c r="F574" s="38">
        <f t="shared" si="1"/>
        <v>19000</v>
      </c>
      <c r="G574" s="79" t="s">
        <v>4560</v>
      </c>
      <c r="H574" s="35" t="s">
        <v>35</v>
      </c>
      <c r="I574" s="35" t="s">
        <v>32</v>
      </c>
      <c r="J574" s="35" t="s">
        <v>34</v>
      </c>
      <c r="K574" s="35" t="s">
        <v>35</v>
      </c>
      <c r="L574" s="35" t="s">
        <v>585</v>
      </c>
      <c r="M574" s="39">
        <v>31.0</v>
      </c>
      <c r="N574" s="40">
        <v>46204.0</v>
      </c>
      <c r="O574" s="42" t="b">
        <v>1</v>
      </c>
      <c r="P574" s="44">
        <v>46204.0</v>
      </c>
      <c r="Q574" s="34"/>
      <c r="R574" s="33">
        <v>46203.0</v>
      </c>
      <c r="S574" s="34"/>
      <c r="T574" s="34"/>
    </row>
    <row r="575" ht="15.75" customHeight="1">
      <c r="B575" s="33">
        <v>46202.0</v>
      </c>
      <c r="C575" s="35">
        <v>1038.0</v>
      </c>
      <c r="D575" s="35">
        <v>20.0</v>
      </c>
      <c r="E575" s="37">
        <v>650.0</v>
      </c>
      <c r="F575" s="38">
        <f t="shared" si="1"/>
        <v>13000</v>
      </c>
      <c r="G575" s="35" t="s">
        <v>4498</v>
      </c>
      <c r="H575" s="35" t="s">
        <v>35</v>
      </c>
      <c r="I575" s="35" t="s">
        <v>59</v>
      </c>
      <c r="J575" s="35" t="s">
        <v>34</v>
      </c>
      <c r="K575" s="35" t="s">
        <v>35</v>
      </c>
      <c r="L575" s="35" t="s">
        <v>132</v>
      </c>
      <c r="M575" s="39">
        <v>31.0</v>
      </c>
      <c r="N575" s="40">
        <v>46202.0</v>
      </c>
      <c r="O575" s="42" t="b">
        <v>0</v>
      </c>
      <c r="P575" s="44"/>
      <c r="Q575" s="34"/>
      <c r="R575" s="34"/>
      <c r="S575" s="34"/>
      <c r="T575" s="34"/>
    </row>
    <row r="576" ht="15.75" customHeight="1">
      <c r="B576" s="33">
        <v>46202.0</v>
      </c>
      <c r="C576" s="35">
        <v>1038.0</v>
      </c>
      <c r="D576" s="35">
        <v>50.0</v>
      </c>
      <c r="E576" s="37">
        <v>180.0</v>
      </c>
      <c r="F576" s="38">
        <f t="shared" si="1"/>
        <v>9000</v>
      </c>
      <c r="G576" s="35" t="s">
        <v>665</v>
      </c>
      <c r="H576" s="35" t="s">
        <v>1131</v>
      </c>
      <c r="I576" s="35" t="s">
        <v>59</v>
      </c>
      <c r="J576" s="35" t="s">
        <v>34</v>
      </c>
      <c r="K576" s="35" t="s">
        <v>35</v>
      </c>
      <c r="L576" s="35" t="s">
        <v>132</v>
      </c>
      <c r="M576" s="39">
        <v>31.0</v>
      </c>
      <c r="N576" s="40">
        <v>46202.0</v>
      </c>
      <c r="O576" s="42" t="b">
        <v>0</v>
      </c>
      <c r="P576" s="44"/>
      <c r="Q576" s="34"/>
      <c r="R576" s="34"/>
      <c r="S576" s="34"/>
      <c r="T576" s="34"/>
    </row>
    <row r="577" ht="15.75" customHeight="1">
      <c r="B577" s="33">
        <v>46202.0</v>
      </c>
      <c r="C577" s="35">
        <v>21517.0</v>
      </c>
      <c r="D577" s="35">
        <v>5.0</v>
      </c>
      <c r="E577" s="37">
        <v>159.9</v>
      </c>
      <c r="F577" s="38">
        <f t="shared" si="1"/>
        <v>799.5</v>
      </c>
      <c r="G577" s="71"/>
      <c r="H577" s="35" t="s">
        <v>4569</v>
      </c>
      <c r="I577" s="35" t="s">
        <v>32</v>
      </c>
      <c r="J577" s="35" t="s">
        <v>34</v>
      </c>
      <c r="K577" s="35" t="s">
        <v>35</v>
      </c>
      <c r="L577" s="35" t="s">
        <v>96</v>
      </c>
      <c r="M577" s="39">
        <v>1.0</v>
      </c>
      <c r="N577" s="40">
        <v>46204.0</v>
      </c>
      <c r="O577" s="42" t="b">
        <v>1</v>
      </c>
      <c r="P577" s="44">
        <v>46205.0</v>
      </c>
      <c r="Q577" s="34"/>
      <c r="R577" s="34"/>
      <c r="S577" s="34"/>
      <c r="T577" s="34"/>
    </row>
    <row r="578" ht="15.75" customHeight="1">
      <c r="B578" s="33">
        <v>46202.0</v>
      </c>
      <c r="C578" s="35">
        <v>21517.0</v>
      </c>
      <c r="D578" s="35">
        <v>8.0</v>
      </c>
      <c r="E578" s="37">
        <v>139.9</v>
      </c>
      <c r="F578" s="38">
        <f t="shared" si="1"/>
        <v>1119.2</v>
      </c>
      <c r="G578" s="35" t="s">
        <v>4573</v>
      </c>
      <c r="H578" s="35" t="s">
        <v>4574</v>
      </c>
      <c r="I578" s="35" t="s">
        <v>32</v>
      </c>
      <c r="J578" s="35" t="s">
        <v>34</v>
      </c>
      <c r="K578" s="35" t="s">
        <v>35</v>
      </c>
      <c r="L578" s="35" t="s">
        <v>96</v>
      </c>
      <c r="M578" s="39">
        <v>1.0</v>
      </c>
      <c r="N578" s="40">
        <v>46204.0</v>
      </c>
      <c r="O578" s="42" t="b">
        <v>1</v>
      </c>
      <c r="P578" s="44">
        <v>46205.0</v>
      </c>
      <c r="Q578" s="34"/>
      <c r="R578" s="34"/>
      <c r="S578" s="34"/>
      <c r="T578" s="34"/>
    </row>
    <row r="579" ht="15.75" customHeight="1">
      <c r="B579" s="33">
        <v>46202.0</v>
      </c>
      <c r="C579" s="35">
        <v>21517.0</v>
      </c>
      <c r="D579" s="35">
        <v>10.0</v>
      </c>
      <c r="E579" s="37">
        <v>119.9</v>
      </c>
      <c r="F579" s="38">
        <f t="shared" si="1"/>
        <v>1199</v>
      </c>
      <c r="G579" s="35" t="s">
        <v>416</v>
      </c>
      <c r="H579" s="35" t="s">
        <v>1820</v>
      </c>
      <c r="I579" s="35" t="s">
        <v>32</v>
      </c>
      <c r="J579" s="35" t="s">
        <v>34</v>
      </c>
      <c r="K579" s="35" t="s">
        <v>35</v>
      </c>
      <c r="L579" s="35" t="s">
        <v>96</v>
      </c>
      <c r="M579" s="39">
        <v>1.0</v>
      </c>
      <c r="N579" s="40">
        <v>46204.0</v>
      </c>
      <c r="O579" s="42" t="b">
        <v>1</v>
      </c>
      <c r="P579" s="44">
        <v>46205.0</v>
      </c>
      <c r="Q579" s="34"/>
      <c r="R579" s="34"/>
      <c r="S579" s="34"/>
      <c r="T579" s="34"/>
    </row>
    <row r="580" ht="15.75" customHeight="1">
      <c r="B580" s="33">
        <v>46203.0</v>
      </c>
      <c r="C580" s="35">
        <v>92014.0</v>
      </c>
      <c r="D580" s="35">
        <v>2000.0</v>
      </c>
      <c r="E580" s="37">
        <v>5.4</v>
      </c>
      <c r="F580" s="38">
        <f t="shared" si="1"/>
        <v>10800</v>
      </c>
      <c r="G580" s="35" t="s">
        <v>3894</v>
      </c>
      <c r="H580" s="35" t="s">
        <v>2579</v>
      </c>
      <c r="I580" s="35" t="s">
        <v>41</v>
      </c>
      <c r="J580" s="35" t="s">
        <v>34</v>
      </c>
      <c r="K580" s="35" t="s">
        <v>35</v>
      </c>
      <c r="L580" s="35" t="s">
        <v>1250</v>
      </c>
      <c r="M580" s="39">
        <v>31.0</v>
      </c>
      <c r="N580" s="40">
        <v>46111.0</v>
      </c>
      <c r="O580" s="42" t="b">
        <v>1</v>
      </c>
      <c r="P580" s="44">
        <v>46203.0</v>
      </c>
      <c r="Q580" s="34"/>
      <c r="R580" s="33">
        <v>46203.0</v>
      </c>
      <c r="S580" s="34"/>
      <c r="T580" s="34"/>
    </row>
    <row r="581" ht="15.75" customHeight="1">
      <c r="B581" s="33">
        <v>46203.0</v>
      </c>
      <c r="C581" s="35">
        <v>12330.0</v>
      </c>
      <c r="D581" s="35">
        <v>100.0</v>
      </c>
      <c r="E581" s="37">
        <v>20.0</v>
      </c>
      <c r="F581" s="38">
        <f t="shared" si="1"/>
        <v>2000</v>
      </c>
      <c r="G581" s="35" t="s">
        <v>4583</v>
      </c>
      <c r="H581" s="35" t="s">
        <v>1713</v>
      </c>
      <c r="I581" s="35" t="s">
        <v>41</v>
      </c>
      <c r="J581" s="35" t="s">
        <v>34</v>
      </c>
      <c r="K581" s="35" t="s">
        <v>35</v>
      </c>
      <c r="L581" s="35" t="s">
        <v>87</v>
      </c>
      <c r="M581" s="39">
        <v>31.0</v>
      </c>
      <c r="N581" s="40">
        <v>46203.0</v>
      </c>
      <c r="O581" s="42" t="b">
        <v>1</v>
      </c>
      <c r="P581" s="44">
        <v>46205.0</v>
      </c>
      <c r="Q581" s="34"/>
      <c r="R581" s="34"/>
      <c r="S581" s="34"/>
      <c r="T581" s="34"/>
    </row>
    <row r="582" ht="15.75" customHeight="1">
      <c r="B582" s="33">
        <v>46203.0</v>
      </c>
      <c r="C582" s="35">
        <v>16703.0</v>
      </c>
      <c r="D582" s="35">
        <v>1000.0</v>
      </c>
      <c r="E582" s="37">
        <v>115.0</v>
      </c>
      <c r="F582" s="38">
        <f t="shared" si="1"/>
        <v>115000</v>
      </c>
      <c r="G582" s="35" t="s">
        <v>874</v>
      </c>
      <c r="H582" s="35" t="s">
        <v>874</v>
      </c>
      <c r="I582" s="35" t="s">
        <v>41</v>
      </c>
      <c r="J582" s="35" t="s">
        <v>40</v>
      </c>
      <c r="K582" s="35" t="s">
        <v>35</v>
      </c>
      <c r="L582" s="35" t="s">
        <v>877</v>
      </c>
      <c r="M582" s="39">
        <v>1.0</v>
      </c>
      <c r="N582" s="40">
        <v>46206.0</v>
      </c>
      <c r="O582" s="42" t="b">
        <v>0</v>
      </c>
      <c r="P582" s="44"/>
      <c r="Q582" s="34"/>
      <c r="R582" s="34"/>
      <c r="S582" s="34"/>
      <c r="T582" s="34"/>
    </row>
    <row r="583" ht="15.75" customHeight="1">
      <c r="B583" s="33">
        <v>46203.0</v>
      </c>
      <c r="C583" s="35">
        <v>16704.0</v>
      </c>
      <c r="D583" s="35">
        <v>2000.0</v>
      </c>
      <c r="E583" s="37">
        <v>159.0</v>
      </c>
      <c r="F583" s="38">
        <f t="shared" si="1"/>
        <v>318000</v>
      </c>
      <c r="G583" s="35" t="s">
        <v>883</v>
      </c>
      <c r="H583" s="35" t="s">
        <v>883</v>
      </c>
      <c r="I583" s="35" t="s">
        <v>41</v>
      </c>
      <c r="J583" s="35" t="s">
        <v>40</v>
      </c>
      <c r="K583" s="35" t="s">
        <v>35</v>
      </c>
      <c r="L583" s="35" t="s">
        <v>877</v>
      </c>
      <c r="M583" s="39">
        <v>1.0</v>
      </c>
      <c r="N583" s="40">
        <v>46206.0</v>
      </c>
      <c r="O583" s="42" t="b">
        <v>1</v>
      </c>
      <c r="P583" s="44"/>
      <c r="Q583" s="34"/>
      <c r="R583" s="34"/>
      <c r="S583" s="34"/>
      <c r="T583" s="34"/>
    </row>
    <row r="584" ht="15.75" customHeight="1">
      <c r="B584" s="33">
        <v>46203.0</v>
      </c>
      <c r="C584" s="35">
        <v>16705.0</v>
      </c>
      <c r="D584" s="35">
        <v>1000.0</v>
      </c>
      <c r="E584" s="37">
        <v>320.0</v>
      </c>
      <c r="F584" s="38">
        <f t="shared" si="1"/>
        <v>320000</v>
      </c>
      <c r="G584" s="35" t="s">
        <v>895</v>
      </c>
      <c r="H584" s="35" t="s">
        <v>895</v>
      </c>
      <c r="I584" s="35" t="s">
        <v>41</v>
      </c>
      <c r="J584" s="35" t="s">
        <v>40</v>
      </c>
      <c r="K584" s="35" t="s">
        <v>35</v>
      </c>
      <c r="L584" s="35" t="s">
        <v>877</v>
      </c>
      <c r="M584" s="39">
        <v>1.0</v>
      </c>
      <c r="N584" s="40">
        <v>46206.0</v>
      </c>
      <c r="O584" s="42" t="b">
        <v>0</v>
      </c>
      <c r="P584" s="44"/>
      <c r="Q584" s="34"/>
      <c r="R584" s="34"/>
      <c r="S584" s="34"/>
      <c r="T584" s="34"/>
    </row>
    <row r="585" ht="15.75" customHeight="1">
      <c r="B585" s="33">
        <v>46203.0</v>
      </c>
      <c r="C585" s="35" t="s">
        <v>35</v>
      </c>
      <c r="D585" s="35">
        <v>60.0</v>
      </c>
      <c r="E585" s="37">
        <v>450.0</v>
      </c>
      <c r="F585" s="38">
        <f t="shared" si="1"/>
        <v>27000</v>
      </c>
      <c r="G585" s="35" t="s">
        <v>3903</v>
      </c>
      <c r="H585" s="35" t="s">
        <v>312</v>
      </c>
      <c r="I585" s="35" t="s">
        <v>59</v>
      </c>
      <c r="J585" s="35" t="s">
        <v>34</v>
      </c>
      <c r="K585" s="35" t="s">
        <v>35</v>
      </c>
      <c r="L585" s="35" t="s">
        <v>314</v>
      </c>
      <c r="M585" s="39">
        <v>31.0</v>
      </c>
      <c r="N585" s="40">
        <v>46203.0</v>
      </c>
      <c r="O585" s="42" t="b">
        <v>1</v>
      </c>
      <c r="P585" s="44"/>
      <c r="Q585" s="34"/>
      <c r="R585" s="33">
        <v>46204.0</v>
      </c>
      <c r="S585" s="34"/>
      <c r="T585" s="34"/>
    </row>
    <row r="586" ht="15.75" customHeight="1">
      <c r="B586" s="33">
        <v>46203.0</v>
      </c>
      <c r="C586" s="35">
        <v>12366.0</v>
      </c>
      <c r="D586" s="35">
        <v>100.0</v>
      </c>
      <c r="E586" s="37">
        <v>230.0</v>
      </c>
      <c r="F586" s="38">
        <f t="shared" si="1"/>
        <v>23000</v>
      </c>
      <c r="G586" s="35" t="s">
        <v>601</v>
      </c>
      <c r="H586" s="35" t="s">
        <v>4587</v>
      </c>
      <c r="I586" s="35" t="s">
        <v>240</v>
      </c>
      <c r="J586" s="35" t="s">
        <v>34</v>
      </c>
      <c r="K586" s="35" t="s">
        <v>35</v>
      </c>
      <c r="L586" s="35" t="s">
        <v>87</v>
      </c>
      <c r="M586" s="39">
        <v>31.0</v>
      </c>
      <c r="N586" s="40">
        <v>46176.0</v>
      </c>
      <c r="O586" s="42" t="b">
        <v>1</v>
      </c>
      <c r="P586" s="44">
        <v>46205.0</v>
      </c>
      <c r="Q586" s="34"/>
      <c r="R586" s="34"/>
      <c r="S586" s="34"/>
      <c r="T586" s="34"/>
    </row>
    <row r="587" ht="15.75" customHeight="1">
      <c r="B587" s="33">
        <v>46203.0</v>
      </c>
      <c r="C587" s="35">
        <v>7927.0</v>
      </c>
      <c r="D587" s="35">
        <v>50.0</v>
      </c>
      <c r="E587" s="37">
        <v>615.0</v>
      </c>
      <c r="F587" s="38">
        <f t="shared" si="1"/>
        <v>30750</v>
      </c>
      <c r="G587" s="35" t="s">
        <v>4590</v>
      </c>
      <c r="H587" s="35" t="s">
        <v>4591</v>
      </c>
      <c r="I587" s="35" t="s">
        <v>32</v>
      </c>
      <c r="J587" s="35" t="s">
        <v>34</v>
      </c>
      <c r="K587" s="35" t="s">
        <v>35</v>
      </c>
      <c r="L587" s="35" t="s">
        <v>868</v>
      </c>
      <c r="M587" s="39">
        <v>31.0</v>
      </c>
      <c r="N587" s="40">
        <v>46203.0</v>
      </c>
      <c r="O587" s="42" t="b">
        <v>1</v>
      </c>
      <c r="P587" s="44">
        <v>46204.0</v>
      </c>
      <c r="Q587" s="34"/>
      <c r="R587" s="34"/>
      <c r="S587" s="34"/>
      <c r="T587" s="34"/>
    </row>
    <row r="588" ht="15.75" customHeight="1">
      <c r="B588" s="33">
        <v>46203.0</v>
      </c>
      <c r="C588" s="35">
        <v>923694.0</v>
      </c>
      <c r="D588" s="35">
        <v>140.0</v>
      </c>
      <c r="E588" s="37">
        <v>87.9</v>
      </c>
      <c r="F588" s="38">
        <f t="shared" si="1"/>
        <v>12306</v>
      </c>
      <c r="G588" s="35" t="s">
        <v>4596</v>
      </c>
      <c r="H588" s="35" t="s">
        <v>123</v>
      </c>
      <c r="I588" s="35" t="s">
        <v>59</v>
      </c>
      <c r="J588" s="35" t="s">
        <v>34</v>
      </c>
      <c r="K588" s="35" t="s">
        <v>35</v>
      </c>
      <c r="L588" s="35" t="s">
        <v>43</v>
      </c>
      <c r="M588" s="39">
        <v>1.0</v>
      </c>
      <c r="N588" s="40">
        <v>46208.0</v>
      </c>
      <c r="O588" s="42" t="b">
        <v>1</v>
      </c>
      <c r="P588" s="44">
        <v>46209.0</v>
      </c>
      <c r="Q588" s="34"/>
      <c r="R588" s="34"/>
      <c r="S588" s="34"/>
      <c r="T588" s="34"/>
    </row>
    <row r="589" ht="15.75" customHeight="1">
      <c r="B589" s="33">
        <v>46203.0</v>
      </c>
      <c r="C589" s="35">
        <v>21683.0</v>
      </c>
      <c r="D589" s="35">
        <v>200.0</v>
      </c>
      <c r="E589" s="37">
        <v>5.99</v>
      </c>
      <c r="F589" s="38">
        <f t="shared" si="1"/>
        <v>1198</v>
      </c>
      <c r="G589" s="35" t="s">
        <v>4598</v>
      </c>
      <c r="H589" s="35" t="s">
        <v>4599</v>
      </c>
      <c r="I589" s="35" t="s">
        <v>41</v>
      </c>
      <c r="J589" s="35" t="s">
        <v>34</v>
      </c>
      <c r="K589" s="35" t="s">
        <v>35</v>
      </c>
      <c r="L589" s="35" t="s">
        <v>96</v>
      </c>
      <c r="M589" s="39">
        <v>31.0</v>
      </c>
      <c r="N589" s="40">
        <v>46210.0</v>
      </c>
      <c r="O589" s="42" t="b">
        <v>1</v>
      </c>
      <c r="P589" s="44">
        <v>46204.0</v>
      </c>
      <c r="Q589" s="34"/>
      <c r="R589" s="34"/>
      <c r="S589" s="34"/>
      <c r="T589" s="34"/>
    </row>
    <row r="590" ht="15.75" customHeight="1">
      <c r="B590" s="33">
        <v>46203.0</v>
      </c>
      <c r="C590" s="35">
        <v>21683.0</v>
      </c>
      <c r="D590" s="35">
        <v>5.0</v>
      </c>
      <c r="E590" s="37">
        <v>339.9</v>
      </c>
      <c r="F590" s="38">
        <f t="shared" si="1"/>
        <v>1699.5</v>
      </c>
      <c r="G590" s="35" t="s">
        <v>393</v>
      </c>
      <c r="H590" s="35" t="s">
        <v>396</v>
      </c>
      <c r="I590" s="35" t="s">
        <v>41</v>
      </c>
      <c r="J590" s="35" t="s">
        <v>34</v>
      </c>
      <c r="K590" s="35" t="s">
        <v>35</v>
      </c>
      <c r="L590" s="35" t="s">
        <v>96</v>
      </c>
      <c r="M590" s="39">
        <v>31.0</v>
      </c>
      <c r="N590" s="40">
        <v>46210.0</v>
      </c>
      <c r="O590" s="42" t="b">
        <v>1</v>
      </c>
      <c r="P590" s="44">
        <v>46204.0</v>
      </c>
      <c r="Q590" s="34"/>
      <c r="R590" s="34"/>
      <c r="S590" s="34"/>
      <c r="T590" s="34"/>
    </row>
    <row r="591" ht="15.75" customHeight="1">
      <c r="B591" s="33">
        <v>46203.0</v>
      </c>
      <c r="C591" s="35">
        <v>21683.0</v>
      </c>
      <c r="D591" s="35">
        <v>6.0</v>
      </c>
      <c r="E591" s="37">
        <v>269.9</v>
      </c>
      <c r="F591" s="38">
        <f t="shared" si="1"/>
        <v>1619.4</v>
      </c>
      <c r="G591" s="35" t="s">
        <v>4607</v>
      </c>
      <c r="H591" s="35" t="s">
        <v>200</v>
      </c>
      <c r="I591" s="35" t="s">
        <v>41</v>
      </c>
      <c r="J591" s="35" t="s">
        <v>34</v>
      </c>
      <c r="K591" s="35" t="s">
        <v>35</v>
      </c>
      <c r="L591" s="35" t="s">
        <v>96</v>
      </c>
      <c r="M591" s="39">
        <v>31.0</v>
      </c>
      <c r="N591" s="40">
        <v>46210.0</v>
      </c>
      <c r="O591" s="42" t="b">
        <v>1</v>
      </c>
      <c r="P591" s="44">
        <v>46204.0</v>
      </c>
      <c r="Q591" s="34"/>
      <c r="R591" s="34"/>
      <c r="S591" s="34"/>
      <c r="T591" s="34"/>
    </row>
    <row r="592" ht="15.75" customHeight="1">
      <c r="B592" s="33">
        <v>46203.0</v>
      </c>
      <c r="C592" s="35">
        <v>21683.0</v>
      </c>
      <c r="D592" s="35">
        <v>144.0</v>
      </c>
      <c r="E592" s="37">
        <v>10.9</v>
      </c>
      <c r="F592" s="38">
        <f t="shared" si="1"/>
        <v>1569.6</v>
      </c>
      <c r="G592" s="35" t="s">
        <v>2332</v>
      </c>
      <c r="H592" s="35" t="s">
        <v>641</v>
      </c>
      <c r="I592" s="35" t="s">
        <v>41</v>
      </c>
      <c r="J592" s="35" t="s">
        <v>34</v>
      </c>
      <c r="K592" s="35" t="s">
        <v>35</v>
      </c>
      <c r="L592" s="35" t="s">
        <v>96</v>
      </c>
      <c r="M592" s="39">
        <v>31.0</v>
      </c>
      <c r="N592" s="40">
        <v>46210.0</v>
      </c>
      <c r="O592" s="42" t="b">
        <v>1</v>
      </c>
      <c r="P592" s="44">
        <v>46204.0</v>
      </c>
      <c r="Q592" s="34"/>
      <c r="R592" s="34"/>
      <c r="S592" s="34"/>
      <c r="T592" s="34"/>
    </row>
    <row r="593" ht="15.75" customHeight="1">
      <c r="B593" s="33">
        <v>46203.0</v>
      </c>
      <c r="C593" s="35">
        <v>21683.0</v>
      </c>
      <c r="D593" s="35">
        <v>60.0</v>
      </c>
      <c r="E593" s="37">
        <v>11.8</v>
      </c>
      <c r="F593" s="38">
        <f t="shared" si="1"/>
        <v>708</v>
      </c>
      <c r="G593" s="35" t="s">
        <v>1896</v>
      </c>
      <c r="H593" s="35" t="s">
        <v>1897</v>
      </c>
      <c r="I593" s="35" t="s">
        <v>41</v>
      </c>
      <c r="J593" s="35" t="s">
        <v>34</v>
      </c>
      <c r="K593" s="35" t="s">
        <v>35</v>
      </c>
      <c r="L593" s="35" t="s">
        <v>96</v>
      </c>
      <c r="M593" s="39">
        <v>31.0</v>
      </c>
      <c r="N593" s="40">
        <v>46210.0</v>
      </c>
      <c r="O593" s="42" t="b">
        <v>1</v>
      </c>
      <c r="P593" s="44">
        <v>46204.0</v>
      </c>
      <c r="Q593" s="34"/>
      <c r="R593" s="34"/>
      <c r="S593" s="34"/>
      <c r="T593" s="34"/>
    </row>
    <row r="594" ht="15.75" customHeight="1">
      <c r="B594" s="33">
        <v>46203.0</v>
      </c>
      <c r="C594" s="35">
        <v>21683.0</v>
      </c>
      <c r="D594" s="35">
        <v>300.0</v>
      </c>
      <c r="E594" s="37">
        <v>2.2</v>
      </c>
      <c r="F594" s="38">
        <f t="shared" si="1"/>
        <v>660</v>
      </c>
      <c r="G594" s="35" t="s">
        <v>1678</v>
      </c>
      <c r="H594" s="35" t="s">
        <v>1680</v>
      </c>
      <c r="I594" s="35" t="s">
        <v>41</v>
      </c>
      <c r="J594" s="35" t="s">
        <v>34</v>
      </c>
      <c r="K594" s="35" t="s">
        <v>35</v>
      </c>
      <c r="L594" s="35" t="s">
        <v>96</v>
      </c>
      <c r="M594" s="39">
        <v>31.0</v>
      </c>
      <c r="N594" s="40">
        <v>46210.0</v>
      </c>
      <c r="O594" s="42" t="b">
        <v>1</v>
      </c>
      <c r="P594" s="44">
        <v>46204.0</v>
      </c>
      <c r="Q594" s="34"/>
      <c r="R594" s="34"/>
      <c r="S594" s="34"/>
      <c r="T594" s="34"/>
    </row>
    <row r="595" ht="15.75" customHeight="1">
      <c r="B595" s="33">
        <v>46203.0</v>
      </c>
      <c r="C595" s="35">
        <v>21683.0</v>
      </c>
      <c r="D595" s="35">
        <v>10.0</v>
      </c>
      <c r="E595" s="37">
        <v>163.9</v>
      </c>
      <c r="F595" s="38">
        <f t="shared" si="1"/>
        <v>1639</v>
      </c>
      <c r="G595" s="35" t="s">
        <v>2162</v>
      </c>
      <c r="H595" s="35" t="s">
        <v>196</v>
      </c>
      <c r="I595" s="35" t="s">
        <v>41</v>
      </c>
      <c r="J595" s="35" t="s">
        <v>34</v>
      </c>
      <c r="K595" s="35" t="s">
        <v>35</v>
      </c>
      <c r="L595" s="35" t="s">
        <v>96</v>
      </c>
      <c r="M595" s="39">
        <v>31.0</v>
      </c>
      <c r="N595" s="40">
        <v>46210.0</v>
      </c>
      <c r="O595" s="42" t="b">
        <v>1</v>
      </c>
      <c r="P595" s="44">
        <v>46204.0</v>
      </c>
      <c r="Q595" s="34"/>
      <c r="R595" s="34"/>
      <c r="S595" s="34"/>
      <c r="T595" s="34"/>
    </row>
    <row r="596" ht="15.75" customHeight="1">
      <c r="B596" s="33">
        <v>46203.0</v>
      </c>
      <c r="C596" s="35">
        <v>21683.0</v>
      </c>
      <c r="D596" s="35">
        <v>72.0</v>
      </c>
      <c r="E596" s="37">
        <v>9.59</v>
      </c>
      <c r="F596" s="38">
        <f t="shared" si="1"/>
        <v>690.48</v>
      </c>
      <c r="G596" s="35" t="s">
        <v>4622</v>
      </c>
      <c r="H596" s="35" t="s">
        <v>1656</v>
      </c>
      <c r="I596" s="35" t="s">
        <v>41</v>
      </c>
      <c r="J596" s="35" t="s">
        <v>34</v>
      </c>
      <c r="K596" s="35" t="s">
        <v>35</v>
      </c>
      <c r="L596" s="35" t="s">
        <v>96</v>
      </c>
      <c r="M596" s="39">
        <v>31.0</v>
      </c>
      <c r="N596" s="40">
        <v>46210.0</v>
      </c>
      <c r="O596" s="42" t="b">
        <v>1</v>
      </c>
      <c r="P596" s="44">
        <v>46204.0</v>
      </c>
      <c r="Q596" s="34"/>
      <c r="R596" s="34"/>
      <c r="S596" s="34"/>
      <c r="T596" s="34"/>
    </row>
    <row r="597" ht="15.75" customHeight="1">
      <c r="B597" s="33">
        <v>46203.0</v>
      </c>
      <c r="C597" s="35">
        <v>21683.0</v>
      </c>
      <c r="D597" s="35">
        <v>20.0</v>
      </c>
      <c r="E597" s="37">
        <v>159.9</v>
      </c>
      <c r="F597" s="38">
        <f t="shared" si="1"/>
        <v>3198</v>
      </c>
      <c r="G597" s="35" t="s">
        <v>2824</v>
      </c>
      <c r="H597" s="35" t="s">
        <v>2987</v>
      </c>
      <c r="I597" s="35" t="s">
        <v>41</v>
      </c>
      <c r="J597" s="35" t="s">
        <v>34</v>
      </c>
      <c r="K597" s="35" t="s">
        <v>35</v>
      </c>
      <c r="L597" s="35" t="s">
        <v>96</v>
      </c>
      <c r="M597" s="39">
        <v>31.0</v>
      </c>
      <c r="N597" s="40">
        <v>46210.0</v>
      </c>
      <c r="O597" s="42" t="b">
        <v>1</v>
      </c>
      <c r="P597" s="44">
        <v>46204.0</v>
      </c>
      <c r="Q597" s="34"/>
      <c r="R597" s="34"/>
      <c r="S597" s="34"/>
      <c r="T597" s="34"/>
    </row>
    <row r="598" ht="15.75" customHeight="1">
      <c r="B598" s="33">
        <v>46203.0</v>
      </c>
      <c r="C598" s="35">
        <v>21683.0</v>
      </c>
      <c r="D598" s="35">
        <v>2.0</v>
      </c>
      <c r="E598" s="37">
        <v>299.9</v>
      </c>
      <c r="F598" s="38">
        <f t="shared" si="1"/>
        <v>599.8</v>
      </c>
      <c r="G598" s="35" t="s">
        <v>228</v>
      </c>
      <c r="H598" s="35" t="s">
        <v>230</v>
      </c>
      <c r="I598" s="35" t="s">
        <v>41</v>
      </c>
      <c r="J598" s="35" t="s">
        <v>34</v>
      </c>
      <c r="K598" s="35" t="s">
        <v>35</v>
      </c>
      <c r="L598" s="35" t="s">
        <v>96</v>
      </c>
      <c r="M598" s="39">
        <v>31.0</v>
      </c>
      <c r="N598" s="40">
        <v>46210.0</v>
      </c>
      <c r="O598" s="42" t="b">
        <v>1</v>
      </c>
      <c r="P598" s="44">
        <v>46204.0</v>
      </c>
      <c r="Q598" s="34"/>
      <c r="R598" s="34"/>
      <c r="S598" s="34"/>
      <c r="T598" s="34"/>
    </row>
    <row r="599" ht="15.75" customHeight="1">
      <c r="B599" s="33">
        <v>46203.0</v>
      </c>
      <c r="C599" s="35">
        <v>21688.0</v>
      </c>
      <c r="D599" s="35">
        <v>16.0</v>
      </c>
      <c r="E599" s="37">
        <v>38.99</v>
      </c>
      <c r="F599" s="38">
        <f t="shared" si="1"/>
        <v>623.84</v>
      </c>
      <c r="G599" s="35" t="s">
        <v>4628</v>
      </c>
      <c r="H599" s="35" t="s">
        <v>4629</v>
      </c>
      <c r="I599" s="35" t="s">
        <v>32</v>
      </c>
      <c r="J599" s="35" t="s">
        <v>34</v>
      </c>
      <c r="K599" s="35" t="s">
        <v>35</v>
      </c>
      <c r="L599" s="35" t="s">
        <v>96</v>
      </c>
      <c r="M599" s="39">
        <v>1.0</v>
      </c>
      <c r="N599" s="40">
        <v>46205.0</v>
      </c>
      <c r="O599" s="42" t="b">
        <v>1</v>
      </c>
      <c r="P599" s="44">
        <v>46205.0</v>
      </c>
      <c r="Q599" s="34"/>
      <c r="R599" s="34"/>
      <c r="S599" s="34"/>
      <c r="T599" s="34"/>
    </row>
    <row r="600" ht="15.75" customHeight="1">
      <c r="B600" s="33">
        <v>46203.0</v>
      </c>
      <c r="C600" s="35">
        <v>21688.0</v>
      </c>
      <c r="D600" s="35">
        <v>20.0</v>
      </c>
      <c r="E600" s="37">
        <v>99.9</v>
      </c>
      <c r="F600" s="38">
        <f t="shared" si="1"/>
        <v>1998</v>
      </c>
      <c r="G600" s="35" t="s">
        <v>1370</v>
      </c>
      <c r="H600" s="35" t="s">
        <v>1371</v>
      </c>
      <c r="I600" s="35" t="s">
        <v>32</v>
      </c>
      <c r="J600" s="35" t="s">
        <v>34</v>
      </c>
      <c r="K600" s="35" t="s">
        <v>35</v>
      </c>
      <c r="L600" s="35" t="s">
        <v>96</v>
      </c>
      <c r="M600" s="39">
        <v>1.0</v>
      </c>
      <c r="N600" s="40">
        <v>46205.0</v>
      </c>
      <c r="O600" s="42" t="b">
        <v>1</v>
      </c>
      <c r="P600" s="44">
        <v>46205.0</v>
      </c>
      <c r="Q600" s="34"/>
      <c r="R600" s="34"/>
      <c r="S600" s="34"/>
      <c r="T600" s="34"/>
    </row>
    <row r="601" ht="15.75" customHeight="1">
      <c r="B601" s="33">
        <v>46203.0</v>
      </c>
      <c r="C601" s="46" t="s">
        <v>4631</v>
      </c>
      <c r="D601" s="35">
        <v>100.0</v>
      </c>
      <c r="E601" s="37">
        <v>13.02</v>
      </c>
      <c r="F601" s="38">
        <f t="shared" si="1"/>
        <v>1302</v>
      </c>
      <c r="G601" s="35" t="s">
        <v>4632</v>
      </c>
      <c r="H601" s="35" t="s">
        <v>4633</v>
      </c>
      <c r="I601" s="35" t="s">
        <v>240</v>
      </c>
      <c r="J601" s="35" t="s">
        <v>34</v>
      </c>
      <c r="K601" s="35" t="s">
        <v>35</v>
      </c>
      <c r="L601" s="35" t="s">
        <v>1189</v>
      </c>
      <c r="M601" s="39">
        <v>1.0</v>
      </c>
      <c r="N601" s="40">
        <v>46205.0</v>
      </c>
      <c r="O601" s="42" t="b">
        <v>1</v>
      </c>
      <c r="P601" s="44">
        <v>46205.0</v>
      </c>
      <c r="Q601" s="34"/>
      <c r="R601" s="34"/>
      <c r="S601" s="34"/>
      <c r="T601" s="34"/>
    </row>
    <row r="602" ht="15.75" customHeight="1">
      <c r="B602" s="33">
        <v>46203.0</v>
      </c>
      <c r="C602" s="35">
        <v>12401.0</v>
      </c>
      <c r="D602" s="35">
        <v>300.0</v>
      </c>
      <c r="E602" s="37">
        <v>285.0</v>
      </c>
      <c r="F602" s="38">
        <f t="shared" si="1"/>
        <v>85500</v>
      </c>
      <c r="G602" s="35" t="s">
        <v>2838</v>
      </c>
      <c r="H602" s="35" t="s">
        <v>1158</v>
      </c>
      <c r="I602" s="35" t="s">
        <v>32</v>
      </c>
      <c r="J602" s="35" t="s">
        <v>34</v>
      </c>
      <c r="K602" s="35" t="s">
        <v>35</v>
      </c>
      <c r="L602" s="35" t="s">
        <v>87</v>
      </c>
      <c r="M602" s="39">
        <v>1.0</v>
      </c>
      <c r="N602" s="40">
        <v>46203.0</v>
      </c>
      <c r="O602" s="42" t="b">
        <v>1</v>
      </c>
      <c r="P602" s="44">
        <v>46203.0</v>
      </c>
      <c r="Q602" s="34"/>
      <c r="R602" s="34"/>
      <c r="S602" s="34"/>
      <c r="T602" s="34"/>
    </row>
    <row r="603" ht="15.75" customHeight="1">
      <c r="B603" s="33">
        <v>46203.0</v>
      </c>
      <c r="C603" s="35">
        <v>12402.0</v>
      </c>
      <c r="D603" s="35">
        <v>6.0</v>
      </c>
      <c r="E603" s="37">
        <v>364.0</v>
      </c>
      <c r="F603" s="38">
        <f t="shared" si="1"/>
        <v>2184</v>
      </c>
      <c r="G603" s="35" t="s">
        <v>1805</v>
      </c>
      <c r="H603" s="35" t="s">
        <v>4634</v>
      </c>
      <c r="I603" s="35" t="s">
        <v>41</v>
      </c>
      <c r="J603" s="35" t="s">
        <v>34</v>
      </c>
      <c r="K603" s="35" t="s">
        <v>35</v>
      </c>
      <c r="L603" s="35" t="s">
        <v>87</v>
      </c>
      <c r="M603" s="39">
        <v>31.0</v>
      </c>
      <c r="N603" s="40">
        <v>46204.0</v>
      </c>
      <c r="O603" s="42" t="b">
        <v>1</v>
      </c>
      <c r="P603" s="44">
        <v>46205.0</v>
      </c>
      <c r="Q603" s="34"/>
      <c r="R603" s="34"/>
      <c r="S603" s="34"/>
      <c r="T603" s="34"/>
    </row>
    <row r="604" ht="15.75" customHeight="1">
      <c r="B604" s="33">
        <v>46203.0</v>
      </c>
      <c r="C604" s="46" t="s">
        <v>4635</v>
      </c>
      <c r="D604" s="35">
        <v>5.0</v>
      </c>
      <c r="E604" s="37">
        <v>368.0</v>
      </c>
      <c r="F604" s="38">
        <f t="shared" si="1"/>
        <v>1840</v>
      </c>
      <c r="G604" s="35" t="s">
        <v>4636</v>
      </c>
      <c r="H604" s="35" t="s">
        <v>443</v>
      </c>
      <c r="I604" s="35" t="s">
        <v>59</v>
      </c>
      <c r="J604" s="35" t="s">
        <v>34</v>
      </c>
      <c r="K604" s="35" t="s">
        <v>35</v>
      </c>
      <c r="L604" s="35" t="s">
        <v>151</v>
      </c>
      <c r="M604" s="39">
        <v>31.0</v>
      </c>
      <c r="N604" s="40">
        <v>46203.0</v>
      </c>
      <c r="O604" s="42" t="b">
        <v>0</v>
      </c>
      <c r="P604" s="44">
        <v>46203.0</v>
      </c>
      <c r="Q604" s="34"/>
      <c r="R604" s="34"/>
      <c r="S604" s="34"/>
      <c r="T604" s="34"/>
    </row>
    <row r="605" ht="15.75" customHeight="1">
      <c r="B605" s="33">
        <v>46203.0</v>
      </c>
      <c r="C605" s="35">
        <v>108284.0</v>
      </c>
      <c r="D605" s="35">
        <v>3620.0</v>
      </c>
      <c r="E605" s="37">
        <v>149.998</v>
      </c>
      <c r="F605" s="38"/>
      <c r="G605" s="35" t="s">
        <v>4637</v>
      </c>
      <c r="H605" s="35" t="s">
        <v>35</v>
      </c>
      <c r="I605" s="35" t="s">
        <v>39</v>
      </c>
      <c r="J605" s="35" t="s">
        <v>40</v>
      </c>
      <c r="K605" s="35" t="s">
        <v>345</v>
      </c>
      <c r="L605" s="35" t="s">
        <v>68</v>
      </c>
      <c r="M605" s="39">
        <v>1.0</v>
      </c>
      <c r="N605" s="40"/>
      <c r="O605" s="42" t="b">
        <v>0</v>
      </c>
      <c r="P605" s="44"/>
      <c r="Q605" s="34"/>
      <c r="R605" s="34"/>
      <c r="S605" s="34"/>
      <c r="T605" s="34"/>
    </row>
  </sheetData>
  <autoFilter ref="$A$7:$T$605"/>
  <customSheetViews>
    <customSheetView guid="{011D09D9-BA89-4D0B-9506-D9DA30850F67}" filter="1" showAutoFilter="1">
      <autoFilter ref="$A$7:$T$604"/>
    </customSheetView>
    <customSheetView guid="{C3504DA8-6A6B-47DB-92DD-78888F7DB974}" filter="1" showAutoFilter="1">
      <autoFilter ref="$A$7:$T$604"/>
    </customSheetView>
  </customSheetViews>
  <mergeCells count="3">
    <mergeCell ref="B1:F1"/>
    <mergeCell ref="C2:F2"/>
    <mergeCell ref="C3:F3"/>
  </mergeCells>
  <conditionalFormatting sqref="O8:O605">
    <cfRule type="expression" dxfId="1" priority="1">
      <formula>$O8=TRUE</formula>
    </cfRule>
  </conditionalFormatting>
  <conditionalFormatting sqref="N8:N249 N252:N350 N352:N406 N416:N443 N445:N448 N451:N476 N478 N480:N484 N502 N504:N605">
    <cfRule type="containsBlanks" dxfId="2" priority="2">
      <formula>LEN(TRIM(N8))=0</formula>
    </cfRule>
  </conditionalFormatting>
  <conditionalFormatting sqref="N1:N249 N252:N350 N352:N406 N416:N443 N445:N448 N451:N476 N478 N480:N484 N502 N504:N605">
    <cfRule type="containsText" dxfId="3" priority="3" operator="containsText" text="EM DIA">
      <formula>NOT(ISERROR(SEARCH(("EM DIA"),(N1))))</formula>
    </cfRule>
  </conditionalFormatting>
  <conditionalFormatting sqref="N1:N249 N252:N350 N352:N406 N416:N443 N445:N448 N451:N476 N478 N480:N484 N502 N504:N605">
    <cfRule type="containsText" dxfId="4" priority="4" operator="containsText" text="ATRASADO">
      <formula>NOT(ISERROR(SEARCH(("ATRASADO"),(N1))))</formula>
    </cfRule>
  </conditionalFormatting>
  <hyperlinks>
    <hyperlink r:id="rId4" ref="C3"/>
  </hyperlinks>
  <printOptions/>
  <pageMargins bottom="0.787401575" footer="0.0" header="0.0" left="0.511811024" right="0.511811024" top="0.787401575"/>
  <pageSetup orientation="landscape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18.86"/>
    <col customWidth="1" min="3" max="3" width="12.57"/>
    <col customWidth="1" min="4" max="4" width="8.86"/>
    <col customWidth="1" min="5" max="5" width="15.71"/>
    <col customWidth="1" min="6" max="6" width="15.43"/>
    <col customWidth="1" min="7" max="7" width="85.43"/>
    <col customWidth="1" min="8" max="8" width="50.43"/>
    <col customWidth="1" min="9" max="9" width="14.14"/>
    <col customWidth="1" min="10" max="10" width="17.71"/>
    <col customWidth="1" min="11" max="11" width="42.0"/>
    <col customWidth="1" min="12" max="12" width="17.14"/>
    <col customWidth="1" min="13" max="13" width="13.29"/>
    <col customWidth="1" min="14" max="14" width="21.86"/>
    <col customWidth="1" min="15" max="15" width="15.57"/>
    <col customWidth="1" min="16" max="17" width="22.29"/>
    <col customWidth="1" min="18" max="20" width="15.29"/>
  </cols>
  <sheetData>
    <row r="1" ht="63.75" customHeight="1">
      <c r="B1" s="2" t="s">
        <v>1</v>
      </c>
      <c r="C1" s="3"/>
      <c r="D1" s="3"/>
      <c r="E1" s="3"/>
      <c r="F1" s="3"/>
      <c r="G1" s="4"/>
      <c r="N1" s="6"/>
      <c r="Q1" s="7"/>
    </row>
    <row r="2" ht="39.0" customHeight="1">
      <c r="B2" s="8" t="s">
        <v>2</v>
      </c>
      <c r="C2" s="83" t="s">
        <v>3</v>
      </c>
      <c r="D2" s="10"/>
      <c r="E2" s="10"/>
      <c r="F2" s="11"/>
      <c r="N2" s="6"/>
      <c r="Q2" s="7"/>
    </row>
    <row r="3" ht="32.25" customHeight="1">
      <c r="B3" s="14" t="s">
        <v>4</v>
      </c>
      <c r="C3" s="84" t="s">
        <v>5</v>
      </c>
      <c r="D3" s="16"/>
      <c r="E3" s="16"/>
      <c r="F3" s="17"/>
      <c r="N3" s="6"/>
      <c r="Q3" s="7"/>
    </row>
    <row r="4">
      <c r="B4" s="7"/>
      <c r="C4" s="85"/>
      <c r="E4" s="18"/>
      <c r="F4" s="12"/>
      <c r="N4" s="6"/>
      <c r="Q4" s="7"/>
    </row>
    <row r="5" ht="13.5" customHeight="1">
      <c r="B5" s="20" t="s">
        <v>8</v>
      </c>
      <c r="C5" s="21" t="s">
        <v>9</v>
      </c>
      <c r="D5" s="21" t="s">
        <v>10</v>
      </c>
      <c r="E5" s="22" t="s">
        <v>11</v>
      </c>
      <c r="F5" s="23" t="s">
        <v>13</v>
      </c>
      <c r="G5" s="23" t="s">
        <v>15</v>
      </c>
      <c r="H5" s="25" t="s">
        <v>16</v>
      </c>
      <c r="I5" s="25" t="s">
        <v>17</v>
      </c>
      <c r="J5" s="25" t="s">
        <v>18</v>
      </c>
      <c r="K5" s="29" t="s">
        <v>19</v>
      </c>
      <c r="L5" s="25" t="s">
        <v>21</v>
      </c>
      <c r="M5" s="28" t="s">
        <v>22</v>
      </c>
      <c r="N5" s="30" t="s">
        <v>23</v>
      </c>
      <c r="O5" s="31" t="s">
        <v>25</v>
      </c>
      <c r="P5" s="24" t="s">
        <v>24</v>
      </c>
      <c r="Q5" s="21" t="s">
        <v>28</v>
      </c>
      <c r="R5" s="32" t="s">
        <v>26</v>
      </c>
      <c r="S5" s="24" t="s">
        <v>27</v>
      </c>
      <c r="T5" s="24" t="s">
        <v>27</v>
      </c>
    </row>
    <row r="6" ht="13.5" customHeight="1">
      <c r="B6" s="86">
        <v>46235.0</v>
      </c>
      <c r="C6" s="65">
        <v>9120.0</v>
      </c>
      <c r="D6" s="65">
        <v>104.0</v>
      </c>
      <c r="E6" s="87">
        <v>124.5</v>
      </c>
      <c r="F6" s="88"/>
      <c r="G6" s="65" t="s">
        <v>3442</v>
      </c>
      <c r="H6" s="65" t="s">
        <v>3005</v>
      </c>
      <c r="I6" s="65" t="s">
        <v>32</v>
      </c>
      <c r="J6" s="65" t="s">
        <v>3264</v>
      </c>
      <c r="K6" s="65"/>
      <c r="L6" s="65" t="s">
        <v>81</v>
      </c>
      <c r="M6" s="89">
        <v>31.0</v>
      </c>
      <c r="N6" s="90">
        <v>46238.0</v>
      </c>
      <c r="O6" s="42" t="b">
        <v>0</v>
      </c>
      <c r="P6" s="44">
        <v>46241.0</v>
      </c>
      <c r="Q6" s="34"/>
      <c r="R6" s="34"/>
      <c r="S6" s="34"/>
      <c r="T6" s="34"/>
    </row>
    <row r="7" ht="15.75" customHeight="1">
      <c r="B7" s="86">
        <v>46235.0</v>
      </c>
      <c r="C7" s="65">
        <v>25954.0</v>
      </c>
      <c r="D7" s="65">
        <v>48.0</v>
      </c>
      <c r="E7" s="87">
        <v>17.99</v>
      </c>
      <c r="F7" s="88"/>
      <c r="G7" s="65" t="s">
        <v>3444</v>
      </c>
      <c r="H7" s="65" t="s">
        <v>1464</v>
      </c>
      <c r="I7" s="65" t="s">
        <v>240</v>
      </c>
      <c r="J7" s="65" t="s">
        <v>3264</v>
      </c>
      <c r="K7" s="65"/>
      <c r="L7" s="65" t="s">
        <v>96</v>
      </c>
      <c r="M7" s="89">
        <v>31.0</v>
      </c>
      <c r="N7" s="90">
        <v>46238.0</v>
      </c>
      <c r="O7" s="42" t="b">
        <v>0</v>
      </c>
      <c r="P7" s="44">
        <v>46241.0</v>
      </c>
      <c r="Q7" s="34"/>
      <c r="R7" s="34"/>
      <c r="S7" s="34"/>
      <c r="T7" s="34"/>
    </row>
    <row r="8" ht="15.75" customHeight="1">
      <c r="B8" s="86">
        <v>46235.0</v>
      </c>
      <c r="C8" s="65">
        <v>16381.0</v>
      </c>
      <c r="D8" s="65">
        <v>100.0</v>
      </c>
      <c r="E8" s="87">
        <v>54.0</v>
      </c>
      <c r="F8" s="87">
        <v>5400.0</v>
      </c>
      <c r="G8" s="65" t="s">
        <v>3447</v>
      </c>
      <c r="H8" s="65" t="s">
        <v>3448</v>
      </c>
      <c r="I8" s="65" t="s">
        <v>41</v>
      </c>
      <c r="J8" s="65" t="s">
        <v>3264</v>
      </c>
      <c r="K8" s="65"/>
      <c r="L8" s="65" t="s">
        <v>87</v>
      </c>
      <c r="M8" s="89">
        <v>31.0</v>
      </c>
      <c r="N8" s="90">
        <v>46239.0</v>
      </c>
      <c r="O8" s="42" t="b">
        <v>0</v>
      </c>
      <c r="P8" s="44">
        <v>46241.0</v>
      </c>
      <c r="Q8" s="34"/>
      <c r="R8" s="34"/>
      <c r="S8" s="34"/>
      <c r="T8" s="35"/>
    </row>
    <row r="9" ht="15.75" customHeight="1">
      <c r="B9" s="86">
        <v>46235.0</v>
      </c>
      <c r="C9" s="65">
        <v>16381.0</v>
      </c>
      <c r="D9" s="65">
        <v>100.0</v>
      </c>
      <c r="E9" s="87">
        <v>14.4</v>
      </c>
      <c r="F9" s="87">
        <v>1440.0</v>
      </c>
      <c r="G9" s="65" t="s">
        <v>3451</v>
      </c>
      <c r="H9" s="65" t="s">
        <v>3452</v>
      </c>
      <c r="I9" s="65" t="s">
        <v>41</v>
      </c>
      <c r="J9" s="65" t="s">
        <v>3264</v>
      </c>
      <c r="K9" s="65"/>
      <c r="L9" s="65" t="s">
        <v>87</v>
      </c>
      <c r="M9" s="89">
        <v>31.0</v>
      </c>
      <c r="N9" s="90">
        <v>46239.0</v>
      </c>
      <c r="O9" s="42" t="b">
        <v>0</v>
      </c>
      <c r="P9" s="44">
        <v>46241.0</v>
      </c>
      <c r="Q9" s="34"/>
      <c r="R9" s="34"/>
      <c r="S9" s="34"/>
      <c r="T9" s="34"/>
    </row>
    <row r="10" ht="15.75" customHeight="1">
      <c r="B10" s="86">
        <v>46235.0</v>
      </c>
      <c r="C10" s="65">
        <v>16420.0</v>
      </c>
      <c r="D10" s="65">
        <v>20.0</v>
      </c>
      <c r="E10" s="87">
        <v>285.0</v>
      </c>
      <c r="F10" s="87">
        <v>5700.0</v>
      </c>
      <c r="G10" s="65" t="s">
        <v>3455</v>
      </c>
      <c r="H10" s="65" t="s">
        <v>3456</v>
      </c>
      <c r="I10" s="65" t="s">
        <v>59</v>
      </c>
      <c r="J10" s="65" t="s">
        <v>3264</v>
      </c>
      <c r="K10" s="65" t="s">
        <v>3457</v>
      </c>
      <c r="L10" s="65" t="s">
        <v>87</v>
      </c>
      <c r="M10" s="89">
        <v>31.0</v>
      </c>
      <c r="N10" s="90">
        <v>46237.0</v>
      </c>
      <c r="O10" s="42" t="b">
        <v>1</v>
      </c>
      <c r="P10" s="44"/>
      <c r="Q10" s="34"/>
      <c r="R10" s="34"/>
      <c r="S10" s="34"/>
      <c r="T10" s="34"/>
    </row>
    <row r="11" ht="15.75" customHeight="1">
      <c r="B11" s="86">
        <v>46235.0</v>
      </c>
      <c r="C11" s="65">
        <v>5104.0</v>
      </c>
      <c r="D11" s="65">
        <v>1.0</v>
      </c>
      <c r="E11" s="87">
        <v>5500.0</v>
      </c>
      <c r="F11" s="87">
        <v>5500.0</v>
      </c>
      <c r="G11" s="65" t="s">
        <v>2502</v>
      </c>
      <c r="H11" s="65" t="s">
        <v>3460</v>
      </c>
      <c r="I11" s="65" t="s">
        <v>221</v>
      </c>
      <c r="J11" s="65" t="s">
        <v>3264</v>
      </c>
      <c r="K11" s="65" t="s">
        <v>3463</v>
      </c>
      <c r="L11" s="65" t="s">
        <v>2251</v>
      </c>
      <c r="M11" s="89" t="s">
        <v>3464</v>
      </c>
      <c r="N11" s="90">
        <v>46239.0</v>
      </c>
      <c r="O11" s="42" t="b">
        <v>0</v>
      </c>
      <c r="P11" s="44"/>
      <c r="Q11" s="34"/>
      <c r="R11" s="34"/>
      <c r="S11" s="34"/>
      <c r="T11" s="34"/>
    </row>
    <row r="12" ht="15.75" customHeight="1">
      <c r="B12" s="86">
        <v>46237.0</v>
      </c>
      <c r="C12" s="91" t="s">
        <v>35</v>
      </c>
      <c r="D12" s="65">
        <v>20.0</v>
      </c>
      <c r="E12" s="87">
        <v>2026.69</v>
      </c>
      <c r="F12" s="87">
        <v>40533.9</v>
      </c>
      <c r="G12" s="65" t="s">
        <v>3468</v>
      </c>
      <c r="H12" s="65"/>
      <c r="I12" s="65" t="s">
        <v>175</v>
      </c>
      <c r="J12" s="65" t="s">
        <v>3264</v>
      </c>
      <c r="K12" s="65"/>
      <c r="L12" s="65" t="s">
        <v>711</v>
      </c>
      <c r="M12" s="89">
        <v>31.0</v>
      </c>
      <c r="N12" s="90">
        <v>46250.0</v>
      </c>
      <c r="O12" s="42" t="b">
        <v>0</v>
      </c>
      <c r="P12" s="44">
        <v>46251.0</v>
      </c>
      <c r="Q12" s="34"/>
      <c r="R12" s="34"/>
      <c r="S12" s="34"/>
      <c r="T12" s="34"/>
    </row>
    <row r="13" ht="15.75" customHeight="1">
      <c r="B13" s="86">
        <v>46237.0</v>
      </c>
      <c r="C13" s="91" t="s">
        <v>35</v>
      </c>
      <c r="D13" s="65">
        <v>10.0</v>
      </c>
      <c r="E13" s="87">
        <v>1284.52</v>
      </c>
      <c r="F13" s="87">
        <v>12845.25</v>
      </c>
      <c r="G13" s="65" t="s">
        <v>3471</v>
      </c>
      <c r="H13" s="65"/>
      <c r="I13" s="65" t="s">
        <v>175</v>
      </c>
      <c r="J13" s="65" t="s">
        <v>3264</v>
      </c>
      <c r="K13" s="65"/>
      <c r="L13" s="65" t="s">
        <v>711</v>
      </c>
      <c r="M13" s="89">
        <v>31.0</v>
      </c>
      <c r="N13" s="90">
        <v>46250.0</v>
      </c>
      <c r="O13" s="42" t="b">
        <v>0</v>
      </c>
      <c r="P13" s="44">
        <v>46251.0</v>
      </c>
      <c r="Q13" s="34"/>
      <c r="R13" s="34"/>
      <c r="S13" s="34"/>
      <c r="T13" s="34"/>
    </row>
    <row r="14" ht="15.75" customHeight="1">
      <c r="B14" s="86">
        <v>46237.0</v>
      </c>
      <c r="C14" s="91" t="s">
        <v>35</v>
      </c>
      <c r="D14" s="65">
        <v>25.0</v>
      </c>
      <c r="E14" s="87">
        <v>1016.2</v>
      </c>
      <c r="F14" s="87">
        <v>25405.05</v>
      </c>
      <c r="G14" s="65" t="s">
        <v>3474</v>
      </c>
      <c r="H14" s="65"/>
      <c r="I14" s="65" t="s">
        <v>175</v>
      </c>
      <c r="J14" s="65" t="s">
        <v>3264</v>
      </c>
      <c r="K14" s="65"/>
      <c r="L14" s="65" t="s">
        <v>711</v>
      </c>
      <c r="M14" s="89">
        <v>31.0</v>
      </c>
      <c r="N14" s="90">
        <v>46250.0</v>
      </c>
      <c r="O14" s="42" t="b">
        <v>0</v>
      </c>
      <c r="P14" s="44">
        <v>46251.0</v>
      </c>
      <c r="Q14" s="34"/>
      <c r="R14" s="34"/>
      <c r="S14" s="34"/>
      <c r="T14" s="34"/>
    </row>
    <row r="15" ht="15.75" customHeight="1">
      <c r="B15" s="86">
        <v>46237.0</v>
      </c>
      <c r="C15" s="91" t="s">
        <v>3476</v>
      </c>
      <c r="D15" s="65" t="s">
        <v>3477</v>
      </c>
      <c r="E15" s="87" t="s">
        <v>35</v>
      </c>
      <c r="F15" s="87">
        <v>9542.65</v>
      </c>
      <c r="G15" s="65" t="s">
        <v>3479</v>
      </c>
      <c r="H15" s="65" t="s">
        <v>3480</v>
      </c>
      <c r="I15" s="65" t="s">
        <v>32</v>
      </c>
      <c r="J15" s="65" t="s">
        <v>3264</v>
      </c>
      <c r="K15" s="65" t="s">
        <v>3457</v>
      </c>
      <c r="L15" s="65" t="s">
        <v>96</v>
      </c>
      <c r="M15" s="89">
        <v>1.0</v>
      </c>
      <c r="N15" s="90">
        <v>46241.0</v>
      </c>
      <c r="O15" s="42" t="b">
        <v>0</v>
      </c>
      <c r="P15" s="44"/>
      <c r="Q15" s="34"/>
      <c r="R15" s="34"/>
      <c r="S15" s="34"/>
      <c r="T15" s="34"/>
    </row>
    <row r="16" ht="15.75" customHeight="1">
      <c r="B16" s="86">
        <v>46237.0</v>
      </c>
      <c r="C16" s="65">
        <v>8597.0</v>
      </c>
      <c r="D16" s="65">
        <v>30.0</v>
      </c>
      <c r="E16" s="87">
        <v>23.4</v>
      </c>
      <c r="F16" s="87">
        <v>702.0</v>
      </c>
      <c r="G16" s="65" t="s">
        <v>3482</v>
      </c>
      <c r="H16" s="65" t="s">
        <v>3093</v>
      </c>
      <c r="I16" s="65" t="s">
        <v>32</v>
      </c>
      <c r="J16" s="65" t="s">
        <v>3264</v>
      </c>
      <c r="K16" s="65" t="s">
        <v>3483</v>
      </c>
      <c r="L16" s="65" t="s">
        <v>62</v>
      </c>
      <c r="M16" s="89">
        <v>31.0</v>
      </c>
      <c r="N16" s="90">
        <v>46240.0</v>
      </c>
      <c r="O16" s="42" t="b">
        <v>0</v>
      </c>
      <c r="P16" s="44"/>
      <c r="Q16" s="34"/>
      <c r="R16" s="34"/>
      <c r="S16" s="34"/>
      <c r="T16" s="34"/>
    </row>
    <row r="17" ht="15.75" customHeight="1">
      <c r="B17" s="86">
        <v>46237.0</v>
      </c>
      <c r="C17" s="91" t="s">
        <v>3484</v>
      </c>
      <c r="D17" s="65">
        <v>3.0</v>
      </c>
      <c r="E17" s="87">
        <v>4050.0</v>
      </c>
      <c r="F17" s="87">
        <v>12150.0</v>
      </c>
      <c r="G17" s="65" t="s">
        <v>3485</v>
      </c>
      <c r="H17" s="65" t="s">
        <v>3486</v>
      </c>
      <c r="I17" s="65" t="s">
        <v>39</v>
      </c>
      <c r="J17" s="65" t="s">
        <v>40</v>
      </c>
      <c r="K17" s="65" t="s">
        <v>3487</v>
      </c>
      <c r="L17" s="65" t="s">
        <v>3488</v>
      </c>
      <c r="M17" s="89">
        <v>1.0</v>
      </c>
      <c r="N17" s="90">
        <v>46238.0</v>
      </c>
      <c r="O17" s="42" t="b">
        <v>0</v>
      </c>
      <c r="P17" s="44"/>
      <c r="Q17" s="34"/>
      <c r="R17" s="34"/>
      <c r="S17" s="34"/>
      <c r="T17" s="34"/>
    </row>
    <row r="18" ht="15.75" customHeight="1">
      <c r="B18" s="86">
        <v>46238.0</v>
      </c>
      <c r="C18" s="65">
        <v>16535.0</v>
      </c>
      <c r="D18" s="65">
        <v>20.0</v>
      </c>
      <c r="E18" s="87">
        <v>285.0</v>
      </c>
      <c r="F18" s="87">
        <v>5700.0</v>
      </c>
      <c r="G18" s="65" t="s">
        <v>3455</v>
      </c>
      <c r="H18" s="65" t="s">
        <v>3456</v>
      </c>
      <c r="I18" s="65" t="s">
        <v>59</v>
      </c>
      <c r="J18" s="65" t="s">
        <v>3264</v>
      </c>
      <c r="K18" s="65" t="s">
        <v>3457</v>
      </c>
      <c r="L18" s="65" t="s">
        <v>87</v>
      </c>
      <c r="M18" s="89">
        <v>31.0</v>
      </c>
      <c r="N18" s="90">
        <v>46237.0</v>
      </c>
      <c r="O18" s="42" t="b">
        <v>1</v>
      </c>
      <c r="P18" s="44"/>
      <c r="Q18" s="34"/>
      <c r="R18" s="34"/>
      <c r="S18" s="34"/>
      <c r="T18" s="34"/>
    </row>
    <row r="19" ht="15.75" customHeight="1">
      <c r="B19" s="86">
        <v>46238.0</v>
      </c>
      <c r="C19" s="65">
        <v>8650.0</v>
      </c>
      <c r="D19" s="65">
        <v>500.0</v>
      </c>
      <c r="E19" s="87">
        <v>226.1</v>
      </c>
      <c r="F19" s="87">
        <v>113050.0</v>
      </c>
      <c r="G19" s="65" t="s">
        <v>3489</v>
      </c>
      <c r="H19" s="65" t="s">
        <v>3490</v>
      </c>
      <c r="I19" s="65" t="s">
        <v>32</v>
      </c>
      <c r="J19" s="65" t="s">
        <v>40</v>
      </c>
      <c r="K19" s="65"/>
      <c r="L19" s="65" t="s">
        <v>62</v>
      </c>
      <c r="M19" s="89">
        <v>31.0</v>
      </c>
      <c r="N19" s="90">
        <v>46239.0</v>
      </c>
      <c r="O19" s="42" t="b">
        <v>1</v>
      </c>
      <c r="P19" s="44">
        <v>46241.0</v>
      </c>
      <c r="Q19" s="34"/>
      <c r="R19" s="34"/>
      <c r="S19" s="34"/>
      <c r="T19" s="34"/>
    </row>
    <row r="20" ht="15.75" customHeight="1">
      <c r="B20" s="86">
        <v>46238.0</v>
      </c>
      <c r="C20" s="91" t="s">
        <v>3491</v>
      </c>
      <c r="D20" s="65">
        <v>50.0</v>
      </c>
      <c r="E20" s="87">
        <v>110.04</v>
      </c>
      <c r="F20" s="87">
        <v>5501.95</v>
      </c>
      <c r="G20" s="65" t="s">
        <v>3492</v>
      </c>
      <c r="H20" s="65" t="s">
        <v>3493</v>
      </c>
      <c r="I20" s="65" t="s">
        <v>3494</v>
      </c>
      <c r="J20" s="65" t="s">
        <v>34</v>
      </c>
      <c r="K20" s="65" t="s">
        <v>3457</v>
      </c>
      <c r="L20" s="65" t="s">
        <v>365</v>
      </c>
      <c r="M20" s="89">
        <v>31.0</v>
      </c>
      <c r="N20" s="90">
        <v>46245.0</v>
      </c>
      <c r="O20" s="42" t="b">
        <v>1</v>
      </c>
      <c r="P20" s="44"/>
      <c r="Q20" s="34"/>
      <c r="R20" s="34"/>
      <c r="S20" s="34"/>
      <c r="T20" s="34"/>
    </row>
    <row r="21" ht="15.75" customHeight="1">
      <c r="B21" s="86">
        <v>46238.0</v>
      </c>
      <c r="C21" s="91" t="s">
        <v>3491</v>
      </c>
      <c r="D21" s="65">
        <v>50.0</v>
      </c>
      <c r="E21" s="87">
        <v>36.68</v>
      </c>
      <c r="F21" s="87">
        <v>1834.11</v>
      </c>
      <c r="G21" s="65" t="s">
        <v>3495</v>
      </c>
      <c r="H21" s="65" t="s">
        <v>3497</v>
      </c>
      <c r="I21" s="65" t="s">
        <v>59</v>
      </c>
      <c r="J21" s="65" t="s">
        <v>34</v>
      </c>
      <c r="K21" s="65" t="s">
        <v>3457</v>
      </c>
      <c r="L21" s="65" t="s">
        <v>365</v>
      </c>
      <c r="M21" s="89">
        <v>31.0</v>
      </c>
      <c r="N21" s="90">
        <v>46245.0</v>
      </c>
      <c r="O21" s="42" t="b">
        <v>1</v>
      </c>
      <c r="P21" s="44"/>
      <c r="Q21" s="34"/>
      <c r="R21" s="34"/>
      <c r="S21" s="34"/>
      <c r="T21" s="34"/>
    </row>
    <row r="22" ht="15.75" customHeight="1">
      <c r="B22" s="86">
        <v>46238.0</v>
      </c>
      <c r="C22" s="91" t="s">
        <v>3498</v>
      </c>
      <c r="D22" s="65">
        <v>100.0</v>
      </c>
      <c r="E22" s="87">
        <v>13.05</v>
      </c>
      <c r="F22" s="87">
        <v>1305.0</v>
      </c>
      <c r="G22" s="65" t="s">
        <v>3499</v>
      </c>
      <c r="H22" s="65" t="s">
        <v>3142</v>
      </c>
      <c r="I22" s="65" t="s">
        <v>2239</v>
      </c>
      <c r="J22" s="65" t="s">
        <v>40</v>
      </c>
      <c r="K22" s="65"/>
      <c r="L22" s="65" t="s">
        <v>279</v>
      </c>
      <c r="M22" s="89">
        <v>31.0</v>
      </c>
      <c r="N22" s="90">
        <v>46241.0</v>
      </c>
      <c r="O22" s="42" t="b">
        <v>0</v>
      </c>
      <c r="P22" s="44">
        <v>46244.0</v>
      </c>
      <c r="Q22" s="34"/>
      <c r="R22" s="34"/>
      <c r="S22" s="34"/>
      <c r="T22" s="34"/>
    </row>
    <row r="23" ht="15.75" customHeight="1">
      <c r="B23" s="86">
        <v>46238.0</v>
      </c>
      <c r="C23" s="65">
        <v>16593.0</v>
      </c>
      <c r="D23" s="65">
        <v>380.0</v>
      </c>
      <c r="E23" s="87">
        <v>83.0</v>
      </c>
      <c r="F23" s="87">
        <v>31540.0</v>
      </c>
      <c r="G23" s="65" t="s">
        <v>3500</v>
      </c>
      <c r="H23" s="65" t="s">
        <v>1151</v>
      </c>
      <c r="I23" s="65" t="s">
        <v>41</v>
      </c>
      <c r="J23" s="65" t="s">
        <v>40</v>
      </c>
      <c r="K23" s="65"/>
      <c r="L23" s="65" t="s">
        <v>87</v>
      </c>
      <c r="M23" s="89">
        <v>31.0</v>
      </c>
      <c r="N23" s="90">
        <v>46239.0</v>
      </c>
      <c r="O23" s="42" t="b">
        <v>0</v>
      </c>
      <c r="P23" s="44">
        <v>46241.0</v>
      </c>
      <c r="Q23" s="34"/>
      <c r="R23" s="34"/>
      <c r="S23" s="34"/>
      <c r="T23" s="34"/>
    </row>
    <row r="24" ht="15.75" customHeight="1">
      <c r="B24" s="92">
        <v>46238.0</v>
      </c>
      <c r="C24" s="65"/>
      <c r="D24" s="65">
        <v>50.0</v>
      </c>
      <c r="E24" s="87">
        <v>430.0</v>
      </c>
      <c r="F24" s="87">
        <v>21500.0</v>
      </c>
      <c r="G24" s="65" t="s">
        <v>3501</v>
      </c>
      <c r="H24" s="65" t="s">
        <v>312</v>
      </c>
      <c r="I24" s="65" t="s">
        <v>41</v>
      </c>
      <c r="J24" s="65" t="s">
        <v>3254</v>
      </c>
      <c r="K24" s="65" t="s">
        <v>3463</v>
      </c>
      <c r="L24" s="65" t="s">
        <v>3502</v>
      </c>
      <c r="M24" s="89">
        <v>31.0</v>
      </c>
      <c r="N24" s="90">
        <v>46238.0</v>
      </c>
      <c r="O24" s="42" t="b">
        <v>0</v>
      </c>
      <c r="P24" s="44">
        <v>46239.0</v>
      </c>
      <c r="Q24" s="34"/>
      <c r="R24" s="34"/>
      <c r="S24" s="34"/>
      <c r="T24" s="34"/>
    </row>
    <row r="25" ht="15.75" customHeight="1">
      <c r="B25" s="86">
        <v>46238.0</v>
      </c>
      <c r="C25" s="65"/>
      <c r="D25" s="65">
        <v>100.0</v>
      </c>
      <c r="E25" s="87">
        <v>430.0</v>
      </c>
      <c r="F25" s="87">
        <v>43000.0</v>
      </c>
      <c r="G25" s="65" t="s">
        <v>3501</v>
      </c>
      <c r="H25" s="65" t="s">
        <v>312</v>
      </c>
      <c r="I25" s="65" t="s">
        <v>59</v>
      </c>
      <c r="J25" s="65" t="s">
        <v>3254</v>
      </c>
      <c r="K25" s="65" t="s">
        <v>3503</v>
      </c>
      <c r="L25" s="65" t="s">
        <v>3504</v>
      </c>
      <c r="M25" s="89">
        <v>31.0</v>
      </c>
      <c r="N25" s="90">
        <v>46237.0</v>
      </c>
      <c r="O25" s="42" t="b">
        <v>1</v>
      </c>
      <c r="P25" s="44"/>
      <c r="Q25" s="34"/>
      <c r="R25" s="34"/>
      <c r="S25" s="34"/>
      <c r="T25" s="34"/>
    </row>
    <row r="26" ht="15.75" customHeight="1">
      <c r="B26" s="86">
        <v>46238.0</v>
      </c>
      <c r="C26" s="91" t="s">
        <v>3506</v>
      </c>
      <c r="D26" s="65" t="s">
        <v>3507</v>
      </c>
      <c r="E26" s="87" t="s">
        <v>35</v>
      </c>
      <c r="F26" s="87">
        <v>15767.65</v>
      </c>
      <c r="G26" s="65" t="s">
        <v>3508</v>
      </c>
      <c r="H26" s="65" t="s">
        <v>3509</v>
      </c>
      <c r="I26" s="65" t="s">
        <v>41</v>
      </c>
      <c r="J26" s="65" t="s">
        <v>3264</v>
      </c>
      <c r="K26" s="65" t="s">
        <v>3510</v>
      </c>
      <c r="L26" s="65" t="s">
        <v>96</v>
      </c>
      <c r="M26" s="89">
        <v>31.0</v>
      </c>
      <c r="N26" s="90">
        <v>46241.0</v>
      </c>
      <c r="O26" s="42" t="b">
        <v>0</v>
      </c>
      <c r="P26" s="44"/>
      <c r="Q26" s="34"/>
      <c r="R26" s="34"/>
      <c r="S26" s="34"/>
      <c r="T26" s="34"/>
    </row>
    <row r="27" ht="15.75" customHeight="1">
      <c r="B27" s="86">
        <v>46238.0</v>
      </c>
      <c r="C27" s="91" t="s">
        <v>3511</v>
      </c>
      <c r="D27" s="65" t="s">
        <v>3512</v>
      </c>
      <c r="E27" s="87" t="s">
        <v>35</v>
      </c>
      <c r="F27" s="87">
        <v>27251.0</v>
      </c>
      <c r="G27" s="65" t="s">
        <v>3513</v>
      </c>
      <c r="H27" s="65" t="s">
        <v>3514</v>
      </c>
      <c r="I27" s="65" t="s">
        <v>41</v>
      </c>
      <c r="J27" s="65" t="s">
        <v>3264</v>
      </c>
      <c r="K27" s="65" t="s">
        <v>3515</v>
      </c>
      <c r="L27" s="65" t="s">
        <v>96</v>
      </c>
      <c r="M27" s="89">
        <v>31.0</v>
      </c>
      <c r="N27" s="90">
        <v>46240.0</v>
      </c>
      <c r="O27" s="42" t="b">
        <v>1</v>
      </c>
      <c r="P27" s="44">
        <v>46240.0</v>
      </c>
      <c r="Q27" s="34"/>
      <c r="R27" s="34"/>
      <c r="S27" s="34"/>
      <c r="T27" s="34"/>
    </row>
    <row r="28" ht="15.75" customHeight="1">
      <c r="B28" s="86">
        <v>46238.0</v>
      </c>
      <c r="C28" s="91" t="s">
        <v>3516</v>
      </c>
      <c r="D28" s="65">
        <v>1.0</v>
      </c>
      <c r="E28" s="87">
        <v>426.87</v>
      </c>
      <c r="F28" s="87">
        <v>426.87</v>
      </c>
      <c r="G28" s="65" t="s">
        <v>3517</v>
      </c>
      <c r="H28" s="65" t="s">
        <v>3518</v>
      </c>
      <c r="I28" s="65" t="s">
        <v>240</v>
      </c>
      <c r="J28" s="65" t="s">
        <v>183</v>
      </c>
      <c r="K28" s="65"/>
      <c r="L28" s="65" t="s">
        <v>3519</v>
      </c>
      <c r="M28" s="89">
        <v>1.0</v>
      </c>
      <c r="N28" s="90">
        <v>46238.0</v>
      </c>
      <c r="O28" s="42" t="b">
        <v>0</v>
      </c>
      <c r="P28" s="44"/>
      <c r="Q28" s="34"/>
      <c r="R28" s="34"/>
      <c r="S28" s="34"/>
      <c r="T28" s="34"/>
    </row>
    <row r="29" ht="15.75" customHeight="1">
      <c r="B29" s="86">
        <v>46238.0</v>
      </c>
      <c r="C29" s="65">
        <v>38298.0</v>
      </c>
      <c r="D29" s="65">
        <v>150.0</v>
      </c>
      <c r="E29" s="87">
        <v>9.84</v>
      </c>
      <c r="F29" s="87">
        <v>1681.19</v>
      </c>
      <c r="G29" s="65" t="s">
        <v>3520</v>
      </c>
      <c r="H29" s="65">
        <v>581.0</v>
      </c>
      <c r="I29" s="65" t="s">
        <v>41</v>
      </c>
      <c r="J29" s="65" t="s">
        <v>34</v>
      </c>
      <c r="K29" s="65" t="s">
        <v>3521</v>
      </c>
      <c r="L29" s="65" t="s">
        <v>2686</v>
      </c>
      <c r="M29" s="89">
        <v>1.0</v>
      </c>
      <c r="N29" s="90">
        <v>46238.0</v>
      </c>
      <c r="O29" s="42" t="b">
        <v>1</v>
      </c>
      <c r="P29" s="44"/>
      <c r="Q29" s="34"/>
      <c r="R29" s="33"/>
      <c r="S29" s="34"/>
      <c r="T29" s="35"/>
    </row>
    <row r="30" ht="15.75" customHeight="1">
      <c r="B30" s="86">
        <v>46239.0</v>
      </c>
      <c r="C30" s="91" t="s">
        <v>3522</v>
      </c>
      <c r="D30" s="65">
        <v>1.0</v>
      </c>
      <c r="E30" s="87">
        <v>171.0</v>
      </c>
      <c r="F30" s="87">
        <v>171.0</v>
      </c>
      <c r="G30" s="65" t="s">
        <v>3523</v>
      </c>
      <c r="H30" s="65" t="s">
        <v>3161</v>
      </c>
      <c r="I30" s="65" t="s">
        <v>39</v>
      </c>
      <c r="J30" s="65" t="s">
        <v>183</v>
      </c>
      <c r="K30" s="65"/>
      <c r="L30" s="65" t="s">
        <v>279</v>
      </c>
      <c r="M30" s="89">
        <v>31.0</v>
      </c>
      <c r="N30" s="93"/>
      <c r="O30" s="42" t="b">
        <v>0</v>
      </c>
      <c r="P30" s="44"/>
      <c r="Q30" s="34"/>
      <c r="R30" s="33"/>
      <c r="S30" s="34"/>
      <c r="T30" s="34"/>
    </row>
    <row r="31" ht="15.75" customHeight="1">
      <c r="B31" s="86">
        <v>46239.0</v>
      </c>
      <c r="C31" s="91"/>
      <c r="D31" s="65">
        <v>150.0</v>
      </c>
      <c r="E31" s="87">
        <v>430.0</v>
      </c>
      <c r="F31" s="87">
        <v>64500.0</v>
      </c>
      <c r="G31" s="65" t="s">
        <v>3501</v>
      </c>
      <c r="H31" s="65" t="s">
        <v>3525</v>
      </c>
      <c r="I31" s="65" t="s">
        <v>41</v>
      </c>
      <c r="J31" s="65" t="s">
        <v>40</v>
      </c>
      <c r="K31" s="65" t="s">
        <v>3463</v>
      </c>
      <c r="L31" s="65" t="s">
        <v>3502</v>
      </c>
      <c r="M31" s="89">
        <v>31.0</v>
      </c>
      <c r="N31" s="94">
        <v>46240.0</v>
      </c>
      <c r="O31" s="42" t="b">
        <v>0</v>
      </c>
      <c r="P31" s="44">
        <v>46241.0</v>
      </c>
      <c r="Q31" s="34"/>
      <c r="R31" s="33"/>
      <c r="S31" s="34"/>
      <c r="T31" s="34"/>
    </row>
    <row r="32" ht="15.75" customHeight="1">
      <c r="B32" s="86">
        <v>46239.0</v>
      </c>
      <c r="C32" s="65"/>
      <c r="D32" s="65">
        <v>500.0</v>
      </c>
      <c r="E32" s="87">
        <v>69.0</v>
      </c>
      <c r="F32" s="87">
        <v>34500.0</v>
      </c>
      <c r="G32" s="65" t="s">
        <v>2300</v>
      </c>
      <c r="H32" s="65" t="s">
        <v>873</v>
      </c>
      <c r="I32" s="65" t="s">
        <v>77</v>
      </c>
      <c r="J32" s="65"/>
      <c r="K32" s="65" t="s">
        <v>3463</v>
      </c>
      <c r="L32" s="65" t="s">
        <v>3526</v>
      </c>
      <c r="M32" s="89">
        <v>31.0</v>
      </c>
      <c r="N32" s="95">
        <v>46240.0</v>
      </c>
      <c r="O32" s="42" t="b">
        <v>0</v>
      </c>
      <c r="P32" s="44">
        <v>46244.0</v>
      </c>
      <c r="Q32" s="34"/>
      <c r="R32" s="33"/>
      <c r="S32" s="34"/>
      <c r="T32" s="34"/>
    </row>
    <row r="33" ht="15.75" customHeight="1">
      <c r="B33" s="86">
        <v>46239.0</v>
      </c>
      <c r="C33" s="65">
        <v>16693.0</v>
      </c>
      <c r="D33" s="65">
        <v>30.0</v>
      </c>
      <c r="E33" s="87">
        <v>41.4</v>
      </c>
      <c r="F33" s="87">
        <v>1242.0</v>
      </c>
      <c r="G33" s="65" t="s">
        <v>3527</v>
      </c>
      <c r="H33" s="65" t="s">
        <v>1812</v>
      </c>
      <c r="I33" s="65" t="s">
        <v>41</v>
      </c>
      <c r="J33" s="65" t="s">
        <v>3264</v>
      </c>
      <c r="K33" s="65" t="s">
        <v>3463</v>
      </c>
      <c r="L33" s="65" t="s">
        <v>87</v>
      </c>
      <c r="M33" s="89">
        <v>1.0</v>
      </c>
      <c r="N33" s="96">
        <v>46239.0</v>
      </c>
      <c r="O33" s="42" t="b">
        <v>0</v>
      </c>
      <c r="P33" s="44"/>
      <c r="Q33" s="34"/>
      <c r="R33" s="33"/>
      <c r="S33" s="34"/>
      <c r="T33" s="34"/>
    </row>
    <row r="34" ht="15.75" customHeight="1">
      <c r="B34" s="86">
        <v>46239.0</v>
      </c>
      <c r="C34" s="65">
        <v>9155.0</v>
      </c>
      <c r="D34" s="65">
        <v>6.0</v>
      </c>
      <c r="E34" s="87">
        <v>865.0</v>
      </c>
      <c r="F34" s="87">
        <v>5190.0</v>
      </c>
      <c r="G34" s="65" t="s">
        <v>3442</v>
      </c>
      <c r="H34" s="65" t="s">
        <v>3530</v>
      </c>
      <c r="I34" s="65" t="s">
        <v>41</v>
      </c>
      <c r="J34" s="65" t="s">
        <v>3264</v>
      </c>
      <c r="K34" s="65" t="s">
        <v>3463</v>
      </c>
      <c r="L34" s="65" t="s">
        <v>81</v>
      </c>
      <c r="M34" s="89">
        <v>31.0</v>
      </c>
      <c r="N34" s="90">
        <v>46239.0</v>
      </c>
      <c r="O34" s="42" t="b">
        <v>0</v>
      </c>
      <c r="P34" s="44">
        <v>46241.0</v>
      </c>
      <c r="Q34" s="34"/>
      <c r="R34" s="34"/>
      <c r="S34" s="34"/>
      <c r="T34" s="34"/>
    </row>
    <row r="35" ht="15.75" customHeight="1">
      <c r="B35" s="86">
        <v>46239.0</v>
      </c>
      <c r="C35" s="65">
        <v>9155.0</v>
      </c>
      <c r="D35" s="65">
        <v>2.0</v>
      </c>
      <c r="E35" s="87">
        <v>2100.0</v>
      </c>
      <c r="F35" s="87">
        <v>4200.0</v>
      </c>
      <c r="G35" s="65" t="s">
        <v>3442</v>
      </c>
      <c r="H35" s="65" t="s">
        <v>3531</v>
      </c>
      <c r="I35" s="65" t="s">
        <v>240</v>
      </c>
      <c r="J35" s="65" t="s">
        <v>34</v>
      </c>
      <c r="K35" s="65" t="s">
        <v>3463</v>
      </c>
      <c r="L35" s="65" t="s">
        <v>81</v>
      </c>
      <c r="M35" s="89">
        <v>31.0</v>
      </c>
      <c r="N35" s="90">
        <v>46239.0</v>
      </c>
      <c r="O35" s="42" t="b">
        <v>0</v>
      </c>
      <c r="P35" s="44">
        <v>46241.0</v>
      </c>
      <c r="Q35" s="34"/>
      <c r="R35" s="34"/>
      <c r="S35" s="34"/>
      <c r="T35" s="34"/>
    </row>
    <row r="36" ht="15.75" customHeight="1">
      <c r="B36" s="86">
        <v>46239.0</v>
      </c>
      <c r="C36" s="91"/>
      <c r="D36" s="65">
        <v>2.0</v>
      </c>
      <c r="E36" s="87">
        <v>6750.0</v>
      </c>
      <c r="F36" s="87">
        <v>13500.0</v>
      </c>
      <c r="G36" s="65" t="s">
        <v>3532</v>
      </c>
      <c r="H36" s="65"/>
      <c r="I36" s="65" t="s">
        <v>221</v>
      </c>
      <c r="J36" s="65" t="s">
        <v>34</v>
      </c>
      <c r="K36" s="65"/>
      <c r="L36" s="65" t="s">
        <v>3533</v>
      </c>
      <c r="M36" s="89">
        <v>31.0</v>
      </c>
      <c r="N36" s="90">
        <v>46239.0</v>
      </c>
      <c r="O36" s="42" t="b">
        <v>0</v>
      </c>
      <c r="P36" s="44"/>
      <c r="Q36" s="34"/>
      <c r="R36" s="34"/>
      <c r="S36" s="34"/>
      <c r="T36" s="34"/>
    </row>
    <row r="37" ht="15.75" customHeight="1">
      <c r="B37" s="86">
        <v>46239.0</v>
      </c>
      <c r="C37" s="91" t="s">
        <v>3534</v>
      </c>
      <c r="D37" s="65" t="s">
        <v>3535</v>
      </c>
      <c r="E37" s="87" t="s">
        <v>35</v>
      </c>
      <c r="F37" s="87">
        <v>3981.4</v>
      </c>
      <c r="G37" s="65" t="s">
        <v>3537</v>
      </c>
      <c r="H37" s="65" t="s">
        <v>3538</v>
      </c>
      <c r="I37" s="65" t="s">
        <v>3539</v>
      </c>
      <c r="J37" s="65" t="s">
        <v>34</v>
      </c>
      <c r="K37" s="65"/>
      <c r="L37" s="65" t="s">
        <v>96</v>
      </c>
      <c r="M37" s="89">
        <v>1.0</v>
      </c>
      <c r="N37" s="90">
        <v>46241.0</v>
      </c>
      <c r="O37" s="42" t="b">
        <v>0</v>
      </c>
      <c r="P37" s="44"/>
      <c r="Q37" s="34"/>
      <c r="R37" s="34"/>
      <c r="S37" s="34"/>
      <c r="T37" s="34"/>
    </row>
    <row r="38" ht="15.75" customHeight="1">
      <c r="B38" s="86">
        <v>46239.0</v>
      </c>
      <c r="C38" s="91" t="s">
        <v>3540</v>
      </c>
      <c r="D38" s="65" t="s">
        <v>3541</v>
      </c>
      <c r="E38" s="87" t="s">
        <v>35</v>
      </c>
      <c r="F38" s="87">
        <v>7773.7</v>
      </c>
      <c r="G38" s="65" t="s">
        <v>3543</v>
      </c>
      <c r="H38" s="65" t="s">
        <v>3545</v>
      </c>
      <c r="I38" s="65" t="s">
        <v>3539</v>
      </c>
      <c r="J38" s="65" t="s">
        <v>34</v>
      </c>
      <c r="K38" s="65"/>
      <c r="L38" s="65" t="s">
        <v>96</v>
      </c>
      <c r="M38" s="89">
        <v>1.0</v>
      </c>
      <c r="N38" s="90">
        <v>46241.0</v>
      </c>
      <c r="O38" s="42" t="b">
        <v>0</v>
      </c>
      <c r="P38" s="44"/>
      <c r="Q38" s="34"/>
      <c r="R38" s="34"/>
      <c r="S38" s="34"/>
      <c r="T38" s="34"/>
    </row>
    <row r="39" ht="15.75" customHeight="1">
      <c r="B39" s="86">
        <v>46239.0</v>
      </c>
      <c r="C39" s="91" t="s">
        <v>3546</v>
      </c>
      <c r="D39" s="65" t="s">
        <v>3547</v>
      </c>
      <c r="E39" s="87" t="s">
        <v>35</v>
      </c>
      <c r="F39" s="87">
        <v>5145.6</v>
      </c>
      <c r="G39" s="65" t="s">
        <v>3548</v>
      </c>
      <c r="H39" s="65" t="s">
        <v>3549</v>
      </c>
      <c r="I39" s="65" t="s">
        <v>3539</v>
      </c>
      <c r="J39" s="65" t="s">
        <v>34</v>
      </c>
      <c r="K39" s="65"/>
      <c r="L39" s="65" t="s">
        <v>96</v>
      </c>
      <c r="M39" s="89">
        <v>1.0</v>
      </c>
      <c r="N39" s="90">
        <v>46241.0</v>
      </c>
      <c r="O39" s="42" t="b">
        <v>0</v>
      </c>
      <c r="P39" s="44"/>
      <c r="Q39" s="34"/>
      <c r="R39" s="34"/>
      <c r="S39" s="34"/>
      <c r="T39" s="34"/>
    </row>
    <row r="40" ht="15.75" customHeight="1">
      <c r="B40" s="86">
        <v>46239.0</v>
      </c>
      <c r="C40" s="91" t="s">
        <v>3551</v>
      </c>
      <c r="D40" s="65">
        <v>565.0</v>
      </c>
      <c r="E40" s="87" t="s">
        <v>35</v>
      </c>
      <c r="F40" s="87">
        <v>14855.0</v>
      </c>
      <c r="G40" s="65" t="s">
        <v>3552</v>
      </c>
      <c r="H40" s="65" t="s">
        <v>35</v>
      </c>
      <c r="I40" s="65" t="s">
        <v>41</v>
      </c>
      <c r="J40" s="65" t="s">
        <v>40</v>
      </c>
      <c r="K40" s="65" t="s">
        <v>3463</v>
      </c>
      <c r="L40" s="65" t="s">
        <v>3555</v>
      </c>
      <c r="M40" s="89">
        <v>31.0</v>
      </c>
      <c r="N40" s="90">
        <v>46244.0</v>
      </c>
      <c r="O40" s="42" t="b">
        <v>0</v>
      </c>
      <c r="P40" s="44">
        <v>46245.0</v>
      </c>
      <c r="Q40" s="34"/>
      <c r="R40" s="34"/>
      <c r="S40" s="34"/>
      <c r="T40" s="34"/>
    </row>
    <row r="41" ht="15.75" customHeight="1">
      <c r="B41" s="86">
        <v>46239.0</v>
      </c>
      <c r="C41" s="91" t="s">
        <v>3556</v>
      </c>
      <c r="D41" s="65" t="s">
        <v>3557</v>
      </c>
      <c r="E41" s="87" t="s">
        <v>35</v>
      </c>
      <c r="F41" s="87">
        <v>18403.12</v>
      </c>
      <c r="G41" s="65" t="s">
        <v>3558</v>
      </c>
      <c r="H41" s="65" t="s">
        <v>3559</v>
      </c>
      <c r="I41" s="65" t="s">
        <v>41</v>
      </c>
      <c r="J41" s="65" t="s">
        <v>34</v>
      </c>
      <c r="K41" s="65" t="s">
        <v>3560</v>
      </c>
      <c r="L41" s="65" t="s">
        <v>96</v>
      </c>
      <c r="M41" s="89">
        <v>31.0</v>
      </c>
      <c r="N41" s="90">
        <v>46241.0</v>
      </c>
      <c r="O41" s="42" t="b">
        <v>1</v>
      </c>
      <c r="P41" s="44"/>
      <c r="Q41" s="34"/>
      <c r="R41" s="34"/>
      <c r="S41" s="34"/>
      <c r="T41" s="34"/>
    </row>
    <row r="42" ht="15.75" customHeight="1">
      <c r="B42" s="86">
        <v>46240.0</v>
      </c>
      <c r="C42" s="98" t="s">
        <v>3561</v>
      </c>
      <c r="D42" s="65">
        <v>200.0</v>
      </c>
      <c r="E42" s="87">
        <v>105.0</v>
      </c>
      <c r="F42" s="87">
        <v>21000.0</v>
      </c>
      <c r="G42" s="65" t="s">
        <v>3564</v>
      </c>
      <c r="H42" s="65" t="s">
        <v>153</v>
      </c>
      <c r="I42" s="65" t="s">
        <v>32</v>
      </c>
      <c r="J42" s="65" t="s">
        <v>34</v>
      </c>
      <c r="K42" s="65" t="s">
        <v>3565</v>
      </c>
      <c r="L42" s="65" t="s">
        <v>62</v>
      </c>
      <c r="M42" s="89">
        <v>31.0</v>
      </c>
      <c r="N42" s="90">
        <v>46240.0</v>
      </c>
      <c r="O42" s="42" t="b">
        <v>1</v>
      </c>
      <c r="P42" s="44"/>
      <c r="Q42" s="34"/>
      <c r="R42" s="34"/>
      <c r="S42" s="34"/>
      <c r="T42" s="34"/>
    </row>
    <row r="43" ht="15.75" customHeight="1">
      <c r="B43" s="86">
        <v>46240.0</v>
      </c>
      <c r="C43" s="91" t="s">
        <v>3566</v>
      </c>
      <c r="D43" s="65">
        <v>1400.0</v>
      </c>
      <c r="E43" s="87">
        <v>226.1</v>
      </c>
      <c r="F43" s="87">
        <v>316540.0</v>
      </c>
      <c r="G43" s="65" t="s">
        <v>3569</v>
      </c>
      <c r="H43" s="65" t="s">
        <v>3570</v>
      </c>
      <c r="I43" s="65" t="s">
        <v>41</v>
      </c>
      <c r="J43" s="65" t="s">
        <v>34</v>
      </c>
      <c r="K43" s="65" t="s">
        <v>3463</v>
      </c>
      <c r="L43" s="65" t="s">
        <v>62</v>
      </c>
      <c r="M43" s="89">
        <v>1.0</v>
      </c>
      <c r="N43" s="90">
        <v>46241.0</v>
      </c>
      <c r="O43" s="42" t="b">
        <v>0</v>
      </c>
      <c r="P43" s="44">
        <v>46244.0</v>
      </c>
      <c r="Q43" s="34"/>
      <c r="R43" s="34"/>
      <c r="S43" s="34"/>
      <c r="T43" s="34"/>
    </row>
    <row r="44" ht="15.75" customHeight="1">
      <c r="B44" s="86">
        <v>46240.0</v>
      </c>
      <c r="C44" s="91" t="s">
        <v>3571</v>
      </c>
      <c r="D44" s="65">
        <v>20.0</v>
      </c>
      <c r="E44" s="87">
        <v>239.0</v>
      </c>
      <c r="F44" s="87">
        <v>4780.0</v>
      </c>
      <c r="G44" s="65" t="s">
        <v>3573</v>
      </c>
      <c r="H44" s="65" t="s">
        <v>3574</v>
      </c>
      <c r="I44" s="65" t="s">
        <v>32</v>
      </c>
      <c r="J44" s="65" t="s">
        <v>34</v>
      </c>
      <c r="K44" s="65" t="s">
        <v>3463</v>
      </c>
      <c r="L44" s="65" t="s">
        <v>37</v>
      </c>
      <c r="M44" s="89">
        <v>31.0</v>
      </c>
      <c r="N44" s="90">
        <v>46244.0</v>
      </c>
      <c r="O44" s="42" t="b">
        <v>0</v>
      </c>
      <c r="P44" s="44">
        <v>46245.0</v>
      </c>
      <c r="Q44" s="34"/>
      <c r="R44" s="33"/>
      <c r="S44" s="34"/>
      <c r="T44" s="34"/>
    </row>
    <row r="45" ht="15.75" customHeight="1">
      <c r="B45" s="86">
        <v>46240.0</v>
      </c>
      <c r="C45" s="91"/>
      <c r="D45" s="65">
        <v>1.0</v>
      </c>
      <c r="E45" s="87">
        <v>4900.0</v>
      </c>
      <c r="F45" s="87">
        <v>4900.0</v>
      </c>
      <c r="G45" s="65" t="s">
        <v>3575</v>
      </c>
      <c r="H45" s="65" t="s">
        <v>35</v>
      </c>
      <c r="I45" s="65" t="s">
        <v>221</v>
      </c>
      <c r="J45" s="65" t="s">
        <v>34</v>
      </c>
      <c r="K45" s="65"/>
      <c r="L45" s="65" t="s">
        <v>3576</v>
      </c>
      <c r="M45" s="89">
        <v>31.0</v>
      </c>
      <c r="N45" s="90">
        <v>46239.0</v>
      </c>
      <c r="O45" s="42" t="b">
        <v>0</v>
      </c>
      <c r="P45" s="44"/>
      <c r="Q45" s="34"/>
      <c r="R45" s="33"/>
      <c r="S45" s="34"/>
      <c r="T45" s="34"/>
    </row>
    <row r="46" ht="15.75" customHeight="1">
      <c r="B46" s="86">
        <v>46240.0</v>
      </c>
      <c r="C46" s="98">
        <v>1.000006881E9</v>
      </c>
      <c r="D46" s="65">
        <v>6.0</v>
      </c>
      <c r="E46" s="87" t="s">
        <v>35</v>
      </c>
      <c r="F46" s="87">
        <v>2096.16</v>
      </c>
      <c r="G46" s="65" t="s">
        <v>3578</v>
      </c>
      <c r="H46" s="65" t="s">
        <v>35</v>
      </c>
      <c r="I46" s="65" t="s">
        <v>41</v>
      </c>
      <c r="J46" s="65" t="s">
        <v>34</v>
      </c>
      <c r="K46" s="65" t="s">
        <v>3521</v>
      </c>
      <c r="L46" s="65" t="s">
        <v>2686</v>
      </c>
      <c r="M46" s="89">
        <v>1.0</v>
      </c>
      <c r="N46" s="90">
        <v>46240.0</v>
      </c>
      <c r="O46" s="42" t="b">
        <v>1</v>
      </c>
      <c r="P46" s="44"/>
      <c r="Q46" s="34"/>
      <c r="R46" s="33"/>
      <c r="S46" s="34"/>
      <c r="T46" s="34"/>
    </row>
    <row r="47" ht="15.75" customHeight="1">
      <c r="B47" s="86">
        <v>46240.0</v>
      </c>
      <c r="C47" s="91" t="s">
        <v>3582</v>
      </c>
      <c r="D47" s="65">
        <v>100.0</v>
      </c>
      <c r="E47" s="87">
        <v>72.0</v>
      </c>
      <c r="F47" s="87">
        <v>7200.0</v>
      </c>
      <c r="G47" s="65" t="s">
        <v>3583</v>
      </c>
      <c r="H47" s="65" t="s">
        <v>3584</v>
      </c>
      <c r="I47" s="65" t="s">
        <v>175</v>
      </c>
      <c r="J47" s="65" t="s">
        <v>34</v>
      </c>
      <c r="K47" s="65" t="s">
        <v>3585</v>
      </c>
      <c r="L47" s="65" t="s">
        <v>62</v>
      </c>
      <c r="M47" s="89">
        <v>31.0</v>
      </c>
      <c r="N47" s="90">
        <v>46241.0</v>
      </c>
      <c r="O47" s="42" t="b">
        <v>0</v>
      </c>
      <c r="P47" s="44">
        <v>46244.0</v>
      </c>
      <c r="Q47" s="34"/>
      <c r="R47" s="33"/>
      <c r="S47" s="34"/>
      <c r="T47" s="34"/>
    </row>
    <row r="48" ht="15.75" customHeight="1">
      <c r="B48" s="86">
        <v>46240.0</v>
      </c>
      <c r="C48" s="91" t="s">
        <v>3561</v>
      </c>
      <c r="D48" s="65">
        <v>200.0</v>
      </c>
      <c r="E48" s="87">
        <v>105.0</v>
      </c>
      <c r="F48" s="87">
        <v>21000.0</v>
      </c>
      <c r="G48" s="65" t="s">
        <v>3564</v>
      </c>
      <c r="H48" s="65" t="s">
        <v>3586</v>
      </c>
      <c r="I48" s="65" t="s">
        <v>32</v>
      </c>
      <c r="J48" s="65" t="s">
        <v>34</v>
      </c>
      <c r="K48" s="65" t="s">
        <v>3587</v>
      </c>
      <c r="L48" s="65" t="s">
        <v>62</v>
      </c>
      <c r="M48" s="89">
        <v>31.0</v>
      </c>
      <c r="N48" s="90">
        <v>46240.0</v>
      </c>
      <c r="O48" s="42" t="b">
        <v>1</v>
      </c>
      <c r="P48" s="44"/>
      <c r="Q48" s="34"/>
      <c r="R48" s="33"/>
      <c r="S48" s="34"/>
      <c r="T48" s="34"/>
    </row>
    <row r="49" ht="15.75" customHeight="1">
      <c r="B49" s="86">
        <v>46240.0</v>
      </c>
      <c r="C49" s="91" t="s">
        <v>3589</v>
      </c>
      <c r="D49" s="65">
        <v>1.0</v>
      </c>
      <c r="E49" s="87">
        <v>7900.0</v>
      </c>
      <c r="F49" s="87">
        <v>7900.0</v>
      </c>
      <c r="G49" s="65" t="s">
        <v>2557</v>
      </c>
      <c r="H49" s="65" t="s">
        <v>3590</v>
      </c>
      <c r="I49" s="65" t="s">
        <v>39</v>
      </c>
      <c r="J49" s="65" t="s">
        <v>34</v>
      </c>
      <c r="K49" s="65"/>
      <c r="L49" s="65" t="s">
        <v>3591</v>
      </c>
      <c r="M49" s="89" t="s">
        <v>3464</v>
      </c>
      <c r="N49" s="90">
        <v>46241.0</v>
      </c>
      <c r="O49" s="42" t="b">
        <v>0</v>
      </c>
      <c r="P49" s="44">
        <v>46244.0</v>
      </c>
      <c r="Q49" s="34"/>
      <c r="R49" s="33"/>
      <c r="S49" s="34"/>
      <c r="T49" s="34"/>
    </row>
    <row r="50" ht="15.75" customHeight="1">
      <c r="B50" s="86">
        <v>46240.0</v>
      </c>
      <c r="C50" s="91"/>
      <c r="D50" s="65">
        <v>16.0</v>
      </c>
      <c r="E50" s="87">
        <v>6100.0</v>
      </c>
      <c r="F50" s="87">
        <v>97600.0</v>
      </c>
      <c r="G50" s="65" t="s">
        <v>3592</v>
      </c>
      <c r="H50" s="65" t="s">
        <v>2250</v>
      </c>
      <c r="I50" s="65" t="s">
        <v>3593</v>
      </c>
      <c r="J50" s="65" t="s">
        <v>3254</v>
      </c>
      <c r="K50" s="65"/>
      <c r="L50" s="65" t="s">
        <v>3591</v>
      </c>
      <c r="M50" s="89" t="s">
        <v>3464</v>
      </c>
      <c r="N50" s="90">
        <v>46241.0</v>
      </c>
      <c r="O50" s="42" t="b">
        <v>0</v>
      </c>
      <c r="P50" s="44">
        <v>46244.0</v>
      </c>
      <c r="Q50" s="34"/>
      <c r="R50" s="33"/>
      <c r="S50" s="34"/>
      <c r="T50" s="34"/>
    </row>
    <row r="51" ht="15.75" customHeight="1">
      <c r="B51" s="86">
        <v>46240.0</v>
      </c>
      <c r="C51" s="91" t="s">
        <v>3598</v>
      </c>
      <c r="D51" s="65">
        <v>600.0</v>
      </c>
      <c r="E51" s="87">
        <v>17.2</v>
      </c>
      <c r="F51" s="87">
        <v>10323.0</v>
      </c>
      <c r="G51" s="65" t="s">
        <v>3599</v>
      </c>
      <c r="H51" s="65" t="s">
        <v>974</v>
      </c>
      <c r="I51" s="65" t="s">
        <v>41</v>
      </c>
      <c r="J51" s="65" t="s">
        <v>34</v>
      </c>
      <c r="K51" s="65"/>
      <c r="L51" s="65" t="s">
        <v>3519</v>
      </c>
      <c r="M51" s="89">
        <v>31.0</v>
      </c>
      <c r="N51" s="90">
        <v>46241.0</v>
      </c>
      <c r="O51" s="42" t="b">
        <v>0</v>
      </c>
      <c r="P51" s="44"/>
      <c r="Q51" s="34"/>
      <c r="R51" s="33"/>
      <c r="S51" s="33"/>
      <c r="T51" s="33"/>
    </row>
    <row r="52" ht="15.75" customHeight="1">
      <c r="B52" s="86">
        <v>46240.0</v>
      </c>
      <c r="C52" s="91" t="s">
        <v>3601</v>
      </c>
      <c r="D52" s="65">
        <v>100.0</v>
      </c>
      <c r="E52" s="87">
        <v>8.5</v>
      </c>
      <c r="F52" s="87">
        <v>850.0</v>
      </c>
      <c r="G52" s="65" t="s">
        <v>3602</v>
      </c>
      <c r="H52" s="65" t="s">
        <v>3603</v>
      </c>
      <c r="I52" s="65" t="s">
        <v>59</v>
      </c>
      <c r="J52" s="65" t="s">
        <v>34</v>
      </c>
      <c r="K52" s="65" t="s">
        <v>3587</v>
      </c>
      <c r="L52" s="65" t="s">
        <v>87</v>
      </c>
      <c r="M52" s="89">
        <v>31.0</v>
      </c>
      <c r="N52" s="102">
        <v>46240.0</v>
      </c>
      <c r="O52" s="42" t="b">
        <v>1</v>
      </c>
      <c r="P52" s="44"/>
      <c r="Q52" s="34"/>
      <c r="R52" s="34"/>
      <c r="S52" s="34"/>
      <c r="T52" s="34"/>
    </row>
    <row r="53" ht="15.75" customHeight="1">
      <c r="B53" s="86">
        <v>46240.0</v>
      </c>
      <c r="C53" s="91" t="s">
        <v>3601</v>
      </c>
      <c r="D53" s="65">
        <v>100.0</v>
      </c>
      <c r="E53" s="87">
        <v>6.3</v>
      </c>
      <c r="F53" s="87">
        <v>630.0</v>
      </c>
      <c r="G53" s="65" t="s">
        <v>3606</v>
      </c>
      <c r="H53" s="65" t="s">
        <v>3607</v>
      </c>
      <c r="I53" s="65" t="s">
        <v>59</v>
      </c>
      <c r="J53" s="65" t="s">
        <v>34</v>
      </c>
      <c r="K53" s="65" t="s">
        <v>3587</v>
      </c>
      <c r="L53" s="65" t="s">
        <v>87</v>
      </c>
      <c r="M53" s="89">
        <v>31.0</v>
      </c>
      <c r="N53" s="90">
        <v>46240.0</v>
      </c>
      <c r="O53" s="42" t="b">
        <v>1</v>
      </c>
      <c r="P53" s="44"/>
      <c r="Q53" s="34"/>
      <c r="R53" s="34"/>
      <c r="S53" s="34"/>
      <c r="T53" s="34"/>
    </row>
    <row r="54" ht="15.75" customHeight="1">
      <c r="B54" s="86">
        <v>46240.0</v>
      </c>
      <c r="C54" s="91" t="s">
        <v>3609</v>
      </c>
      <c r="D54" s="65">
        <v>60.0</v>
      </c>
      <c r="E54" s="87">
        <v>540.0</v>
      </c>
      <c r="F54" s="87">
        <v>32400.0</v>
      </c>
      <c r="G54" s="65" t="s">
        <v>3610</v>
      </c>
      <c r="H54" s="65" t="s">
        <v>3611</v>
      </c>
      <c r="I54" s="65" t="s">
        <v>41</v>
      </c>
      <c r="J54" s="65" t="s">
        <v>34</v>
      </c>
      <c r="K54" s="65"/>
      <c r="L54" s="65" t="s">
        <v>87</v>
      </c>
      <c r="M54" s="89">
        <v>31.0</v>
      </c>
      <c r="N54" s="90">
        <v>46243.0</v>
      </c>
      <c r="O54" s="42" t="b">
        <v>0</v>
      </c>
      <c r="P54" s="44">
        <v>46244.0</v>
      </c>
      <c r="Q54" s="34"/>
      <c r="R54" s="34"/>
      <c r="S54" s="34"/>
      <c r="T54" s="34"/>
    </row>
    <row r="55" ht="15.75" customHeight="1">
      <c r="B55" s="65" t="s">
        <v>3612</v>
      </c>
      <c r="C55" s="91" t="s">
        <v>3613</v>
      </c>
      <c r="D55" s="65">
        <v>10.0</v>
      </c>
      <c r="E55" s="87">
        <v>228.78</v>
      </c>
      <c r="F55" s="87">
        <v>2287.8</v>
      </c>
      <c r="G55" s="65" t="s">
        <v>3615</v>
      </c>
      <c r="H55" s="65" t="s">
        <v>3616</v>
      </c>
      <c r="I55" s="65" t="s">
        <v>240</v>
      </c>
      <c r="J55" s="65" t="s">
        <v>34</v>
      </c>
      <c r="K55" s="65" t="s">
        <v>3463</v>
      </c>
      <c r="L55" s="65" t="s">
        <v>1189</v>
      </c>
      <c r="M55" s="89">
        <v>31.0</v>
      </c>
      <c r="N55" s="90">
        <v>46244.0</v>
      </c>
      <c r="O55" s="42" t="b">
        <v>0</v>
      </c>
      <c r="P55" s="44">
        <v>46245.0</v>
      </c>
      <c r="Q55" s="34"/>
      <c r="R55" s="33"/>
      <c r="S55" s="34"/>
      <c r="T55" s="34"/>
    </row>
    <row r="56" ht="15.75" customHeight="1">
      <c r="B56" s="86">
        <v>46241.0</v>
      </c>
      <c r="C56" s="91" t="s">
        <v>3618</v>
      </c>
      <c r="D56" s="65">
        <v>500.0</v>
      </c>
      <c r="E56" s="87">
        <v>35.0</v>
      </c>
      <c r="F56" s="87">
        <v>17500.0</v>
      </c>
      <c r="G56" s="65" t="s">
        <v>3619</v>
      </c>
      <c r="H56" s="65" t="s">
        <v>3620</v>
      </c>
      <c r="I56" s="65" t="s">
        <v>32</v>
      </c>
      <c r="J56" s="65" t="s">
        <v>40</v>
      </c>
      <c r="K56" s="65" t="s">
        <v>3463</v>
      </c>
      <c r="L56" s="65" t="s">
        <v>3621</v>
      </c>
      <c r="M56" s="89">
        <v>31.0</v>
      </c>
      <c r="N56" s="90">
        <v>46252.0</v>
      </c>
      <c r="O56" s="42" t="b">
        <v>0</v>
      </c>
      <c r="P56" s="44">
        <v>46260.0</v>
      </c>
      <c r="Q56" s="34"/>
      <c r="R56" s="33"/>
      <c r="S56" s="34"/>
      <c r="T56" s="34"/>
    </row>
    <row r="57" ht="15.75" customHeight="1">
      <c r="B57" s="86">
        <v>46241.0</v>
      </c>
      <c r="C57" s="91" t="s">
        <v>3618</v>
      </c>
      <c r="D57" s="65">
        <v>500.0</v>
      </c>
      <c r="E57" s="87">
        <v>39.99</v>
      </c>
      <c r="F57" s="87">
        <v>19995.0</v>
      </c>
      <c r="G57" s="65" t="s">
        <v>3624</v>
      </c>
      <c r="H57" s="65" t="s">
        <v>3625</v>
      </c>
      <c r="I57" s="65" t="s">
        <v>32</v>
      </c>
      <c r="J57" s="65" t="s">
        <v>40</v>
      </c>
      <c r="K57" s="65" t="s">
        <v>3463</v>
      </c>
      <c r="L57" s="65" t="s">
        <v>3621</v>
      </c>
      <c r="M57" s="89">
        <v>31.0</v>
      </c>
      <c r="N57" s="90">
        <v>46252.0</v>
      </c>
      <c r="O57" s="42" t="b">
        <v>0</v>
      </c>
      <c r="P57" s="44">
        <v>46260.0</v>
      </c>
      <c r="Q57" s="34"/>
      <c r="R57" s="33"/>
      <c r="S57" s="34"/>
      <c r="T57" s="34"/>
    </row>
    <row r="58" ht="15.75" customHeight="1">
      <c r="B58" s="86">
        <v>46241.0</v>
      </c>
      <c r="C58" s="91" t="s">
        <v>3626</v>
      </c>
      <c r="D58" s="65">
        <v>200.0</v>
      </c>
      <c r="E58" s="87">
        <v>90.0</v>
      </c>
      <c r="F58" s="87">
        <v>18000.0</v>
      </c>
      <c r="G58" s="65" t="s">
        <v>3628</v>
      </c>
      <c r="H58" s="65" t="s">
        <v>3630</v>
      </c>
      <c r="I58" s="65" t="s">
        <v>221</v>
      </c>
      <c r="J58" s="65" t="s">
        <v>40</v>
      </c>
      <c r="K58" s="65" t="s">
        <v>3463</v>
      </c>
      <c r="L58" s="65" t="s">
        <v>140</v>
      </c>
      <c r="M58" s="89">
        <v>31.0</v>
      </c>
      <c r="N58" s="90">
        <v>46241.0</v>
      </c>
      <c r="O58" s="42" t="b">
        <v>0</v>
      </c>
      <c r="P58" s="44">
        <v>46245.0</v>
      </c>
      <c r="Q58" s="34"/>
      <c r="R58" s="33"/>
      <c r="S58" s="34"/>
      <c r="T58" s="34"/>
    </row>
    <row r="59" ht="15.75" customHeight="1">
      <c r="B59" s="86">
        <v>46241.0</v>
      </c>
      <c r="C59" s="91" t="s">
        <v>3631</v>
      </c>
      <c r="D59" s="65">
        <v>8.0</v>
      </c>
      <c r="E59" s="87">
        <v>1215.0</v>
      </c>
      <c r="F59" s="87">
        <v>9720.0</v>
      </c>
      <c r="G59" s="65" t="s">
        <v>3632</v>
      </c>
      <c r="H59" s="65" t="s">
        <v>1782</v>
      </c>
      <c r="I59" s="65" t="s">
        <v>175</v>
      </c>
      <c r="J59" s="65" t="s">
        <v>34</v>
      </c>
      <c r="K59" s="65"/>
      <c r="L59" s="65" t="s">
        <v>62</v>
      </c>
      <c r="M59" s="89">
        <v>31.0</v>
      </c>
      <c r="N59" s="90">
        <v>46248.0</v>
      </c>
      <c r="O59" s="42" t="b">
        <v>0</v>
      </c>
      <c r="P59" s="44">
        <v>46253.0</v>
      </c>
      <c r="Q59" s="34"/>
      <c r="R59" s="34"/>
      <c r="S59" s="34"/>
      <c r="T59" s="34"/>
    </row>
    <row r="60" ht="15.75" customHeight="1">
      <c r="B60" s="86">
        <v>46244.0</v>
      </c>
      <c r="C60" s="91" t="s">
        <v>3634</v>
      </c>
      <c r="D60" s="65" t="s">
        <v>3260</v>
      </c>
      <c r="E60" s="87" t="s">
        <v>35</v>
      </c>
      <c r="F60" s="87">
        <v>13190.0</v>
      </c>
      <c r="G60" s="65" t="s">
        <v>3637</v>
      </c>
      <c r="H60" s="65" t="s">
        <v>3638</v>
      </c>
      <c r="I60" s="65" t="s">
        <v>77</v>
      </c>
      <c r="J60" s="65" t="s">
        <v>40</v>
      </c>
      <c r="K60" s="65"/>
      <c r="L60" s="65" t="s">
        <v>96</v>
      </c>
      <c r="M60" s="89" t="s">
        <v>3641</v>
      </c>
      <c r="N60" s="90">
        <v>46248.0</v>
      </c>
      <c r="O60" s="42" t="b">
        <v>0</v>
      </c>
      <c r="P60" s="44"/>
      <c r="Q60" s="34"/>
      <c r="R60" s="34"/>
      <c r="S60" s="34"/>
      <c r="T60" s="34"/>
    </row>
    <row r="61" ht="15.75" customHeight="1">
      <c r="B61" s="86">
        <v>46244.0</v>
      </c>
      <c r="C61" s="91" t="s">
        <v>3642</v>
      </c>
      <c r="D61" s="65" t="s">
        <v>3644</v>
      </c>
      <c r="E61" s="87" t="s">
        <v>35</v>
      </c>
      <c r="F61" s="87">
        <v>27853.94</v>
      </c>
      <c r="G61" s="65" t="s">
        <v>3645</v>
      </c>
      <c r="H61" s="65" t="s">
        <v>3646</v>
      </c>
      <c r="I61" s="65" t="s">
        <v>41</v>
      </c>
      <c r="J61" s="65" t="s">
        <v>34</v>
      </c>
      <c r="K61" s="65" t="s">
        <v>3648</v>
      </c>
      <c r="L61" s="65" t="s">
        <v>96</v>
      </c>
      <c r="M61" s="89">
        <v>31.0</v>
      </c>
      <c r="N61" s="90">
        <v>46248.0</v>
      </c>
      <c r="O61" s="42" t="b">
        <v>0</v>
      </c>
      <c r="P61" s="45"/>
      <c r="Q61" s="34"/>
      <c r="R61" s="34"/>
      <c r="S61" s="34"/>
      <c r="T61" s="34"/>
    </row>
    <row r="62" ht="15.75" customHeight="1">
      <c r="B62" s="86">
        <v>46244.0</v>
      </c>
      <c r="C62" s="91" t="s">
        <v>3650</v>
      </c>
      <c r="D62" s="65"/>
      <c r="E62" s="87" t="s">
        <v>35</v>
      </c>
      <c r="F62" s="87">
        <v>254400.0</v>
      </c>
      <c r="G62" s="65" t="s">
        <v>3653</v>
      </c>
      <c r="H62" s="65"/>
      <c r="I62" s="65" t="s">
        <v>59</v>
      </c>
      <c r="J62" s="65" t="s">
        <v>34</v>
      </c>
      <c r="K62" s="65" t="s">
        <v>3654</v>
      </c>
      <c r="L62" s="65" t="s">
        <v>3655</v>
      </c>
      <c r="M62" s="89">
        <v>31.0</v>
      </c>
      <c r="N62" s="90">
        <v>46246.0</v>
      </c>
      <c r="O62" s="42" t="b">
        <v>0</v>
      </c>
      <c r="P62" s="45"/>
      <c r="Q62" s="34"/>
      <c r="R62" s="34"/>
      <c r="S62" s="34"/>
      <c r="T62" s="34"/>
    </row>
    <row r="63" ht="15.75" customHeight="1">
      <c r="B63" s="86">
        <v>46244.0</v>
      </c>
      <c r="C63" s="91" t="s">
        <v>3656</v>
      </c>
      <c r="D63" s="65" t="s">
        <v>3477</v>
      </c>
      <c r="E63" s="87" t="s">
        <v>35</v>
      </c>
      <c r="F63" s="87">
        <v>6972.6</v>
      </c>
      <c r="G63" s="65" t="s">
        <v>3657</v>
      </c>
      <c r="H63" s="65" t="s">
        <v>3659</v>
      </c>
      <c r="I63" s="65" t="s">
        <v>3539</v>
      </c>
      <c r="J63" s="65" t="s">
        <v>3660</v>
      </c>
      <c r="K63" s="65"/>
      <c r="L63" s="65" t="s">
        <v>96</v>
      </c>
      <c r="M63" s="89">
        <v>1.0</v>
      </c>
      <c r="N63" s="90">
        <v>46248.0</v>
      </c>
      <c r="O63" s="42" t="b">
        <v>0</v>
      </c>
      <c r="P63" s="44"/>
      <c r="Q63" s="34"/>
      <c r="R63" s="34"/>
      <c r="S63" s="34"/>
      <c r="T63" s="34"/>
    </row>
    <row r="64" ht="15.75" customHeight="1">
      <c r="B64" s="86">
        <v>46244.0</v>
      </c>
      <c r="C64" s="91" t="s">
        <v>3661</v>
      </c>
      <c r="D64" s="65" t="s">
        <v>3535</v>
      </c>
      <c r="E64" s="87" t="s">
        <v>35</v>
      </c>
      <c r="F64" s="87">
        <v>4885.8</v>
      </c>
      <c r="G64" s="65" t="s">
        <v>3663</v>
      </c>
      <c r="H64" s="65" t="s">
        <v>3664</v>
      </c>
      <c r="I64" s="65" t="s">
        <v>32</v>
      </c>
      <c r="J64" s="65" t="s">
        <v>34</v>
      </c>
      <c r="K64" s="65"/>
      <c r="L64" s="65" t="s">
        <v>96</v>
      </c>
      <c r="M64" s="89">
        <v>1.0</v>
      </c>
      <c r="N64" s="90">
        <v>46248.0</v>
      </c>
      <c r="O64" s="42" t="b">
        <v>0</v>
      </c>
      <c r="P64" s="44"/>
      <c r="Q64" s="34"/>
      <c r="R64" s="33"/>
      <c r="S64" s="34"/>
      <c r="T64" s="34"/>
    </row>
    <row r="65" ht="15.75" customHeight="1">
      <c r="B65" s="86">
        <v>46244.0</v>
      </c>
      <c r="C65" s="91" t="s">
        <v>35</v>
      </c>
      <c r="D65" s="65">
        <v>2.0</v>
      </c>
      <c r="E65" s="87">
        <v>885.0</v>
      </c>
      <c r="F65" s="87">
        <v>1770.0</v>
      </c>
      <c r="G65" s="65" t="s">
        <v>3669</v>
      </c>
      <c r="H65" s="65"/>
      <c r="I65" s="65" t="s">
        <v>240</v>
      </c>
      <c r="J65" s="65" t="s">
        <v>34</v>
      </c>
      <c r="K65" s="65" t="s">
        <v>3463</v>
      </c>
      <c r="L65" s="65" t="s">
        <v>3670</v>
      </c>
      <c r="M65" s="89">
        <v>31.0</v>
      </c>
      <c r="N65" s="90">
        <v>46244.0</v>
      </c>
      <c r="O65" s="42" t="b">
        <v>0</v>
      </c>
      <c r="P65" s="44">
        <v>46247.0</v>
      </c>
      <c r="Q65" s="34"/>
      <c r="R65" s="33"/>
      <c r="S65" s="34"/>
      <c r="T65" s="34"/>
    </row>
    <row r="66" ht="15.75" customHeight="1">
      <c r="B66" s="86">
        <v>46244.0</v>
      </c>
      <c r="C66" s="91" t="s">
        <v>3671</v>
      </c>
      <c r="D66" s="65">
        <v>50.0</v>
      </c>
      <c r="E66" s="87">
        <v>99.0</v>
      </c>
      <c r="F66" s="87">
        <v>4950.0</v>
      </c>
      <c r="G66" s="65" t="s">
        <v>3673</v>
      </c>
      <c r="H66" s="65" t="s">
        <v>3675</v>
      </c>
      <c r="I66" s="65" t="s">
        <v>39</v>
      </c>
      <c r="J66" s="65" t="s">
        <v>2655</v>
      </c>
      <c r="K66" s="65"/>
      <c r="L66" s="65" t="s">
        <v>62</v>
      </c>
      <c r="M66" s="89">
        <v>1.0</v>
      </c>
      <c r="N66" s="90">
        <v>47342.0</v>
      </c>
      <c r="O66" s="42" t="b">
        <v>0</v>
      </c>
      <c r="P66" s="44">
        <v>46247.0</v>
      </c>
      <c r="Q66" s="34"/>
      <c r="R66" s="34"/>
      <c r="S66" s="34"/>
      <c r="T66" s="34"/>
    </row>
    <row r="67" ht="15.75" customHeight="1">
      <c r="B67" s="86">
        <v>46244.0</v>
      </c>
      <c r="C67" s="91" t="s">
        <v>3680</v>
      </c>
      <c r="D67" s="65"/>
      <c r="E67" s="87">
        <v>90.0</v>
      </c>
      <c r="F67" s="87">
        <v>90000.0</v>
      </c>
      <c r="G67" s="65" t="s">
        <v>3681</v>
      </c>
      <c r="H67" s="65" t="s">
        <v>3683</v>
      </c>
      <c r="I67" s="65" t="s">
        <v>3685</v>
      </c>
      <c r="J67" s="65" t="s">
        <v>40</v>
      </c>
      <c r="K67" s="65"/>
      <c r="L67" s="65" t="s">
        <v>193</v>
      </c>
      <c r="M67" s="89">
        <v>31.0</v>
      </c>
      <c r="N67" s="90">
        <v>46248.0</v>
      </c>
      <c r="O67" s="42" t="b">
        <v>0</v>
      </c>
      <c r="P67" s="44"/>
      <c r="Q67" s="34"/>
      <c r="R67" s="34"/>
      <c r="S67" s="34"/>
      <c r="T67" s="34"/>
    </row>
    <row r="68" ht="15.75" customHeight="1">
      <c r="B68" s="86">
        <v>46245.0</v>
      </c>
      <c r="C68" s="91" t="s">
        <v>3687</v>
      </c>
      <c r="D68" s="65">
        <v>2.0</v>
      </c>
      <c r="E68" s="87">
        <v>72.0</v>
      </c>
      <c r="F68" s="87">
        <v>14400.0</v>
      </c>
      <c r="G68" s="65" t="s">
        <v>3688</v>
      </c>
      <c r="H68" s="65" t="s">
        <v>3689</v>
      </c>
      <c r="I68" s="65" t="s">
        <v>175</v>
      </c>
      <c r="J68" s="65" t="s">
        <v>34</v>
      </c>
      <c r="K68" s="65" t="s">
        <v>3463</v>
      </c>
      <c r="L68" s="65" t="s">
        <v>87</v>
      </c>
      <c r="M68" s="89">
        <v>31.0</v>
      </c>
      <c r="N68" s="90">
        <v>46246.0</v>
      </c>
      <c r="O68" s="42" t="b">
        <v>0</v>
      </c>
      <c r="P68" s="44">
        <v>46247.0</v>
      </c>
      <c r="Q68" s="34"/>
      <c r="R68" s="34"/>
      <c r="S68" s="34"/>
      <c r="T68" s="35"/>
    </row>
    <row r="69" ht="15.75" customHeight="1">
      <c r="B69" s="86">
        <v>46245.0</v>
      </c>
      <c r="C69" s="91" t="s">
        <v>3694</v>
      </c>
      <c r="D69" s="65" t="s">
        <v>3695</v>
      </c>
      <c r="E69" s="87">
        <v>245.0</v>
      </c>
      <c r="F69" s="87">
        <v>48755.0</v>
      </c>
      <c r="G69" s="65" t="s">
        <v>3696</v>
      </c>
      <c r="H69" s="65" t="s">
        <v>602</v>
      </c>
      <c r="I69" s="65" t="s">
        <v>41</v>
      </c>
      <c r="J69" s="65" t="s">
        <v>34</v>
      </c>
      <c r="K69" s="65" t="s">
        <v>3463</v>
      </c>
      <c r="L69" s="65" t="s">
        <v>87</v>
      </c>
      <c r="M69" s="89">
        <v>31.0</v>
      </c>
      <c r="N69" s="90">
        <v>46246.0</v>
      </c>
      <c r="O69" s="42" t="b">
        <v>0</v>
      </c>
      <c r="P69" s="44">
        <v>46247.0</v>
      </c>
      <c r="Q69" s="34"/>
      <c r="R69" s="34"/>
      <c r="S69" s="34"/>
      <c r="T69" s="34"/>
    </row>
    <row r="70" ht="15.75" customHeight="1">
      <c r="B70" s="86">
        <v>46245.0</v>
      </c>
      <c r="C70" s="91" t="s">
        <v>3700</v>
      </c>
      <c r="D70" s="65">
        <v>40.0</v>
      </c>
      <c r="E70" s="87">
        <v>414.0</v>
      </c>
      <c r="F70" s="87">
        <v>16560.0</v>
      </c>
      <c r="G70" s="65" t="s">
        <v>3701</v>
      </c>
      <c r="H70" s="65" t="s">
        <v>3701</v>
      </c>
      <c r="I70" s="65" t="s">
        <v>175</v>
      </c>
      <c r="J70" s="65" t="s">
        <v>34</v>
      </c>
      <c r="K70" s="65"/>
      <c r="L70" s="65" t="s">
        <v>62</v>
      </c>
      <c r="M70" s="89">
        <v>31.0</v>
      </c>
      <c r="N70" s="90">
        <v>46251.0</v>
      </c>
      <c r="O70" s="42" t="b">
        <v>0</v>
      </c>
      <c r="P70" s="44">
        <v>46252.0</v>
      </c>
      <c r="Q70" s="34"/>
      <c r="R70" s="34"/>
      <c r="S70" s="34"/>
      <c r="T70" s="34"/>
    </row>
    <row r="71" ht="15.75" customHeight="1">
      <c r="B71" s="86">
        <v>46245.0</v>
      </c>
      <c r="C71" s="91"/>
      <c r="D71" s="65">
        <v>1.0</v>
      </c>
      <c r="E71" s="87">
        <v>6975.0</v>
      </c>
      <c r="F71" s="87">
        <v>6975.0</v>
      </c>
      <c r="G71" s="65" t="s">
        <v>3702</v>
      </c>
      <c r="H71" s="65"/>
      <c r="I71" s="65" t="s">
        <v>221</v>
      </c>
      <c r="J71" s="65" t="s">
        <v>34</v>
      </c>
      <c r="K71" s="65"/>
      <c r="L71" s="65"/>
      <c r="M71" s="89">
        <v>31.0</v>
      </c>
      <c r="N71" s="90">
        <v>46245.0</v>
      </c>
      <c r="O71" s="42" t="b">
        <v>0</v>
      </c>
      <c r="P71" s="44"/>
      <c r="Q71" s="34"/>
      <c r="R71" s="34"/>
      <c r="S71" s="34"/>
      <c r="T71" s="34"/>
    </row>
    <row r="72" ht="15.75" customHeight="1">
      <c r="B72" s="86">
        <v>46245.0</v>
      </c>
      <c r="C72" s="91"/>
      <c r="D72" s="65">
        <v>1.0</v>
      </c>
      <c r="E72" s="87">
        <v>6975.0</v>
      </c>
      <c r="F72" s="87">
        <v>6975.0</v>
      </c>
      <c r="G72" s="65" t="s">
        <v>3707</v>
      </c>
      <c r="H72" s="65"/>
      <c r="I72" s="65" t="s">
        <v>221</v>
      </c>
      <c r="J72" s="65" t="s">
        <v>34</v>
      </c>
      <c r="K72" s="65"/>
      <c r="L72" s="65"/>
      <c r="M72" s="89">
        <v>31.0</v>
      </c>
      <c r="N72" s="90">
        <v>46245.0</v>
      </c>
      <c r="O72" s="42" t="b">
        <v>0</v>
      </c>
      <c r="P72" s="44"/>
      <c r="Q72" s="34"/>
      <c r="R72" s="34"/>
      <c r="S72" s="34"/>
      <c r="T72" s="34"/>
    </row>
    <row r="73" ht="15.75" customHeight="1">
      <c r="B73" s="86">
        <v>46245.0</v>
      </c>
      <c r="C73" s="91" t="s">
        <v>3708</v>
      </c>
      <c r="D73" s="65">
        <v>30.0</v>
      </c>
      <c r="E73" s="87">
        <v>11.0</v>
      </c>
      <c r="F73" s="87">
        <v>330.0</v>
      </c>
      <c r="G73" s="65" t="s">
        <v>3709</v>
      </c>
      <c r="H73" s="65" t="s">
        <v>3710</v>
      </c>
      <c r="I73" s="65" t="s">
        <v>41</v>
      </c>
      <c r="J73" s="65" t="s">
        <v>40</v>
      </c>
      <c r="K73" s="65" t="s">
        <v>3712</v>
      </c>
      <c r="L73" s="65" t="s">
        <v>1250</v>
      </c>
      <c r="M73" s="89">
        <v>31.0</v>
      </c>
      <c r="N73" s="90">
        <v>46247.0</v>
      </c>
      <c r="O73" s="42" t="b">
        <v>0</v>
      </c>
      <c r="P73" s="44"/>
      <c r="Q73" s="34"/>
      <c r="R73" s="34"/>
      <c r="S73" s="34"/>
      <c r="T73" s="34"/>
    </row>
    <row r="74" ht="15.75" customHeight="1">
      <c r="B74" s="86">
        <v>46245.0</v>
      </c>
      <c r="C74" s="91" t="s">
        <v>3713</v>
      </c>
      <c r="D74" s="65">
        <v>80.0</v>
      </c>
      <c r="E74" s="87">
        <v>220.0</v>
      </c>
      <c r="F74" s="87">
        <v>17600.0</v>
      </c>
      <c r="G74" s="65" t="s">
        <v>3714</v>
      </c>
      <c r="H74" s="65" t="s">
        <v>2789</v>
      </c>
      <c r="I74" s="65" t="s">
        <v>59</v>
      </c>
      <c r="J74" s="65" t="s">
        <v>34</v>
      </c>
      <c r="K74" s="65" t="s">
        <v>3457</v>
      </c>
      <c r="L74" s="65" t="s">
        <v>87</v>
      </c>
      <c r="M74" s="89">
        <v>31.0</v>
      </c>
      <c r="N74" s="90">
        <v>46246.0</v>
      </c>
      <c r="O74" s="42" t="b">
        <v>0</v>
      </c>
      <c r="P74" s="44"/>
      <c r="Q74" s="34"/>
      <c r="R74" s="34"/>
      <c r="S74" s="34"/>
      <c r="T74" s="34"/>
    </row>
    <row r="75" ht="15.75" customHeight="1">
      <c r="B75" s="86">
        <v>46245.0</v>
      </c>
      <c r="C75" s="91" t="s">
        <v>3718</v>
      </c>
      <c r="D75" s="65" t="s">
        <v>3720</v>
      </c>
      <c r="E75" s="87" t="s">
        <v>35</v>
      </c>
      <c r="F75" s="87">
        <v>10119.0</v>
      </c>
      <c r="G75" s="65" t="s">
        <v>3722</v>
      </c>
      <c r="H75" s="65" t="s">
        <v>3723</v>
      </c>
      <c r="I75" s="65" t="s">
        <v>59</v>
      </c>
      <c r="J75" s="65" t="s">
        <v>34</v>
      </c>
      <c r="K75" s="65" t="s">
        <v>3457</v>
      </c>
      <c r="L75" s="65" t="s">
        <v>87</v>
      </c>
      <c r="M75" s="89">
        <v>31.0</v>
      </c>
      <c r="N75" s="90">
        <v>46246.0</v>
      </c>
      <c r="O75" s="42" t="b">
        <v>0</v>
      </c>
      <c r="P75" s="44"/>
      <c r="Q75" s="34"/>
      <c r="R75" s="34"/>
      <c r="S75" s="34"/>
      <c r="T75" s="34"/>
    </row>
    <row r="76" ht="15.75" customHeight="1">
      <c r="B76" s="86">
        <v>46245.0</v>
      </c>
      <c r="C76" s="91" t="s">
        <v>3724</v>
      </c>
      <c r="D76" s="65" t="s">
        <v>3725</v>
      </c>
      <c r="E76" s="87" t="s">
        <v>35</v>
      </c>
      <c r="F76" s="87">
        <v>11430.0</v>
      </c>
      <c r="G76" s="65" t="s">
        <v>3727</v>
      </c>
      <c r="H76" s="65" t="s">
        <v>3729</v>
      </c>
      <c r="I76" s="65" t="s">
        <v>59</v>
      </c>
      <c r="J76" s="65" t="s">
        <v>34</v>
      </c>
      <c r="K76" s="65" t="s">
        <v>3457</v>
      </c>
      <c r="L76" s="65" t="s">
        <v>87</v>
      </c>
      <c r="M76" s="89">
        <v>31.0</v>
      </c>
      <c r="N76" s="90">
        <v>46246.0</v>
      </c>
      <c r="O76" s="42" t="b">
        <v>0</v>
      </c>
      <c r="P76" s="44"/>
      <c r="Q76" s="34"/>
      <c r="R76" s="34"/>
      <c r="S76" s="34"/>
      <c r="T76" s="34"/>
    </row>
    <row r="77" ht="15.75" customHeight="1">
      <c r="B77" s="86">
        <v>46245.0</v>
      </c>
      <c r="C77" s="91" t="s">
        <v>3730</v>
      </c>
      <c r="D77" s="65" t="s">
        <v>3731</v>
      </c>
      <c r="E77" s="87" t="s">
        <v>35</v>
      </c>
      <c r="F77" s="87">
        <v>16659.0</v>
      </c>
      <c r="G77" s="65" t="s">
        <v>3732</v>
      </c>
      <c r="H77" s="65" t="s">
        <v>3733</v>
      </c>
      <c r="I77" s="65" t="s">
        <v>59</v>
      </c>
      <c r="J77" s="65" t="s">
        <v>34</v>
      </c>
      <c r="K77" s="65" t="s">
        <v>3457</v>
      </c>
      <c r="L77" s="65" t="s">
        <v>87</v>
      </c>
      <c r="M77" s="89">
        <v>31.0</v>
      </c>
      <c r="N77" s="90">
        <v>46246.0</v>
      </c>
      <c r="O77" s="42" t="b">
        <v>0</v>
      </c>
      <c r="P77" s="44"/>
      <c r="Q77" s="34"/>
      <c r="R77" s="34"/>
      <c r="S77" s="34"/>
      <c r="T77" s="34"/>
    </row>
    <row r="78" ht="15.75" customHeight="1">
      <c r="B78" s="86">
        <v>46245.0</v>
      </c>
      <c r="C78" s="91" t="s">
        <v>3738</v>
      </c>
      <c r="D78" s="65" t="s">
        <v>3739</v>
      </c>
      <c r="E78" s="87" t="s">
        <v>35</v>
      </c>
      <c r="F78" s="87">
        <v>2371.0</v>
      </c>
      <c r="G78" s="65" t="s">
        <v>3740</v>
      </c>
      <c r="H78" s="65" t="s">
        <v>3741</v>
      </c>
      <c r="I78" s="65" t="s">
        <v>59</v>
      </c>
      <c r="J78" s="65" t="s">
        <v>34</v>
      </c>
      <c r="K78" s="65" t="s">
        <v>3457</v>
      </c>
      <c r="L78" s="65" t="s">
        <v>87</v>
      </c>
      <c r="M78" s="89">
        <v>31.0</v>
      </c>
      <c r="N78" s="90">
        <v>46246.0</v>
      </c>
      <c r="O78" s="42" t="b">
        <v>0</v>
      </c>
      <c r="P78" s="44"/>
      <c r="Q78" s="34"/>
      <c r="R78" s="34"/>
      <c r="S78" s="34"/>
      <c r="T78" s="34"/>
    </row>
    <row r="79" ht="15.75" customHeight="1">
      <c r="B79" s="86">
        <v>46245.0</v>
      </c>
      <c r="C79" s="91" t="s">
        <v>3746</v>
      </c>
      <c r="D79" s="65">
        <v>2.0</v>
      </c>
      <c r="E79" s="87">
        <v>175.5</v>
      </c>
      <c r="F79" s="87">
        <v>351.0</v>
      </c>
      <c r="G79" s="65" t="s">
        <v>786</v>
      </c>
      <c r="H79" s="65" t="s">
        <v>3747</v>
      </c>
      <c r="I79" s="65" t="s">
        <v>240</v>
      </c>
      <c r="J79" s="65" t="s">
        <v>34</v>
      </c>
      <c r="K79" s="65"/>
      <c r="L79" s="65" t="s">
        <v>151</v>
      </c>
      <c r="M79" s="89">
        <v>31.0</v>
      </c>
      <c r="N79" s="90">
        <v>46248.0</v>
      </c>
      <c r="O79" s="42" t="b">
        <v>0</v>
      </c>
      <c r="P79" s="44"/>
      <c r="Q79" s="34"/>
      <c r="R79" s="34"/>
      <c r="S79" s="34"/>
      <c r="T79" s="34"/>
    </row>
    <row r="80" ht="15.75" customHeight="1">
      <c r="B80" s="86">
        <v>46245.0</v>
      </c>
      <c r="C80" s="91" t="s">
        <v>3708</v>
      </c>
      <c r="D80" s="65">
        <v>30.0</v>
      </c>
      <c r="E80" s="87">
        <v>24.0</v>
      </c>
      <c r="F80" s="87">
        <v>720.0</v>
      </c>
      <c r="G80" s="65" t="s">
        <v>3750</v>
      </c>
      <c r="H80" s="65" t="s">
        <v>3751</v>
      </c>
      <c r="I80" s="65" t="s">
        <v>41</v>
      </c>
      <c r="J80" s="65" t="s">
        <v>40</v>
      </c>
      <c r="K80" s="65" t="s">
        <v>3712</v>
      </c>
      <c r="L80" s="65" t="s">
        <v>1250</v>
      </c>
      <c r="M80" s="89">
        <v>31.0</v>
      </c>
      <c r="N80" s="90">
        <v>46247.0</v>
      </c>
      <c r="O80" s="42" t="b">
        <v>0</v>
      </c>
      <c r="P80" s="44"/>
      <c r="Q80" s="34"/>
      <c r="R80" s="34"/>
      <c r="S80" s="34"/>
      <c r="T80" s="34"/>
    </row>
    <row r="81" ht="15.75" customHeight="1">
      <c r="B81" s="48">
        <v>46245.0</v>
      </c>
      <c r="C81" s="91" t="s">
        <v>3708</v>
      </c>
      <c r="D81" s="65">
        <v>64.0</v>
      </c>
      <c r="E81" s="87">
        <v>32.0</v>
      </c>
      <c r="F81" s="87">
        <v>2048.0</v>
      </c>
      <c r="G81" s="65" t="s">
        <v>3758</v>
      </c>
      <c r="H81" s="65" t="s">
        <v>3761</v>
      </c>
      <c r="I81" s="65" t="s">
        <v>41</v>
      </c>
      <c r="J81" s="65" t="s">
        <v>34</v>
      </c>
      <c r="K81" s="65" t="s">
        <v>3712</v>
      </c>
      <c r="L81" s="65" t="s">
        <v>1250</v>
      </c>
      <c r="M81" s="89">
        <v>31.0</v>
      </c>
      <c r="N81" s="90">
        <v>46246.0</v>
      </c>
      <c r="O81" s="42" t="b">
        <v>0</v>
      </c>
      <c r="P81" s="44">
        <v>46247.0</v>
      </c>
      <c r="Q81" s="33"/>
      <c r="R81" s="34"/>
      <c r="S81" s="34"/>
      <c r="T81" s="34"/>
    </row>
    <row r="82" ht="15.75" customHeight="1">
      <c r="B82" s="86">
        <v>46245.0</v>
      </c>
      <c r="C82" s="91" t="s">
        <v>3708</v>
      </c>
      <c r="D82" s="65">
        <v>16.0</v>
      </c>
      <c r="E82" s="87">
        <v>37.0</v>
      </c>
      <c r="F82" s="87">
        <v>592.0</v>
      </c>
      <c r="G82" s="65" t="s">
        <v>3764</v>
      </c>
      <c r="H82" s="65" t="s">
        <v>3766</v>
      </c>
      <c r="I82" s="65" t="s">
        <v>41</v>
      </c>
      <c r="J82" s="65" t="s">
        <v>40</v>
      </c>
      <c r="K82" s="65" t="s">
        <v>3712</v>
      </c>
      <c r="L82" s="65" t="s">
        <v>1250</v>
      </c>
      <c r="M82" s="89">
        <v>31.0</v>
      </c>
      <c r="N82" s="90">
        <v>46247.0</v>
      </c>
      <c r="O82" s="42" t="b">
        <v>0</v>
      </c>
      <c r="P82" s="44"/>
      <c r="Q82" s="34"/>
      <c r="R82" s="35"/>
      <c r="S82" s="34"/>
      <c r="T82" s="35"/>
    </row>
    <row r="83" ht="15.75" customHeight="1">
      <c r="B83" s="86">
        <v>46245.0</v>
      </c>
      <c r="C83" s="91" t="s">
        <v>3708</v>
      </c>
      <c r="D83" s="65">
        <v>7.0</v>
      </c>
      <c r="E83" s="87">
        <v>77.0</v>
      </c>
      <c r="F83" s="87">
        <v>539.0</v>
      </c>
      <c r="G83" s="65" t="s">
        <v>3770</v>
      </c>
      <c r="H83" s="65" t="s">
        <v>3771</v>
      </c>
      <c r="I83" s="65" t="s">
        <v>41</v>
      </c>
      <c r="J83" s="65" t="s">
        <v>40</v>
      </c>
      <c r="K83" s="65" t="s">
        <v>3712</v>
      </c>
      <c r="L83" s="65" t="s">
        <v>1250</v>
      </c>
      <c r="M83" s="89">
        <v>31.0</v>
      </c>
      <c r="N83" s="90">
        <v>46247.0</v>
      </c>
      <c r="O83" s="42" t="b">
        <v>0</v>
      </c>
      <c r="P83" s="44"/>
      <c r="Q83" s="34"/>
      <c r="R83" s="35"/>
      <c r="S83" s="34"/>
      <c r="T83" s="34"/>
    </row>
    <row r="84" ht="15.75" customHeight="1">
      <c r="B84" s="86">
        <v>46246.0</v>
      </c>
      <c r="C84" s="98">
        <v>27542.0</v>
      </c>
      <c r="D84" s="65">
        <v>4.0</v>
      </c>
      <c r="E84" s="87" t="s">
        <v>35</v>
      </c>
      <c r="F84" s="87">
        <v>6298.7</v>
      </c>
      <c r="G84" s="65" t="s">
        <v>3777</v>
      </c>
      <c r="H84" s="65" t="s">
        <v>3778</v>
      </c>
      <c r="I84" s="65" t="s">
        <v>3539</v>
      </c>
      <c r="J84" s="65" t="s">
        <v>34</v>
      </c>
      <c r="K84" s="65"/>
      <c r="L84" s="65" t="s">
        <v>96</v>
      </c>
      <c r="M84" s="89">
        <v>1.0</v>
      </c>
      <c r="N84" s="90">
        <v>46251.0</v>
      </c>
      <c r="O84" s="42" t="b">
        <v>0</v>
      </c>
      <c r="P84" s="44">
        <v>46252.0</v>
      </c>
      <c r="Q84" s="34"/>
      <c r="R84" s="34"/>
      <c r="S84" s="34"/>
      <c r="T84" s="34"/>
    </row>
    <row r="85" ht="15.75" customHeight="1">
      <c r="B85" s="86">
        <v>46246.0</v>
      </c>
      <c r="C85" s="65">
        <v>931103.0</v>
      </c>
      <c r="D85" s="65">
        <v>150.0</v>
      </c>
      <c r="E85" s="87">
        <v>135.0</v>
      </c>
      <c r="F85" s="87">
        <v>20250.0</v>
      </c>
      <c r="G85" s="65" t="s">
        <v>3783</v>
      </c>
      <c r="H85" s="65" t="s">
        <v>3784</v>
      </c>
      <c r="I85" s="65" t="s">
        <v>77</v>
      </c>
      <c r="J85" s="65" t="s">
        <v>3785</v>
      </c>
      <c r="K85" s="65" t="s">
        <v>3786</v>
      </c>
      <c r="L85" s="65" t="s">
        <v>167</v>
      </c>
      <c r="M85" s="89">
        <v>31.0</v>
      </c>
      <c r="N85" s="90">
        <v>46247.0</v>
      </c>
      <c r="O85" s="42" t="b">
        <v>0</v>
      </c>
      <c r="P85" s="44"/>
      <c r="Q85" s="34"/>
      <c r="R85" s="34"/>
      <c r="S85" s="34"/>
      <c r="T85" s="34"/>
    </row>
    <row r="86" ht="15.75" customHeight="1">
      <c r="B86" s="86">
        <v>46246.0</v>
      </c>
      <c r="C86" s="65">
        <v>931103.0</v>
      </c>
      <c r="D86" s="65">
        <v>800.0</v>
      </c>
      <c r="E86" s="87">
        <v>135.0</v>
      </c>
      <c r="F86" s="87">
        <v>108000.0</v>
      </c>
      <c r="G86" s="65" t="s">
        <v>3789</v>
      </c>
      <c r="H86" s="65" t="s">
        <v>3790</v>
      </c>
      <c r="I86" s="65" t="s">
        <v>59</v>
      </c>
      <c r="J86" s="65" t="s">
        <v>3254</v>
      </c>
      <c r="K86" s="65" t="s">
        <v>3786</v>
      </c>
      <c r="L86" s="65" t="s">
        <v>167</v>
      </c>
      <c r="M86" s="89">
        <v>31.0</v>
      </c>
      <c r="N86" s="90">
        <v>46247.0</v>
      </c>
      <c r="O86" s="42" t="b">
        <v>0</v>
      </c>
      <c r="P86" s="44"/>
      <c r="Q86" s="34"/>
      <c r="R86" s="34"/>
      <c r="S86" s="34"/>
      <c r="T86" s="34"/>
    </row>
    <row r="87" ht="15.75" customHeight="1">
      <c r="B87" s="86">
        <v>46246.0</v>
      </c>
      <c r="C87" s="65">
        <v>17643.0</v>
      </c>
      <c r="D87" s="65">
        <v>380.0</v>
      </c>
      <c r="E87" s="87">
        <v>750.0</v>
      </c>
      <c r="F87" s="87">
        <v>28500.0</v>
      </c>
      <c r="G87" s="65" t="s">
        <v>3794</v>
      </c>
      <c r="H87" s="65" t="s">
        <v>3795</v>
      </c>
      <c r="I87" s="65" t="s">
        <v>175</v>
      </c>
      <c r="J87" s="65" t="s">
        <v>34</v>
      </c>
      <c r="K87" s="65" t="s">
        <v>3796</v>
      </c>
      <c r="L87" s="65" t="s">
        <v>87</v>
      </c>
      <c r="M87" s="89">
        <v>31.0</v>
      </c>
      <c r="N87" s="90">
        <v>46258.0</v>
      </c>
      <c r="O87" s="42" t="b">
        <v>0</v>
      </c>
      <c r="P87" s="44">
        <v>46259.0</v>
      </c>
      <c r="Q87" s="34"/>
      <c r="R87" s="34"/>
      <c r="S87" s="34"/>
      <c r="T87" s="34"/>
    </row>
    <row r="88" ht="15.75" customHeight="1">
      <c r="B88" s="86">
        <v>46246.0</v>
      </c>
      <c r="C88" s="65">
        <v>931103.0</v>
      </c>
      <c r="D88" s="65">
        <v>50.0</v>
      </c>
      <c r="E88" s="87">
        <v>189.9</v>
      </c>
      <c r="F88" s="87">
        <v>9495.0</v>
      </c>
      <c r="G88" s="65" t="s">
        <v>3799</v>
      </c>
      <c r="H88" s="65" t="s">
        <v>3800</v>
      </c>
      <c r="I88" s="65" t="s">
        <v>59</v>
      </c>
      <c r="J88" s="65" t="s">
        <v>34</v>
      </c>
      <c r="K88" s="65" t="s">
        <v>3786</v>
      </c>
      <c r="L88" s="65" t="s">
        <v>167</v>
      </c>
      <c r="M88" s="89">
        <v>31.0</v>
      </c>
      <c r="N88" s="90">
        <v>46247.0</v>
      </c>
      <c r="O88" s="42" t="b">
        <v>0</v>
      </c>
      <c r="P88" s="44"/>
      <c r="Q88" s="34"/>
      <c r="R88" s="34"/>
      <c r="S88" s="34"/>
      <c r="T88" s="34"/>
    </row>
    <row r="89" ht="15.75" customHeight="1">
      <c r="B89" s="86">
        <v>46246.0</v>
      </c>
      <c r="C89" s="65">
        <v>5266.0</v>
      </c>
      <c r="D89" s="65">
        <v>6.0</v>
      </c>
      <c r="E89" s="87">
        <v>2700.0</v>
      </c>
      <c r="F89" s="87">
        <v>16200.0</v>
      </c>
      <c r="G89" s="65" t="s">
        <v>3801</v>
      </c>
      <c r="H89" s="65" t="s">
        <v>3803</v>
      </c>
      <c r="I89" s="65" t="s">
        <v>32</v>
      </c>
      <c r="J89" s="65" t="s">
        <v>34</v>
      </c>
      <c r="K89" s="65"/>
      <c r="L89" s="65" t="s">
        <v>2251</v>
      </c>
      <c r="M89" s="89" t="s">
        <v>3464</v>
      </c>
      <c r="N89" s="90">
        <v>46253.0</v>
      </c>
      <c r="O89" s="42" t="b">
        <v>0</v>
      </c>
      <c r="P89" s="44">
        <v>46258.0</v>
      </c>
      <c r="Q89" s="34"/>
      <c r="R89" s="34"/>
      <c r="S89" s="34"/>
      <c r="T89" s="34"/>
    </row>
    <row r="90" ht="15.75" customHeight="1">
      <c r="B90" s="86">
        <v>46246.0</v>
      </c>
      <c r="C90" s="65">
        <v>1051.0</v>
      </c>
      <c r="D90" s="65">
        <v>100.0</v>
      </c>
      <c r="E90" s="87">
        <v>18.0</v>
      </c>
      <c r="F90" s="87">
        <v>1800.0</v>
      </c>
      <c r="G90" s="65" t="s">
        <v>3808</v>
      </c>
      <c r="H90" s="65"/>
      <c r="I90" s="65" t="s">
        <v>59</v>
      </c>
      <c r="J90" s="65" t="s">
        <v>34</v>
      </c>
      <c r="K90" s="65" t="s">
        <v>3811</v>
      </c>
      <c r="L90" s="65" t="s">
        <v>3812</v>
      </c>
      <c r="M90" s="89">
        <v>31.0</v>
      </c>
      <c r="N90" s="90">
        <v>46246.0</v>
      </c>
      <c r="O90" s="42" t="b">
        <v>0</v>
      </c>
      <c r="P90" s="44"/>
      <c r="Q90" s="34"/>
      <c r="R90" s="34"/>
      <c r="S90" s="34"/>
      <c r="T90" s="34"/>
    </row>
    <row r="91" ht="15.75" customHeight="1">
      <c r="B91" s="86">
        <v>46246.0</v>
      </c>
      <c r="C91" s="65">
        <v>54.0</v>
      </c>
      <c r="D91" s="65">
        <v>80.0</v>
      </c>
      <c r="E91" s="87">
        <v>265.0</v>
      </c>
      <c r="F91" s="87">
        <v>21200.0</v>
      </c>
      <c r="G91" s="65" t="s">
        <v>1136</v>
      </c>
      <c r="H91" s="65"/>
      <c r="I91" s="65" t="s">
        <v>32</v>
      </c>
      <c r="J91" s="65" t="s">
        <v>40</v>
      </c>
      <c r="K91" s="65"/>
      <c r="L91" s="65" t="s">
        <v>3815</v>
      </c>
      <c r="M91" s="89">
        <v>1.0</v>
      </c>
      <c r="N91" s="90">
        <v>46253.0</v>
      </c>
      <c r="O91" s="42" t="b">
        <v>0</v>
      </c>
      <c r="P91" s="44">
        <v>46253.0</v>
      </c>
      <c r="Q91" s="34"/>
      <c r="R91" s="34"/>
      <c r="S91" s="34"/>
      <c r="T91" s="34"/>
    </row>
    <row r="92" ht="15.75" customHeight="1">
      <c r="B92" s="86">
        <v>46246.0</v>
      </c>
      <c r="C92" s="65">
        <v>54.0</v>
      </c>
      <c r="D92" s="65">
        <v>600.0</v>
      </c>
      <c r="E92" s="87">
        <v>79.99</v>
      </c>
      <c r="F92" s="87">
        <v>47994.0</v>
      </c>
      <c r="G92" s="65" t="s">
        <v>1418</v>
      </c>
      <c r="H92" s="65"/>
      <c r="I92" s="65" t="s">
        <v>32</v>
      </c>
      <c r="J92" s="65" t="s">
        <v>40</v>
      </c>
      <c r="K92" s="65"/>
      <c r="L92" s="65" t="s">
        <v>3815</v>
      </c>
      <c r="M92" s="89">
        <v>1.0</v>
      </c>
      <c r="N92" s="90">
        <v>46253.0</v>
      </c>
      <c r="O92" s="42" t="b">
        <v>0</v>
      </c>
      <c r="P92" s="44">
        <v>46253.0</v>
      </c>
      <c r="Q92" s="34"/>
      <c r="R92" s="34"/>
      <c r="S92" s="34"/>
      <c r="T92" s="34"/>
    </row>
    <row r="93" ht="15.75" customHeight="1">
      <c r="B93" s="86">
        <v>46246.0</v>
      </c>
      <c r="C93" s="65" t="s">
        <v>35</v>
      </c>
      <c r="D93" s="65">
        <v>28.0</v>
      </c>
      <c r="E93" s="87">
        <v>450.0</v>
      </c>
      <c r="F93" s="87">
        <v>12600.0</v>
      </c>
      <c r="G93" s="65" t="s">
        <v>3820</v>
      </c>
      <c r="H93" s="65" t="s">
        <v>35</v>
      </c>
      <c r="I93" s="65" t="s">
        <v>32</v>
      </c>
      <c r="J93" s="65" t="s">
        <v>34</v>
      </c>
      <c r="K93" s="65"/>
      <c r="L93" s="65" t="s">
        <v>314</v>
      </c>
      <c r="M93" s="89">
        <v>31.0</v>
      </c>
      <c r="N93" s="90">
        <v>46247.0</v>
      </c>
      <c r="O93" s="42" t="b">
        <v>0</v>
      </c>
      <c r="P93" s="44">
        <v>46255.0</v>
      </c>
      <c r="Q93" s="34"/>
      <c r="R93" s="34"/>
      <c r="S93" s="34"/>
      <c r="T93" s="34"/>
    </row>
    <row r="94" ht="15.75" customHeight="1">
      <c r="B94" s="86">
        <v>46246.0</v>
      </c>
      <c r="C94" s="65">
        <v>27601.0</v>
      </c>
      <c r="D94" s="65" t="s">
        <v>3547</v>
      </c>
      <c r="E94" s="87" t="s">
        <v>35</v>
      </c>
      <c r="F94" s="87">
        <v>3804.1</v>
      </c>
      <c r="G94" s="65" t="s">
        <v>3825</v>
      </c>
      <c r="H94" s="65" t="s">
        <v>3827</v>
      </c>
      <c r="I94" s="65" t="s">
        <v>32</v>
      </c>
      <c r="J94" s="65" t="s">
        <v>34</v>
      </c>
      <c r="K94" s="65"/>
      <c r="L94" s="65" t="s">
        <v>96</v>
      </c>
      <c r="M94" s="89">
        <v>1.0</v>
      </c>
      <c r="N94" s="90">
        <v>46251.0</v>
      </c>
      <c r="O94" s="42" t="b">
        <v>0</v>
      </c>
      <c r="P94" s="44">
        <v>46252.0</v>
      </c>
      <c r="Q94" s="34"/>
      <c r="R94" s="34"/>
      <c r="S94" s="34"/>
      <c r="T94" s="34"/>
    </row>
    <row r="95" ht="15.75" customHeight="1">
      <c r="B95" s="86">
        <v>46247.0</v>
      </c>
      <c r="C95" s="65" t="s">
        <v>3829</v>
      </c>
      <c r="D95" s="65" t="s">
        <v>3830</v>
      </c>
      <c r="E95" s="87">
        <v>135.0</v>
      </c>
      <c r="F95" s="87">
        <v>12960.0</v>
      </c>
      <c r="G95" s="65" t="s">
        <v>821</v>
      </c>
      <c r="H95" s="65" t="s">
        <v>744</v>
      </c>
      <c r="I95" s="65" t="s">
        <v>240</v>
      </c>
      <c r="J95" s="65" t="s">
        <v>3254</v>
      </c>
      <c r="K95" s="65"/>
      <c r="L95" s="65" t="s">
        <v>62</v>
      </c>
      <c r="M95" s="89">
        <v>31.0</v>
      </c>
      <c r="N95" s="90">
        <v>46250.0</v>
      </c>
      <c r="O95" s="42" t="b">
        <v>0</v>
      </c>
      <c r="P95" s="44">
        <v>46251.0</v>
      </c>
      <c r="Q95" s="34"/>
      <c r="R95" s="34"/>
      <c r="S95" s="34"/>
      <c r="T95" s="34"/>
    </row>
    <row r="96" ht="15.75" customHeight="1">
      <c r="B96" s="86">
        <v>46247.0</v>
      </c>
      <c r="C96" s="65" t="s">
        <v>35</v>
      </c>
      <c r="D96" s="65">
        <v>1.0</v>
      </c>
      <c r="E96" s="87">
        <v>2020.0</v>
      </c>
      <c r="F96" s="87">
        <v>2020.0</v>
      </c>
      <c r="G96" s="65" t="s">
        <v>3837</v>
      </c>
      <c r="H96" s="65"/>
      <c r="I96" s="65" t="s">
        <v>221</v>
      </c>
      <c r="J96" s="65" t="s">
        <v>34</v>
      </c>
      <c r="K96" s="65"/>
      <c r="L96" s="65" t="s">
        <v>3576</v>
      </c>
      <c r="M96" s="89">
        <v>31.0</v>
      </c>
      <c r="N96" s="90">
        <v>46253.0</v>
      </c>
      <c r="O96" s="42" t="b">
        <v>0</v>
      </c>
      <c r="P96" s="44"/>
      <c r="Q96" s="34"/>
      <c r="R96" s="34"/>
      <c r="S96" s="34"/>
      <c r="T96" s="34"/>
    </row>
    <row r="97" ht="15.75" customHeight="1">
      <c r="B97" s="86">
        <v>46247.0</v>
      </c>
      <c r="C97" s="65" t="s">
        <v>3839</v>
      </c>
      <c r="D97" s="65">
        <v>6.0</v>
      </c>
      <c r="E97" s="87" t="s">
        <v>35</v>
      </c>
      <c r="F97" s="87">
        <v>8857.8</v>
      </c>
      <c r="G97" s="65" t="s">
        <v>3840</v>
      </c>
      <c r="H97" s="65" t="s">
        <v>3843</v>
      </c>
      <c r="I97" s="65" t="s">
        <v>32</v>
      </c>
      <c r="J97" s="65" t="s">
        <v>34</v>
      </c>
      <c r="K97" s="65"/>
      <c r="L97" s="65" t="s">
        <v>62</v>
      </c>
      <c r="M97" s="89">
        <v>31.0</v>
      </c>
      <c r="N97" s="90">
        <v>46248.0</v>
      </c>
      <c r="O97" s="42" t="b">
        <v>0</v>
      </c>
      <c r="P97" s="44">
        <v>46253.0</v>
      </c>
      <c r="Q97" s="34"/>
      <c r="R97" s="34"/>
      <c r="S97" s="34"/>
      <c r="T97" s="34"/>
    </row>
    <row r="98" ht="15.75" customHeight="1">
      <c r="B98" s="86">
        <v>46247.0</v>
      </c>
      <c r="C98" s="65" t="s">
        <v>3844</v>
      </c>
      <c r="D98" s="65" t="s">
        <v>3845</v>
      </c>
      <c r="E98" s="87">
        <v>108.0</v>
      </c>
      <c r="F98" s="87">
        <v>5400.0</v>
      </c>
      <c r="G98" s="65" t="s">
        <v>2456</v>
      </c>
      <c r="H98" s="65" t="s">
        <v>3849</v>
      </c>
      <c r="I98" s="65" t="s">
        <v>32</v>
      </c>
      <c r="J98" s="65" t="s">
        <v>34</v>
      </c>
      <c r="K98" s="65"/>
      <c r="L98" s="65" t="s">
        <v>62</v>
      </c>
      <c r="M98" s="89">
        <v>31.0</v>
      </c>
      <c r="N98" s="90">
        <v>46248.0</v>
      </c>
      <c r="O98" s="42" t="b">
        <v>0</v>
      </c>
      <c r="P98" s="44">
        <v>46253.0</v>
      </c>
      <c r="Q98" s="34"/>
      <c r="R98" s="34"/>
      <c r="S98" s="34"/>
      <c r="T98" s="34"/>
    </row>
    <row r="99" ht="15.75" customHeight="1">
      <c r="B99" s="86">
        <v>46247.0</v>
      </c>
      <c r="C99" s="65" t="s">
        <v>35</v>
      </c>
      <c r="D99" s="65">
        <v>1362.0</v>
      </c>
      <c r="E99" s="87">
        <v>365.0</v>
      </c>
      <c r="F99" s="87">
        <v>497130.0</v>
      </c>
      <c r="G99" s="65" t="s">
        <v>3852</v>
      </c>
      <c r="H99" s="65"/>
      <c r="I99" s="65" t="s">
        <v>59</v>
      </c>
      <c r="J99" s="65" t="s">
        <v>34</v>
      </c>
      <c r="K99" s="65"/>
      <c r="L99" s="65" t="s">
        <v>3853</v>
      </c>
      <c r="M99" s="89">
        <v>31.0</v>
      </c>
      <c r="N99" s="90">
        <v>46247.0</v>
      </c>
      <c r="O99" s="42" t="b">
        <v>1</v>
      </c>
      <c r="P99" s="44"/>
      <c r="Q99" s="34"/>
      <c r="R99" s="34"/>
      <c r="S99" s="34"/>
      <c r="T99" s="34"/>
    </row>
    <row r="100" ht="15.75" customHeight="1">
      <c r="B100" s="86">
        <v>46247.0</v>
      </c>
      <c r="C100" s="65">
        <v>20573.0</v>
      </c>
      <c r="D100" s="65" t="s">
        <v>3856</v>
      </c>
      <c r="E100" s="87" t="s">
        <v>35</v>
      </c>
      <c r="F100" s="87">
        <v>8186.0</v>
      </c>
      <c r="G100" s="65" t="s">
        <v>3858</v>
      </c>
      <c r="H100" s="65"/>
      <c r="I100" s="65" t="s">
        <v>32</v>
      </c>
      <c r="J100" s="65" t="s">
        <v>34</v>
      </c>
      <c r="K100" s="65"/>
      <c r="L100" s="65" t="s">
        <v>279</v>
      </c>
      <c r="M100" s="89">
        <v>31.0</v>
      </c>
      <c r="N100" s="90">
        <v>46255.0</v>
      </c>
      <c r="O100" s="42" t="b">
        <v>0</v>
      </c>
      <c r="P100" s="44"/>
      <c r="Q100" s="34"/>
      <c r="R100" s="34"/>
      <c r="S100" s="34"/>
      <c r="T100" s="34"/>
    </row>
    <row r="101" ht="15.75" customHeight="1">
      <c r="B101" s="86">
        <v>46247.0</v>
      </c>
      <c r="C101" s="65">
        <v>27736.0</v>
      </c>
      <c r="D101" s="65" t="s">
        <v>3862</v>
      </c>
      <c r="E101" s="87" t="s">
        <v>35</v>
      </c>
      <c r="F101" s="87">
        <v>9598.48</v>
      </c>
      <c r="G101" s="65" t="s">
        <v>3863</v>
      </c>
      <c r="H101" s="65" t="s">
        <v>3864</v>
      </c>
      <c r="I101" s="65" t="s">
        <v>41</v>
      </c>
      <c r="J101" s="65" t="s">
        <v>34</v>
      </c>
      <c r="K101" s="65" t="s">
        <v>3865</v>
      </c>
      <c r="L101" s="65" t="s">
        <v>96</v>
      </c>
      <c r="M101" s="89">
        <v>31.0</v>
      </c>
      <c r="N101" s="90">
        <v>46248.0</v>
      </c>
      <c r="O101" s="42" t="b">
        <v>0</v>
      </c>
      <c r="P101" s="44"/>
      <c r="Q101" s="34"/>
      <c r="R101" s="34"/>
      <c r="S101" s="34"/>
      <c r="T101" s="34"/>
    </row>
    <row r="102" ht="15.75" customHeight="1">
      <c r="B102" s="86">
        <v>46247.0</v>
      </c>
      <c r="C102" s="65" t="s">
        <v>35</v>
      </c>
      <c r="D102" s="65">
        <v>189.0</v>
      </c>
      <c r="E102" s="87">
        <v>390.0</v>
      </c>
      <c r="F102" s="87">
        <v>73710.0</v>
      </c>
      <c r="G102" s="65" t="s">
        <v>3868</v>
      </c>
      <c r="H102" s="65"/>
      <c r="I102" s="65" t="s">
        <v>32</v>
      </c>
      <c r="J102" s="65" t="s">
        <v>3254</v>
      </c>
      <c r="K102" s="65"/>
      <c r="L102" s="65" t="s">
        <v>585</v>
      </c>
      <c r="M102" s="89">
        <v>31.0</v>
      </c>
      <c r="N102" s="90">
        <v>46250.0</v>
      </c>
      <c r="O102" s="42" t="b">
        <v>0</v>
      </c>
      <c r="P102" s="44">
        <v>6707178.0</v>
      </c>
      <c r="Q102" s="34"/>
      <c r="R102" s="34"/>
      <c r="S102" s="34"/>
      <c r="T102" s="34"/>
    </row>
    <row r="103" ht="15.75" customHeight="1">
      <c r="A103" s="105"/>
      <c r="B103" s="106">
        <v>46248.0</v>
      </c>
      <c r="C103" s="107" t="s">
        <v>35</v>
      </c>
      <c r="D103" s="107">
        <v>6.0</v>
      </c>
      <c r="E103" s="108">
        <v>882.0</v>
      </c>
      <c r="F103" s="108">
        <v>5292.0</v>
      </c>
      <c r="G103" s="107" t="s">
        <v>1755</v>
      </c>
      <c r="H103" s="107"/>
      <c r="I103" s="107" t="s">
        <v>175</v>
      </c>
      <c r="J103" s="107" t="s">
        <v>34</v>
      </c>
      <c r="K103" s="107" t="s">
        <v>2507</v>
      </c>
      <c r="L103" s="107" t="s">
        <v>1676</v>
      </c>
      <c r="M103" s="109">
        <v>31.0</v>
      </c>
      <c r="N103" s="110" t="s">
        <v>2507</v>
      </c>
      <c r="O103" s="111" t="b">
        <v>0</v>
      </c>
      <c r="P103" s="112"/>
      <c r="Q103" s="113"/>
      <c r="R103" s="113"/>
      <c r="S103" s="113"/>
      <c r="T103" s="113"/>
      <c r="U103" s="105"/>
      <c r="V103" s="105"/>
      <c r="W103" s="105"/>
      <c r="X103" s="105"/>
      <c r="Y103" s="105"/>
      <c r="Z103" s="105"/>
    </row>
    <row r="104" ht="15.75" customHeight="1">
      <c r="B104" s="115">
        <v>46248.0</v>
      </c>
      <c r="C104" s="116" t="s">
        <v>35</v>
      </c>
      <c r="D104" s="116">
        <v>5.0</v>
      </c>
      <c r="E104" s="117">
        <v>6950.0</v>
      </c>
      <c r="F104" s="117">
        <v>34750.0</v>
      </c>
      <c r="G104" s="116" t="s">
        <v>3895</v>
      </c>
      <c r="H104" s="116"/>
      <c r="I104" s="116" t="s">
        <v>221</v>
      </c>
      <c r="J104" s="116" t="s">
        <v>34</v>
      </c>
      <c r="K104" s="116" t="s">
        <v>2507</v>
      </c>
      <c r="L104" s="116" t="s">
        <v>3896</v>
      </c>
      <c r="M104" s="118">
        <v>31.0</v>
      </c>
      <c r="N104" s="119">
        <v>46252.0</v>
      </c>
      <c r="O104" s="120" t="b">
        <v>0</v>
      </c>
      <c r="P104" s="44"/>
      <c r="Q104" s="34"/>
      <c r="R104" s="34"/>
      <c r="S104" s="34"/>
      <c r="T104" s="34"/>
    </row>
    <row r="105" ht="15.75" customHeight="1">
      <c r="B105" s="115">
        <v>46248.0</v>
      </c>
      <c r="C105" s="116" t="s">
        <v>35</v>
      </c>
      <c r="D105" s="116">
        <v>3.0</v>
      </c>
      <c r="E105" s="117">
        <v>6950.0</v>
      </c>
      <c r="F105" s="117">
        <v>20850.0</v>
      </c>
      <c r="G105" s="116" t="s">
        <v>3898</v>
      </c>
      <c r="H105" s="116"/>
      <c r="I105" s="116" t="s">
        <v>221</v>
      </c>
      <c r="J105" s="116" t="s">
        <v>34</v>
      </c>
      <c r="K105" s="116" t="s">
        <v>2507</v>
      </c>
      <c r="L105" s="116" t="s">
        <v>3896</v>
      </c>
      <c r="M105" s="118">
        <v>31.0</v>
      </c>
      <c r="N105" s="119">
        <v>46252.0</v>
      </c>
      <c r="O105" s="120" t="b">
        <v>0</v>
      </c>
      <c r="P105" s="44"/>
      <c r="Q105" s="34"/>
      <c r="R105" s="34"/>
      <c r="S105" s="34"/>
      <c r="T105" s="34"/>
    </row>
    <row r="106" ht="15.75" customHeight="1">
      <c r="B106" s="115">
        <v>46248.0</v>
      </c>
      <c r="C106" s="116" t="s">
        <v>35</v>
      </c>
      <c r="D106" s="116">
        <v>2.0</v>
      </c>
      <c r="E106" s="117">
        <v>6950.0</v>
      </c>
      <c r="F106" s="117">
        <v>13900.0</v>
      </c>
      <c r="G106" s="116" t="s">
        <v>3901</v>
      </c>
      <c r="H106" s="116"/>
      <c r="I106" s="116" t="s">
        <v>221</v>
      </c>
      <c r="J106" s="116" t="s">
        <v>34</v>
      </c>
      <c r="K106" s="116" t="s">
        <v>2507</v>
      </c>
      <c r="L106" s="116" t="s">
        <v>3896</v>
      </c>
      <c r="M106" s="118">
        <v>31.0</v>
      </c>
      <c r="N106" s="119">
        <v>46252.0</v>
      </c>
      <c r="O106" s="120" t="b">
        <v>0</v>
      </c>
      <c r="P106" s="44"/>
      <c r="Q106" s="34"/>
      <c r="R106" s="34"/>
      <c r="S106" s="34"/>
      <c r="T106" s="34"/>
    </row>
    <row r="107" ht="15.75" customHeight="1">
      <c r="B107" s="86">
        <v>46248.0</v>
      </c>
      <c r="C107" s="65">
        <v>27820.0</v>
      </c>
      <c r="D107" s="65" t="s">
        <v>3547</v>
      </c>
      <c r="E107" s="87" t="s">
        <v>35</v>
      </c>
      <c r="F107" s="87">
        <v>3528.36</v>
      </c>
      <c r="G107" s="65" t="s">
        <v>3907</v>
      </c>
      <c r="H107" s="65" t="s">
        <v>3908</v>
      </c>
      <c r="I107" s="65" t="s">
        <v>3539</v>
      </c>
      <c r="J107" s="65" t="s">
        <v>3254</v>
      </c>
      <c r="K107" s="65"/>
      <c r="L107" s="65" t="s">
        <v>96</v>
      </c>
      <c r="M107" s="89">
        <v>1.0</v>
      </c>
      <c r="N107" s="90">
        <v>46252.0</v>
      </c>
      <c r="O107" s="42" t="b">
        <v>0</v>
      </c>
      <c r="P107" s="44">
        <v>46255.0</v>
      </c>
      <c r="Q107" s="34"/>
      <c r="R107" s="34"/>
      <c r="S107" s="34"/>
      <c r="T107" s="35"/>
    </row>
    <row r="108" ht="15.75" customHeight="1">
      <c r="B108" s="86">
        <v>46248.0</v>
      </c>
      <c r="C108" s="65">
        <v>27832.0</v>
      </c>
      <c r="D108" s="65" t="s">
        <v>3912</v>
      </c>
      <c r="E108" s="87" t="s">
        <v>35</v>
      </c>
      <c r="F108" s="87">
        <v>7979.22</v>
      </c>
      <c r="G108" s="65" t="s">
        <v>3914</v>
      </c>
      <c r="H108" s="65" t="s">
        <v>3916</v>
      </c>
      <c r="I108" s="65" t="s">
        <v>3539</v>
      </c>
      <c r="J108" s="65" t="s">
        <v>3254</v>
      </c>
      <c r="K108" s="65" t="s">
        <v>3463</v>
      </c>
      <c r="L108" s="65" t="s">
        <v>96</v>
      </c>
      <c r="M108" s="89">
        <v>31.0</v>
      </c>
      <c r="N108" s="90">
        <v>46252.0</v>
      </c>
      <c r="O108" s="42" t="b">
        <v>0</v>
      </c>
      <c r="P108" s="44">
        <v>46254.0</v>
      </c>
      <c r="Q108" s="34"/>
      <c r="R108" s="34"/>
      <c r="S108" s="34"/>
      <c r="T108" s="34"/>
    </row>
    <row r="109" ht="15.0" customHeight="1">
      <c r="B109" s="86">
        <v>46248.0</v>
      </c>
      <c r="C109" s="65">
        <v>2447.0</v>
      </c>
      <c r="D109" s="65">
        <v>56.0</v>
      </c>
      <c r="E109" s="87">
        <v>76.9</v>
      </c>
      <c r="F109" s="87">
        <v>4306.4</v>
      </c>
      <c r="G109" s="65" t="s">
        <v>3919</v>
      </c>
      <c r="H109" s="65">
        <v>1206.0</v>
      </c>
      <c r="I109" s="65" t="s">
        <v>32</v>
      </c>
      <c r="J109" s="65" t="s">
        <v>40</v>
      </c>
      <c r="K109" s="65" t="s">
        <v>3463</v>
      </c>
      <c r="L109" s="65" t="s">
        <v>3920</v>
      </c>
      <c r="M109" s="89">
        <v>31.0</v>
      </c>
      <c r="N109" s="90">
        <v>46253.0</v>
      </c>
      <c r="O109" s="42" t="b">
        <v>0</v>
      </c>
      <c r="P109" s="44">
        <v>46255.0</v>
      </c>
      <c r="Q109" s="34"/>
      <c r="R109" s="33"/>
      <c r="S109" s="34"/>
      <c r="T109" s="34"/>
    </row>
    <row r="110" ht="15.75" customHeight="1">
      <c r="B110" s="86">
        <v>46251.0</v>
      </c>
      <c r="C110" s="65">
        <v>28019.0</v>
      </c>
      <c r="D110" s="65" t="s">
        <v>3547</v>
      </c>
      <c r="E110" s="87">
        <v>11.8</v>
      </c>
      <c r="F110" s="87">
        <v>2360.0</v>
      </c>
      <c r="G110" s="65" t="s">
        <v>3923</v>
      </c>
      <c r="H110" s="65" t="s">
        <v>3925</v>
      </c>
      <c r="I110" s="65" t="s">
        <v>32</v>
      </c>
      <c r="J110" s="65" t="s">
        <v>34</v>
      </c>
      <c r="K110" s="65"/>
      <c r="L110" s="65" t="s">
        <v>96</v>
      </c>
      <c r="M110" s="89">
        <v>31.0</v>
      </c>
      <c r="N110" s="90">
        <v>46252.0</v>
      </c>
      <c r="O110" s="42" t="b">
        <v>0</v>
      </c>
      <c r="P110" s="44">
        <v>46255.0</v>
      </c>
      <c r="Q110" s="34"/>
      <c r="R110" s="34"/>
      <c r="S110" s="34"/>
      <c r="T110" s="34"/>
    </row>
    <row r="111" ht="15.75" customHeight="1">
      <c r="B111" s="86">
        <v>46251.0</v>
      </c>
      <c r="C111" s="65">
        <v>821.0</v>
      </c>
      <c r="D111" s="65" t="s">
        <v>3927</v>
      </c>
      <c r="E111" s="87">
        <v>121.5</v>
      </c>
      <c r="F111" s="87">
        <v>1215.0</v>
      </c>
      <c r="G111" s="65" t="s">
        <v>3929</v>
      </c>
      <c r="H111" s="65" t="s">
        <v>2016</v>
      </c>
      <c r="I111" s="65" t="s">
        <v>77</v>
      </c>
      <c r="J111" s="65" t="s">
        <v>40</v>
      </c>
      <c r="K111" s="65"/>
      <c r="L111" s="65" t="s">
        <v>2017</v>
      </c>
      <c r="M111" s="89" t="s">
        <v>79</v>
      </c>
      <c r="N111" s="90">
        <v>46252.0</v>
      </c>
      <c r="O111" s="42" t="b">
        <v>0</v>
      </c>
      <c r="P111" s="44">
        <v>46254.0</v>
      </c>
      <c r="Q111" s="34"/>
      <c r="R111" s="34"/>
      <c r="S111" s="34"/>
      <c r="T111" s="34"/>
    </row>
    <row r="112" ht="15.75" customHeight="1">
      <c r="B112" s="86">
        <v>46251.0</v>
      </c>
      <c r="C112" s="65">
        <v>931898.0</v>
      </c>
      <c r="D112" s="65">
        <v>500.0</v>
      </c>
      <c r="E112" s="87">
        <v>149.9</v>
      </c>
      <c r="F112" s="87">
        <v>74950.0</v>
      </c>
      <c r="G112" s="65" t="s">
        <v>3933</v>
      </c>
      <c r="H112" s="65"/>
      <c r="I112" s="65" t="s">
        <v>39</v>
      </c>
      <c r="J112" s="65" t="s">
        <v>40</v>
      </c>
      <c r="K112" s="65"/>
      <c r="L112" s="65" t="s">
        <v>167</v>
      </c>
      <c r="M112" s="89">
        <v>31.0</v>
      </c>
      <c r="N112" s="90">
        <v>46254.0</v>
      </c>
      <c r="O112" s="42" t="b">
        <v>0</v>
      </c>
      <c r="P112" s="44"/>
      <c r="Q112" s="34"/>
      <c r="R112" s="34"/>
      <c r="S112" s="34"/>
      <c r="T112" s="35"/>
    </row>
    <row r="113" ht="15.75" customHeight="1">
      <c r="B113" s="86">
        <v>46251.0</v>
      </c>
      <c r="C113" s="65">
        <v>28103.0</v>
      </c>
      <c r="D113" s="65" t="s">
        <v>3936</v>
      </c>
      <c r="E113" s="87">
        <v>18.9</v>
      </c>
      <c r="F113" s="87">
        <v>756.0</v>
      </c>
      <c r="G113" s="65" t="s">
        <v>3938</v>
      </c>
      <c r="H113" s="65" t="s">
        <v>3940</v>
      </c>
      <c r="I113" s="65" t="s">
        <v>39</v>
      </c>
      <c r="J113" s="65" t="s">
        <v>34</v>
      </c>
      <c r="K113" s="65"/>
      <c r="L113" s="65" t="s">
        <v>96</v>
      </c>
      <c r="M113" s="89">
        <v>31.0</v>
      </c>
      <c r="N113" s="90">
        <v>46254.0</v>
      </c>
      <c r="O113" s="42" t="b">
        <v>0</v>
      </c>
      <c r="P113" s="44"/>
      <c r="Q113" s="34"/>
      <c r="R113" s="34"/>
      <c r="S113" s="34"/>
      <c r="T113" s="35"/>
    </row>
    <row r="114" ht="15.75" customHeight="1">
      <c r="B114" s="86">
        <v>46251.0</v>
      </c>
      <c r="C114" s="65">
        <v>95725.0</v>
      </c>
      <c r="D114" s="65">
        <v>500.0</v>
      </c>
      <c r="E114" s="87">
        <v>5.4</v>
      </c>
      <c r="F114" s="87">
        <v>2700.0</v>
      </c>
      <c r="G114" s="65" t="s">
        <v>3944</v>
      </c>
      <c r="H114" s="65" t="s">
        <v>2579</v>
      </c>
      <c r="I114" s="65" t="s">
        <v>59</v>
      </c>
      <c r="J114" s="65" t="s">
        <v>34</v>
      </c>
      <c r="K114" s="65" t="s">
        <v>3945</v>
      </c>
      <c r="L114" s="65" t="s">
        <v>1250</v>
      </c>
      <c r="M114" s="89">
        <v>31.0</v>
      </c>
      <c r="N114" s="90">
        <v>46268.0</v>
      </c>
      <c r="O114" s="42" t="b">
        <v>0</v>
      </c>
      <c r="P114" s="44"/>
      <c r="Q114" s="34"/>
      <c r="R114" s="34"/>
      <c r="S114" s="34"/>
      <c r="T114" s="35"/>
    </row>
    <row r="115" ht="15.75" customHeight="1">
      <c r="B115" s="86">
        <v>46252.0</v>
      </c>
      <c r="C115" s="65">
        <v>18141.0</v>
      </c>
      <c r="D115" s="65">
        <v>40.0</v>
      </c>
      <c r="E115" s="87">
        <v>285.0</v>
      </c>
      <c r="F115" s="87">
        <v>11400.0</v>
      </c>
      <c r="G115" s="65" t="s">
        <v>3951</v>
      </c>
      <c r="H115" s="65" t="s">
        <v>1158</v>
      </c>
      <c r="I115" s="65" t="s">
        <v>59</v>
      </c>
      <c r="J115" s="65" t="s">
        <v>34</v>
      </c>
      <c r="K115" s="65" t="s">
        <v>3945</v>
      </c>
      <c r="L115" s="65" t="s">
        <v>87</v>
      </c>
      <c r="M115" s="89">
        <v>31.0</v>
      </c>
      <c r="N115" s="90">
        <v>46252.0</v>
      </c>
      <c r="O115" s="42" t="b">
        <v>0</v>
      </c>
      <c r="P115" s="44">
        <v>46254.0</v>
      </c>
      <c r="Q115" s="34"/>
      <c r="R115" s="34"/>
      <c r="S115" s="34"/>
      <c r="T115" s="35"/>
    </row>
    <row r="116" ht="15.75" customHeight="1">
      <c r="B116" s="86">
        <v>46252.0</v>
      </c>
      <c r="C116" s="65">
        <v>932009.0</v>
      </c>
      <c r="D116" s="65">
        <v>1000.0</v>
      </c>
      <c r="E116" s="87">
        <v>135.0</v>
      </c>
      <c r="F116" s="87">
        <v>135000.0</v>
      </c>
      <c r="G116" s="65" t="s">
        <v>3956</v>
      </c>
      <c r="H116" s="65" t="s">
        <v>3957</v>
      </c>
      <c r="I116" s="65"/>
      <c r="J116" s="65" t="s">
        <v>40</v>
      </c>
      <c r="K116" s="65"/>
      <c r="L116" s="65" t="s">
        <v>167</v>
      </c>
      <c r="M116" s="89">
        <v>31.0</v>
      </c>
      <c r="N116" s="90">
        <v>46255.0</v>
      </c>
      <c r="O116" s="42" t="b">
        <v>0</v>
      </c>
      <c r="P116" s="44"/>
      <c r="Q116" s="34"/>
      <c r="R116" s="34"/>
      <c r="S116" s="34"/>
      <c r="T116" s="34"/>
    </row>
    <row r="117" ht="15.75" customHeight="1">
      <c r="B117" s="86">
        <v>46252.0</v>
      </c>
      <c r="C117" s="65">
        <v>28186.0</v>
      </c>
      <c r="D117" s="65" t="s">
        <v>3959</v>
      </c>
      <c r="E117" s="87">
        <v>0.0</v>
      </c>
      <c r="F117" s="87">
        <v>14582.1</v>
      </c>
      <c r="G117" s="65" t="s">
        <v>3961</v>
      </c>
      <c r="H117" s="65" t="s">
        <v>3965</v>
      </c>
      <c r="I117" s="65" t="s">
        <v>41</v>
      </c>
      <c r="J117" s="65" t="s">
        <v>34</v>
      </c>
      <c r="K117" s="65" t="s">
        <v>3969</v>
      </c>
      <c r="L117" s="65" t="s">
        <v>96</v>
      </c>
      <c r="M117" s="89">
        <v>31.0</v>
      </c>
      <c r="N117" s="90">
        <v>46254.0</v>
      </c>
      <c r="O117" s="42" t="b">
        <v>0</v>
      </c>
      <c r="P117" s="44"/>
      <c r="Q117" s="34"/>
      <c r="R117" s="34"/>
      <c r="S117" s="34"/>
      <c r="T117" s="34"/>
    </row>
    <row r="118" ht="15.75" customHeight="1">
      <c r="B118" s="86">
        <v>46252.0</v>
      </c>
      <c r="C118" s="65">
        <v>28115.0</v>
      </c>
      <c r="D118" s="65" t="s">
        <v>3739</v>
      </c>
      <c r="E118" s="87">
        <v>93.0</v>
      </c>
      <c r="F118" s="87">
        <v>2790.0</v>
      </c>
      <c r="G118" s="65" t="s">
        <v>3973</v>
      </c>
      <c r="H118" s="65" t="s">
        <v>3890</v>
      </c>
      <c r="I118" s="65" t="s">
        <v>32</v>
      </c>
      <c r="J118" s="65" t="s">
        <v>34</v>
      </c>
      <c r="K118" s="65"/>
      <c r="L118" s="65" t="s">
        <v>210</v>
      </c>
      <c r="M118" s="89">
        <v>31.0</v>
      </c>
      <c r="N118" s="90">
        <v>46255.0</v>
      </c>
      <c r="O118" s="42" t="b">
        <v>0</v>
      </c>
      <c r="P118" s="44">
        <v>46258.0</v>
      </c>
      <c r="Q118" s="34"/>
      <c r="R118" s="34"/>
      <c r="S118" s="34"/>
      <c r="T118" s="34"/>
    </row>
    <row r="119" ht="15.75" customHeight="1">
      <c r="B119" s="86">
        <v>46252.0</v>
      </c>
      <c r="C119" s="65" t="s">
        <v>35</v>
      </c>
      <c r="D119" s="65" t="s">
        <v>3845</v>
      </c>
      <c r="E119" s="87">
        <v>940.0</v>
      </c>
      <c r="F119" s="87">
        <v>1880.0</v>
      </c>
      <c r="G119" s="65" t="s">
        <v>3981</v>
      </c>
      <c r="H119" s="65"/>
      <c r="I119" s="65" t="s">
        <v>41</v>
      </c>
      <c r="J119" s="65" t="s">
        <v>34</v>
      </c>
      <c r="K119" s="65"/>
      <c r="L119" s="65" t="s">
        <v>2232</v>
      </c>
      <c r="M119" s="89">
        <v>31.0</v>
      </c>
      <c r="N119" s="90">
        <v>46252.0</v>
      </c>
      <c r="O119" s="42" t="b">
        <v>0</v>
      </c>
      <c r="P119" s="44">
        <v>46253.0</v>
      </c>
      <c r="Q119" s="34"/>
      <c r="R119" s="34"/>
      <c r="S119" s="34"/>
      <c r="T119" s="34"/>
    </row>
    <row r="120" ht="15.75" customHeight="1">
      <c r="B120" s="86">
        <v>46252.0</v>
      </c>
      <c r="C120" s="65" t="s">
        <v>35</v>
      </c>
      <c r="D120" s="65" t="s">
        <v>3987</v>
      </c>
      <c r="E120" s="87">
        <v>681.6</v>
      </c>
      <c r="F120" s="87">
        <v>5452.8</v>
      </c>
      <c r="G120" s="65" t="s">
        <v>2230</v>
      </c>
      <c r="H120" s="65"/>
      <c r="I120" s="65" t="s">
        <v>41</v>
      </c>
      <c r="J120" s="65" t="s">
        <v>34</v>
      </c>
      <c r="K120" s="65"/>
      <c r="L120" s="65" t="s">
        <v>2232</v>
      </c>
      <c r="M120" s="89">
        <v>31.0</v>
      </c>
      <c r="N120" s="90">
        <v>46252.0</v>
      </c>
      <c r="O120" s="42" t="b">
        <v>0</v>
      </c>
      <c r="P120" s="44">
        <v>46253.0</v>
      </c>
      <c r="Q120" s="34"/>
      <c r="R120" s="34"/>
      <c r="S120" s="34"/>
      <c r="T120" s="34"/>
    </row>
    <row r="121" ht="15.75" customHeight="1">
      <c r="B121" s="86">
        <v>46252.0</v>
      </c>
      <c r="C121" s="65" t="s">
        <v>35</v>
      </c>
      <c r="D121" s="65" t="s">
        <v>3989</v>
      </c>
      <c r="E121" s="87">
        <v>184.0</v>
      </c>
      <c r="F121" s="87">
        <v>1472.0</v>
      </c>
      <c r="G121" s="65" t="s">
        <v>3991</v>
      </c>
      <c r="H121" s="65"/>
      <c r="I121" s="65" t="s">
        <v>41</v>
      </c>
      <c r="J121" s="65" t="s">
        <v>34</v>
      </c>
      <c r="K121" s="65"/>
      <c r="L121" s="65" t="s">
        <v>2232</v>
      </c>
      <c r="M121" s="89">
        <v>31.0</v>
      </c>
      <c r="N121" s="122">
        <v>46252.0</v>
      </c>
      <c r="O121" s="42" t="b">
        <v>0</v>
      </c>
      <c r="P121" s="44">
        <v>46253.0</v>
      </c>
      <c r="Q121" s="34"/>
      <c r="R121" s="34"/>
      <c r="S121" s="34"/>
      <c r="T121" s="34"/>
    </row>
    <row r="122" ht="15.75" customHeight="1">
      <c r="B122" s="86">
        <v>46252.0</v>
      </c>
      <c r="C122" s="65">
        <v>28288.0</v>
      </c>
      <c r="D122" s="65" t="s">
        <v>3845</v>
      </c>
      <c r="E122" s="87">
        <v>85.9</v>
      </c>
      <c r="F122" s="87">
        <v>859.0</v>
      </c>
      <c r="G122" s="65" t="s">
        <v>3998</v>
      </c>
      <c r="H122" s="65" t="s">
        <v>732</v>
      </c>
      <c r="I122" s="65" t="s">
        <v>32</v>
      </c>
      <c r="J122" s="65" t="s">
        <v>34</v>
      </c>
      <c r="K122" s="65"/>
      <c r="L122" s="65" t="s">
        <v>96</v>
      </c>
      <c r="M122" s="89">
        <v>1.0</v>
      </c>
      <c r="N122" s="90">
        <v>46254.0</v>
      </c>
      <c r="O122" s="42" t="b">
        <v>0</v>
      </c>
      <c r="P122" s="44">
        <v>46255.0</v>
      </c>
      <c r="Q122" s="34"/>
      <c r="R122" s="34"/>
      <c r="S122" s="34"/>
      <c r="T122" s="34"/>
    </row>
    <row r="123" ht="15.75" customHeight="1">
      <c r="B123" s="86">
        <v>46252.0</v>
      </c>
      <c r="C123" s="65">
        <v>1052.0</v>
      </c>
      <c r="D123" s="65">
        <v>100.0</v>
      </c>
      <c r="E123" s="87"/>
      <c r="F123" s="88"/>
      <c r="G123" s="65" t="s">
        <v>137</v>
      </c>
      <c r="H123" s="65"/>
      <c r="I123" s="65" t="s">
        <v>59</v>
      </c>
      <c r="J123" s="65" t="s">
        <v>34</v>
      </c>
      <c r="K123" s="65"/>
      <c r="L123" s="65" t="s">
        <v>3812</v>
      </c>
      <c r="M123" s="89">
        <v>31.0</v>
      </c>
      <c r="N123" s="90">
        <v>46253.0</v>
      </c>
      <c r="O123" s="42" t="b">
        <v>0</v>
      </c>
      <c r="P123" s="44"/>
      <c r="Q123" s="34"/>
      <c r="R123" s="34"/>
      <c r="S123" s="34"/>
      <c r="T123" s="34"/>
    </row>
    <row r="124" ht="15.75" customHeight="1">
      <c r="B124" s="86">
        <v>46252.0</v>
      </c>
      <c r="C124" s="65">
        <v>1052.0</v>
      </c>
      <c r="D124" s="65">
        <v>10.0</v>
      </c>
      <c r="E124" s="87"/>
      <c r="F124" s="88"/>
      <c r="G124" s="65" t="s">
        <v>1125</v>
      </c>
      <c r="H124" s="65"/>
      <c r="I124" s="65" t="s">
        <v>59</v>
      </c>
      <c r="J124" s="65" t="s">
        <v>34</v>
      </c>
      <c r="K124" s="65"/>
      <c r="L124" s="65" t="s">
        <v>3812</v>
      </c>
      <c r="M124" s="89">
        <v>31.0</v>
      </c>
      <c r="N124" s="90">
        <v>46253.0</v>
      </c>
      <c r="O124" s="42" t="b">
        <v>0</v>
      </c>
      <c r="P124" s="44"/>
      <c r="Q124" s="34"/>
      <c r="R124" s="34"/>
      <c r="S124" s="34"/>
      <c r="T124" s="34"/>
    </row>
    <row r="125" ht="15.75" customHeight="1">
      <c r="B125" s="86">
        <v>46253.0</v>
      </c>
      <c r="C125" s="65">
        <v>28481.0</v>
      </c>
      <c r="D125" s="65" t="s">
        <v>4012</v>
      </c>
      <c r="E125" s="87" t="s">
        <v>35</v>
      </c>
      <c r="F125" s="87">
        <v>16718.7</v>
      </c>
      <c r="G125" s="65" t="s">
        <v>4014</v>
      </c>
      <c r="H125" s="65" t="s">
        <v>4016</v>
      </c>
      <c r="I125" s="65" t="s">
        <v>41</v>
      </c>
      <c r="J125" s="65" t="s">
        <v>34</v>
      </c>
      <c r="K125" s="65" t="s">
        <v>4019</v>
      </c>
      <c r="L125" s="65" t="s">
        <v>96</v>
      </c>
      <c r="M125" s="89">
        <v>31.0</v>
      </c>
      <c r="N125" s="90">
        <v>46254.0</v>
      </c>
      <c r="O125" s="42" t="b">
        <v>0</v>
      </c>
      <c r="P125" s="36"/>
      <c r="Q125" s="34"/>
      <c r="R125" s="34"/>
      <c r="S125" s="34"/>
      <c r="T125" s="34"/>
    </row>
    <row r="126" ht="15.75" customHeight="1">
      <c r="B126" s="86">
        <v>46253.0</v>
      </c>
      <c r="C126" s="65">
        <v>33341.0</v>
      </c>
      <c r="D126" s="65">
        <v>30.0</v>
      </c>
      <c r="E126" s="87">
        <v>1321.54</v>
      </c>
      <c r="F126" s="87">
        <v>39646.2</v>
      </c>
      <c r="G126" s="65" t="s">
        <v>4024</v>
      </c>
      <c r="H126" s="65"/>
      <c r="I126" s="65" t="s">
        <v>32</v>
      </c>
      <c r="J126" s="65" t="s">
        <v>34</v>
      </c>
      <c r="K126" s="65" t="s">
        <v>4027</v>
      </c>
      <c r="L126" s="65" t="s">
        <v>567</v>
      </c>
      <c r="M126" s="89">
        <v>31.0</v>
      </c>
      <c r="N126" s="90">
        <v>46268.0</v>
      </c>
      <c r="O126" s="42" t="b">
        <v>0</v>
      </c>
      <c r="P126" s="44"/>
      <c r="Q126" s="34"/>
      <c r="R126" s="34"/>
      <c r="S126" s="34"/>
      <c r="T126" s="34"/>
    </row>
    <row r="127" ht="15.75" customHeight="1">
      <c r="B127" s="86">
        <v>46253.0</v>
      </c>
      <c r="C127" s="65" t="s">
        <v>35</v>
      </c>
      <c r="D127" s="65">
        <v>70.0</v>
      </c>
      <c r="E127" s="87">
        <v>355.0</v>
      </c>
      <c r="F127" s="87">
        <v>24850.0</v>
      </c>
      <c r="G127" s="65" t="s">
        <v>4030</v>
      </c>
      <c r="H127" s="65"/>
      <c r="I127" s="65" t="s">
        <v>59</v>
      </c>
      <c r="J127" s="65" t="s">
        <v>34</v>
      </c>
      <c r="K127" s="65" t="s">
        <v>4033</v>
      </c>
      <c r="L127" s="65" t="s">
        <v>4035</v>
      </c>
      <c r="M127" s="89">
        <v>31.0</v>
      </c>
      <c r="N127" s="90">
        <v>46253.0</v>
      </c>
      <c r="O127" s="42" t="b">
        <v>1</v>
      </c>
      <c r="P127" s="44">
        <v>46254.0</v>
      </c>
      <c r="Q127" s="34"/>
      <c r="R127" s="34"/>
      <c r="S127" s="34"/>
      <c r="T127" s="34"/>
    </row>
    <row r="128" ht="15.75" customHeight="1">
      <c r="B128" s="86">
        <v>46253.0</v>
      </c>
      <c r="C128" s="65">
        <v>8331.0</v>
      </c>
      <c r="D128" s="65" t="s">
        <v>4037</v>
      </c>
      <c r="E128" s="87" t="s">
        <v>35</v>
      </c>
      <c r="F128" s="87">
        <v>2016.0</v>
      </c>
      <c r="G128" s="65" t="s">
        <v>4040</v>
      </c>
      <c r="H128" s="65" t="s">
        <v>4042</v>
      </c>
      <c r="I128" s="65" t="s">
        <v>240</v>
      </c>
      <c r="J128" s="65" t="s">
        <v>3254</v>
      </c>
      <c r="K128" s="65"/>
      <c r="L128" s="65" t="s">
        <v>241</v>
      </c>
      <c r="M128" s="89">
        <v>1.0</v>
      </c>
      <c r="N128" s="90">
        <v>46254.0</v>
      </c>
      <c r="O128" s="42" t="b">
        <v>0</v>
      </c>
      <c r="P128" s="44">
        <v>46255.0</v>
      </c>
      <c r="Q128" s="34"/>
      <c r="R128" s="34"/>
      <c r="S128" s="34"/>
      <c r="T128" s="34"/>
    </row>
    <row r="129" ht="15.75" customHeight="1">
      <c r="B129" s="86">
        <v>46253.0</v>
      </c>
      <c r="C129" s="65"/>
      <c r="D129" s="65">
        <v>100.0</v>
      </c>
      <c r="E129" s="87">
        <v>109.09</v>
      </c>
      <c r="F129" s="87">
        <v>10909.08</v>
      </c>
      <c r="G129" s="65" t="s">
        <v>3492</v>
      </c>
      <c r="H129" s="65" t="s">
        <v>3493</v>
      </c>
      <c r="I129" s="65" t="s">
        <v>59</v>
      </c>
      <c r="J129" s="65" t="s">
        <v>34</v>
      </c>
      <c r="K129" s="65" t="s">
        <v>3796</v>
      </c>
      <c r="L129" s="65" t="s">
        <v>365</v>
      </c>
      <c r="M129" s="89">
        <v>31.0</v>
      </c>
      <c r="N129" s="90"/>
      <c r="O129" s="42" t="b">
        <v>1</v>
      </c>
      <c r="P129" s="44"/>
      <c r="Q129" s="34"/>
      <c r="R129" s="34"/>
      <c r="S129" s="34"/>
      <c r="T129" s="34"/>
    </row>
    <row r="130" ht="15.75" customHeight="1">
      <c r="B130" s="86">
        <v>46253.0</v>
      </c>
      <c r="C130" s="65">
        <v>43.0</v>
      </c>
      <c r="D130" s="65">
        <v>530.0</v>
      </c>
      <c r="E130" s="87">
        <v>80.0</v>
      </c>
      <c r="F130" s="87">
        <v>42400.0</v>
      </c>
      <c r="G130" s="65" t="s">
        <v>1418</v>
      </c>
      <c r="H130" s="65"/>
      <c r="I130" s="65" t="s">
        <v>32</v>
      </c>
      <c r="J130" s="65" t="s">
        <v>40</v>
      </c>
      <c r="K130" s="65" t="s">
        <v>4051</v>
      </c>
      <c r="L130" s="65" t="s">
        <v>3815</v>
      </c>
      <c r="M130" s="89" t="s">
        <v>3464</v>
      </c>
      <c r="N130" s="90">
        <v>46259.0</v>
      </c>
      <c r="O130" s="42" t="b">
        <v>0</v>
      </c>
      <c r="P130" s="44">
        <v>46260.0</v>
      </c>
      <c r="Q130" s="34"/>
      <c r="R130" s="34"/>
      <c r="S130" s="34"/>
      <c r="T130" s="34"/>
    </row>
    <row r="131" ht="15.75" customHeight="1">
      <c r="B131" s="86">
        <v>46254.0</v>
      </c>
      <c r="C131" s="65">
        <v>2.60820001E8</v>
      </c>
      <c r="D131" s="65">
        <v>1.0</v>
      </c>
      <c r="E131" s="87">
        <v>2300.0</v>
      </c>
      <c r="F131" s="87">
        <v>2300.0</v>
      </c>
      <c r="G131" s="65" t="s">
        <v>4055</v>
      </c>
      <c r="H131" s="65" t="s">
        <v>4056</v>
      </c>
      <c r="I131" s="65" t="s">
        <v>4057</v>
      </c>
      <c r="J131" s="65" t="s">
        <v>34</v>
      </c>
      <c r="K131" s="65"/>
      <c r="L131" s="65" t="s">
        <v>4059</v>
      </c>
      <c r="M131" s="89">
        <v>31.0</v>
      </c>
      <c r="N131" s="90">
        <v>46255.0</v>
      </c>
      <c r="O131" s="42" t="b">
        <v>0</v>
      </c>
      <c r="P131" s="44">
        <v>46258.0</v>
      </c>
      <c r="Q131" s="34"/>
      <c r="R131" s="34"/>
      <c r="S131" s="34"/>
      <c r="T131" s="35"/>
    </row>
    <row r="132" ht="15.75" customHeight="1">
      <c r="B132" s="86">
        <v>46254.0</v>
      </c>
      <c r="C132" s="65" t="s">
        <v>35</v>
      </c>
      <c r="D132" s="65">
        <v>100.0</v>
      </c>
      <c r="E132" s="87">
        <v>355.0</v>
      </c>
      <c r="F132" s="87">
        <v>35500.0</v>
      </c>
      <c r="G132" s="65" t="s">
        <v>4030</v>
      </c>
      <c r="H132" s="65"/>
      <c r="I132" s="65" t="s">
        <v>59</v>
      </c>
      <c r="J132" s="65" t="s">
        <v>34</v>
      </c>
      <c r="K132" s="65" t="s">
        <v>4064</v>
      </c>
      <c r="L132" s="65" t="s">
        <v>4065</v>
      </c>
      <c r="M132" s="89">
        <v>31.0</v>
      </c>
      <c r="N132" s="90">
        <v>46254.0</v>
      </c>
      <c r="O132" s="42" t="b">
        <v>1</v>
      </c>
      <c r="P132" s="44">
        <v>46259.0</v>
      </c>
      <c r="Q132" s="34"/>
      <c r="R132" s="34"/>
      <c r="S132" s="34"/>
      <c r="T132" s="34"/>
    </row>
    <row r="133" ht="15.75" customHeight="1">
      <c r="B133" s="86">
        <v>46254.0</v>
      </c>
      <c r="C133" s="65" t="s">
        <v>35</v>
      </c>
      <c r="D133" s="65">
        <v>3.0</v>
      </c>
      <c r="E133" s="87">
        <v>7150.0</v>
      </c>
      <c r="F133" s="87">
        <v>21450.0</v>
      </c>
      <c r="G133" s="65" t="s">
        <v>2519</v>
      </c>
      <c r="H133" s="65"/>
      <c r="I133" s="65" t="s">
        <v>221</v>
      </c>
      <c r="J133" s="65" t="s">
        <v>34</v>
      </c>
      <c r="K133" s="65"/>
      <c r="L133" s="65" t="s">
        <v>3576</v>
      </c>
      <c r="M133" s="89">
        <v>31.0</v>
      </c>
      <c r="N133" s="90">
        <v>46255.0</v>
      </c>
      <c r="O133" s="42" t="b">
        <v>0</v>
      </c>
      <c r="P133" s="44"/>
      <c r="Q133" s="34"/>
      <c r="R133" s="34"/>
      <c r="S133" s="34"/>
      <c r="T133" s="34"/>
    </row>
    <row r="134" ht="15.75" customHeight="1">
      <c r="B134" s="86">
        <v>46254.0</v>
      </c>
      <c r="C134" s="65" t="s">
        <v>35</v>
      </c>
      <c r="D134" s="65">
        <v>2.0</v>
      </c>
      <c r="E134" s="87">
        <v>7100.0</v>
      </c>
      <c r="F134" s="87">
        <v>14200.0</v>
      </c>
      <c r="G134" s="65" t="s">
        <v>4073</v>
      </c>
      <c r="H134" s="65"/>
      <c r="I134" s="65" t="s">
        <v>221</v>
      </c>
      <c r="J134" s="65" t="s">
        <v>34</v>
      </c>
      <c r="K134" s="65"/>
      <c r="L134" s="65" t="s">
        <v>3533</v>
      </c>
      <c r="M134" s="89">
        <v>31.0</v>
      </c>
      <c r="N134" s="90">
        <v>46255.0</v>
      </c>
      <c r="O134" s="42" t="b">
        <v>0</v>
      </c>
      <c r="P134" s="44"/>
      <c r="Q134" s="34"/>
      <c r="R134" s="34"/>
      <c r="S134" s="34"/>
      <c r="T134" s="34"/>
    </row>
    <row r="135" ht="15.75" customHeight="1">
      <c r="B135" s="86">
        <v>46254.0</v>
      </c>
      <c r="C135" s="65">
        <v>18561.0</v>
      </c>
      <c r="D135" s="65">
        <v>2.0</v>
      </c>
      <c r="E135" s="87" t="s">
        <v>35</v>
      </c>
      <c r="F135" s="87">
        <v>2030.0</v>
      </c>
      <c r="G135" s="65" t="s">
        <v>4074</v>
      </c>
      <c r="H135" s="65" t="s">
        <v>4075</v>
      </c>
      <c r="I135" s="65" t="s">
        <v>41</v>
      </c>
      <c r="J135" s="65" t="s">
        <v>34</v>
      </c>
      <c r="K135" s="65"/>
      <c r="L135" s="65" t="s">
        <v>87</v>
      </c>
      <c r="M135" s="89">
        <v>31.0</v>
      </c>
      <c r="N135" s="90">
        <v>46255.0</v>
      </c>
      <c r="O135" s="42" t="b">
        <v>0</v>
      </c>
      <c r="P135" s="44"/>
      <c r="Q135" s="34"/>
      <c r="R135" s="34"/>
      <c r="S135" s="34"/>
      <c r="T135" s="34"/>
    </row>
    <row r="136" ht="15.75" customHeight="1">
      <c r="B136" s="86">
        <v>46254.0</v>
      </c>
      <c r="C136" s="65">
        <v>18560.0</v>
      </c>
      <c r="D136" s="65">
        <v>3.0</v>
      </c>
      <c r="E136" s="87" t="s">
        <v>35</v>
      </c>
      <c r="F136" s="87">
        <v>10260.0</v>
      </c>
      <c r="G136" s="65" t="s">
        <v>4079</v>
      </c>
      <c r="H136" s="65" t="s">
        <v>4080</v>
      </c>
      <c r="I136" s="65" t="s">
        <v>41</v>
      </c>
      <c r="J136" s="65" t="s">
        <v>34</v>
      </c>
      <c r="K136" s="65"/>
      <c r="L136" s="65" t="s">
        <v>87</v>
      </c>
      <c r="M136" s="89">
        <v>31.0</v>
      </c>
      <c r="N136" s="90">
        <v>46255.0</v>
      </c>
      <c r="O136" s="42" t="b">
        <v>0</v>
      </c>
      <c r="P136" s="44"/>
      <c r="Q136" s="34"/>
      <c r="R136" s="34"/>
      <c r="S136" s="34"/>
      <c r="T136" s="34"/>
    </row>
    <row r="137" ht="15.75" customHeight="1">
      <c r="B137" s="86">
        <v>46254.0</v>
      </c>
      <c r="C137" s="65">
        <v>18558.0</v>
      </c>
      <c r="D137" s="65">
        <v>2.0</v>
      </c>
      <c r="E137" s="87" t="s">
        <v>35</v>
      </c>
      <c r="F137" s="87">
        <v>5130.0</v>
      </c>
      <c r="G137" s="65" t="s">
        <v>4083</v>
      </c>
      <c r="H137" s="65" t="s">
        <v>4084</v>
      </c>
      <c r="I137" s="65" t="s">
        <v>41</v>
      </c>
      <c r="J137" s="65" t="s">
        <v>34</v>
      </c>
      <c r="K137" s="65"/>
      <c r="L137" s="65" t="s">
        <v>87</v>
      </c>
      <c r="M137" s="89">
        <v>31.0</v>
      </c>
      <c r="N137" s="90">
        <v>46255.0</v>
      </c>
      <c r="O137" s="42" t="b">
        <v>0</v>
      </c>
      <c r="P137" s="44"/>
      <c r="Q137" s="34"/>
      <c r="R137" s="34"/>
      <c r="S137" s="34"/>
      <c r="T137" s="34"/>
    </row>
    <row r="138" ht="15.75" customHeight="1">
      <c r="B138" s="86">
        <v>46254.0</v>
      </c>
      <c r="C138" s="65">
        <v>18562.0</v>
      </c>
      <c r="D138" s="65">
        <v>2.0</v>
      </c>
      <c r="E138" s="87" t="s">
        <v>35</v>
      </c>
      <c r="F138" s="87">
        <v>56610.0</v>
      </c>
      <c r="G138" s="65" t="s">
        <v>4091</v>
      </c>
      <c r="H138" s="65" t="s">
        <v>4093</v>
      </c>
      <c r="I138" s="65" t="s">
        <v>240</v>
      </c>
      <c r="J138" s="65" t="s">
        <v>34</v>
      </c>
      <c r="K138" s="65"/>
      <c r="L138" s="65" t="s">
        <v>87</v>
      </c>
      <c r="M138" s="89">
        <v>31.0</v>
      </c>
      <c r="N138" s="90">
        <v>46255.0</v>
      </c>
      <c r="O138" s="42" t="b">
        <v>0</v>
      </c>
      <c r="P138" s="44">
        <v>46258.0</v>
      </c>
      <c r="Q138" s="34"/>
      <c r="R138" s="34"/>
      <c r="S138" s="34"/>
      <c r="T138" s="34"/>
    </row>
    <row r="139" ht="15.75" customHeight="1">
      <c r="B139" s="86">
        <v>46254.0</v>
      </c>
      <c r="C139" s="65">
        <v>18579.0</v>
      </c>
      <c r="D139" s="65">
        <v>2.0</v>
      </c>
      <c r="E139" s="87" t="s">
        <v>35</v>
      </c>
      <c r="F139" s="87">
        <v>12960.0</v>
      </c>
      <c r="G139" s="65" t="s">
        <v>4098</v>
      </c>
      <c r="H139" s="65" t="s">
        <v>4099</v>
      </c>
      <c r="I139" s="65" t="s">
        <v>41</v>
      </c>
      <c r="J139" s="65" t="s">
        <v>34</v>
      </c>
      <c r="K139" s="65"/>
      <c r="L139" s="65" t="s">
        <v>87</v>
      </c>
      <c r="M139" s="89">
        <v>31.0</v>
      </c>
      <c r="N139" s="90">
        <v>46255.0</v>
      </c>
      <c r="O139" s="42" t="b">
        <v>0</v>
      </c>
      <c r="P139" s="44">
        <v>46258.0</v>
      </c>
      <c r="Q139" s="34"/>
      <c r="R139" s="34"/>
      <c r="S139" s="34"/>
      <c r="T139" s="34"/>
    </row>
    <row r="140" ht="15.75" customHeight="1">
      <c r="B140" s="86">
        <v>46254.0</v>
      </c>
      <c r="C140" s="65">
        <v>1181.0</v>
      </c>
      <c r="D140" s="65">
        <v>100.0</v>
      </c>
      <c r="E140" s="87">
        <v>240.0</v>
      </c>
      <c r="F140" s="87">
        <v>24000.0</v>
      </c>
      <c r="G140" s="65" t="s">
        <v>4102</v>
      </c>
      <c r="H140" s="65"/>
      <c r="I140" s="65" t="s">
        <v>77</v>
      </c>
      <c r="J140" s="65" t="s">
        <v>40</v>
      </c>
      <c r="K140" s="65"/>
      <c r="L140" s="65" t="s">
        <v>4104</v>
      </c>
      <c r="M140" s="89">
        <v>31.0</v>
      </c>
      <c r="N140" s="90">
        <v>46255.0</v>
      </c>
      <c r="O140" s="42" t="b">
        <v>0</v>
      </c>
      <c r="P140" s="44">
        <v>46258.0</v>
      </c>
      <c r="Q140" s="44"/>
      <c r="R140" s="34"/>
      <c r="S140" s="34"/>
      <c r="T140" s="34"/>
    </row>
    <row r="141" ht="15.75" customHeight="1">
      <c r="B141" s="86">
        <v>46254.0</v>
      </c>
      <c r="C141" s="65">
        <v>77546.0</v>
      </c>
      <c r="D141" s="65">
        <v>20.0</v>
      </c>
      <c r="E141" s="87">
        <v>500.0</v>
      </c>
      <c r="F141" s="87">
        <v>10000.0</v>
      </c>
      <c r="G141" s="65" t="s">
        <v>4108</v>
      </c>
      <c r="H141" s="65"/>
      <c r="I141" s="65" t="s">
        <v>41</v>
      </c>
      <c r="J141" s="65" t="s">
        <v>34</v>
      </c>
      <c r="K141" s="65"/>
      <c r="L141" s="65" t="s">
        <v>868</v>
      </c>
      <c r="M141" s="89">
        <v>31.0</v>
      </c>
      <c r="N141" s="90">
        <v>46259.0</v>
      </c>
      <c r="O141" s="42" t="b">
        <v>1</v>
      </c>
      <c r="P141" s="44"/>
      <c r="Q141" s="34"/>
      <c r="R141" s="34"/>
      <c r="S141" s="34"/>
      <c r="T141" s="34"/>
    </row>
    <row r="142" ht="15.75" customHeight="1">
      <c r="B142" s="86">
        <v>46254.0</v>
      </c>
      <c r="C142" s="65">
        <v>28658.0</v>
      </c>
      <c r="D142" s="65" t="s">
        <v>3260</v>
      </c>
      <c r="E142" s="87" t="s">
        <v>35</v>
      </c>
      <c r="F142" s="87">
        <v>9526.28</v>
      </c>
      <c r="G142" s="65" t="s">
        <v>4114</v>
      </c>
      <c r="H142" s="65" t="s">
        <v>4115</v>
      </c>
      <c r="I142" s="65" t="s">
        <v>41</v>
      </c>
      <c r="J142" s="65" t="s">
        <v>34</v>
      </c>
      <c r="K142" s="65"/>
      <c r="L142" s="65" t="s">
        <v>96</v>
      </c>
      <c r="M142" s="89">
        <v>31.0</v>
      </c>
      <c r="N142" s="90">
        <v>46260.0</v>
      </c>
      <c r="O142" s="42" t="b">
        <v>0</v>
      </c>
      <c r="P142" s="44"/>
      <c r="Q142" s="34"/>
      <c r="R142" s="34"/>
      <c r="S142" s="34"/>
      <c r="T142" s="34"/>
    </row>
    <row r="143" ht="15.75" customHeight="1">
      <c r="B143" s="86">
        <v>46254.0</v>
      </c>
      <c r="C143" s="65">
        <v>28659.0</v>
      </c>
      <c r="D143" s="65" t="s">
        <v>3547</v>
      </c>
      <c r="E143" s="87" t="s">
        <v>35</v>
      </c>
      <c r="F143" s="87">
        <v>3086.12</v>
      </c>
      <c r="G143" s="65" t="s">
        <v>4119</v>
      </c>
      <c r="H143" s="65" t="s">
        <v>4121</v>
      </c>
      <c r="I143" s="65" t="s">
        <v>4122</v>
      </c>
      <c r="J143" s="65" t="s">
        <v>3254</v>
      </c>
      <c r="K143" s="65"/>
      <c r="L143" s="65" t="s">
        <v>96</v>
      </c>
      <c r="M143" s="89">
        <v>31.0</v>
      </c>
      <c r="N143" s="90">
        <v>46260.0</v>
      </c>
      <c r="O143" s="42" t="b">
        <v>0</v>
      </c>
      <c r="P143" s="44"/>
      <c r="Q143" s="34"/>
      <c r="R143" s="34"/>
      <c r="S143" s="34"/>
      <c r="T143" s="34"/>
    </row>
    <row r="144" ht="15.75" customHeight="1">
      <c r="B144" s="86">
        <v>46254.0</v>
      </c>
      <c r="C144" s="65">
        <v>28702.0</v>
      </c>
      <c r="D144" s="65" t="s">
        <v>3260</v>
      </c>
      <c r="E144" s="87" t="s">
        <v>35</v>
      </c>
      <c r="F144" s="87">
        <v>8888.2</v>
      </c>
      <c r="G144" s="65" t="s">
        <v>4126</v>
      </c>
      <c r="H144" s="65" t="s">
        <v>4127</v>
      </c>
      <c r="I144" s="65" t="s">
        <v>4122</v>
      </c>
      <c r="J144" s="65" t="s">
        <v>3254</v>
      </c>
      <c r="K144" s="65"/>
      <c r="L144" s="65" t="s">
        <v>96</v>
      </c>
      <c r="M144" s="89">
        <v>31.0</v>
      </c>
      <c r="N144" s="90">
        <v>46260.0</v>
      </c>
      <c r="O144" s="42" t="b">
        <v>0</v>
      </c>
      <c r="P144" s="44"/>
      <c r="Q144" s="34"/>
      <c r="R144" s="34"/>
      <c r="S144" s="34"/>
      <c r="T144" s="34"/>
    </row>
    <row r="145" ht="15.75" customHeight="1">
      <c r="B145" s="86">
        <v>46254.0</v>
      </c>
      <c r="C145" s="65">
        <v>9391.0</v>
      </c>
      <c r="D145" s="65">
        <v>3150.0</v>
      </c>
      <c r="E145" s="87">
        <v>63.0</v>
      </c>
      <c r="F145" s="87">
        <v>3150.0</v>
      </c>
      <c r="G145" s="65" t="s">
        <v>4131</v>
      </c>
      <c r="H145" s="65" t="s">
        <v>4132</v>
      </c>
      <c r="I145" s="65" t="s">
        <v>240</v>
      </c>
      <c r="J145" s="65" t="s">
        <v>34</v>
      </c>
      <c r="K145" s="65"/>
      <c r="L145" s="65" t="s">
        <v>62</v>
      </c>
      <c r="M145" s="89">
        <v>31.0</v>
      </c>
      <c r="N145" s="90">
        <v>46255.0</v>
      </c>
      <c r="O145" s="42" t="b">
        <v>0</v>
      </c>
      <c r="P145" s="44">
        <v>46258.0</v>
      </c>
      <c r="Q145" s="34"/>
      <c r="R145" s="34"/>
      <c r="S145" s="34"/>
      <c r="T145" s="34"/>
    </row>
    <row r="146" ht="15.75" customHeight="1">
      <c r="B146" s="86">
        <v>46255.0</v>
      </c>
      <c r="C146" s="65" t="s">
        <v>35</v>
      </c>
      <c r="D146" s="65">
        <v>1.0</v>
      </c>
      <c r="E146" s="87">
        <v>17500.0</v>
      </c>
      <c r="F146" s="87">
        <v>17500.0</v>
      </c>
      <c r="G146" s="65" t="s">
        <v>4135</v>
      </c>
      <c r="H146" s="65"/>
      <c r="I146" s="65" t="s">
        <v>157</v>
      </c>
      <c r="J146" s="65" t="s">
        <v>34</v>
      </c>
      <c r="K146" s="65"/>
      <c r="L146" s="65" t="s">
        <v>4138</v>
      </c>
      <c r="M146" s="89">
        <v>31.0</v>
      </c>
      <c r="N146" s="90">
        <v>46261.0</v>
      </c>
      <c r="O146" s="42" t="b">
        <v>0</v>
      </c>
      <c r="P146" s="44"/>
      <c r="Q146" s="34"/>
      <c r="R146" s="34"/>
      <c r="S146" s="34"/>
      <c r="T146" s="34"/>
    </row>
    <row r="147" ht="15.75" customHeight="1">
      <c r="B147" s="86">
        <v>46255.0</v>
      </c>
      <c r="C147" s="65">
        <v>233683.0</v>
      </c>
      <c r="D147" s="65">
        <v>600.0</v>
      </c>
      <c r="E147" s="87">
        <v>103.35</v>
      </c>
      <c r="F147" s="87">
        <v>62010.0</v>
      </c>
      <c r="G147" s="65" t="s">
        <v>4141</v>
      </c>
      <c r="H147" s="65" t="s">
        <v>4141</v>
      </c>
      <c r="I147" s="65" t="s">
        <v>59</v>
      </c>
      <c r="J147" s="65" t="s">
        <v>34</v>
      </c>
      <c r="K147" s="65"/>
      <c r="L147" s="65" t="s">
        <v>193</v>
      </c>
      <c r="M147" s="89">
        <v>31.0</v>
      </c>
      <c r="N147" s="90">
        <v>46265.0</v>
      </c>
      <c r="O147" s="42" t="b">
        <v>0</v>
      </c>
      <c r="P147" s="44"/>
      <c r="Q147" s="34"/>
      <c r="R147" s="34"/>
      <c r="S147" s="34"/>
      <c r="T147" s="34"/>
    </row>
    <row r="148" ht="15.75" customHeight="1">
      <c r="B148" s="86">
        <v>46255.0</v>
      </c>
      <c r="C148" s="65">
        <v>28836.0</v>
      </c>
      <c r="D148" s="65">
        <v>2.0</v>
      </c>
      <c r="E148" s="87">
        <v>1099.9</v>
      </c>
      <c r="F148" s="87">
        <v>2199.8</v>
      </c>
      <c r="G148" s="65" t="s">
        <v>4144</v>
      </c>
      <c r="H148" s="65" t="s">
        <v>870</v>
      </c>
      <c r="I148" s="65" t="s">
        <v>221</v>
      </c>
      <c r="J148" s="65" t="s">
        <v>34</v>
      </c>
      <c r="K148" s="65"/>
      <c r="L148" s="65" t="s">
        <v>96</v>
      </c>
      <c r="M148" s="89">
        <v>1.0</v>
      </c>
      <c r="N148" s="90">
        <v>46260.0</v>
      </c>
      <c r="O148" s="42" t="b">
        <v>0</v>
      </c>
      <c r="P148" s="44"/>
      <c r="Q148" s="34"/>
      <c r="R148" s="34"/>
      <c r="S148" s="34"/>
      <c r="T148" s="34"/>
    </row>
    <row r="149" ht="15.75" customHeight="1">
      <c r="B149" s="86">
        <v>46255.0</v>
      </c>
      <c r="C149" s="65">
        <v>932771.0</v>
      </c>
      <c r="D149" s="65">
        <v>7.0</v>
      </c>
      <c r="E149" s="87">
        <v>1090.0</v>
      </c>
      <c r="F149" s="87">
        <v>7630.0</v>
      </c>
      <c r="G149" s="65" t="s">
        <v>4148</v>
      </c>
      <c r="H149" s="65" t="s">
        <v>4105</v>
      </c>
      <c r="I149" s="65" t="s">
        <v>175</v>
      </c>
      <c r="J149" s="65" t="s">
        <v>34</v>
      </c>
      <c r="K149" s="65"/>
      <c r="L149" s="65" t="s">
        <v>167</v>
      </c>
      <c r="M149" s="89">
        <v>31.0</v>
      </c>
      <c r="N149" s="90">
        <v>46262.0</v>
      </c>
      <c r="O149" s="42" t="b">
        <v>0</v>
      </c>
      <c r="P149" s="44">
        <v>46273.0</v>
      </c>
      <c r="Q149" s="34"/>
      <c r="R149" s="34"/>
      <c r="S149" s="34"/>
      <c r="T149" s="34"/>
    </row>
    <row r="150" ht="15.75" customHeight="1">
      <c r="B150" s="86">
        <v>46255.0</v>
      </c>
      <c r="C150" s="65">
        <v>18699.0</v>
      </c>
      <c r="D150" s="65">
        <v>20.0</v>
      </c>
      <c r="E150" s="87">
        <v>225.0</v>
      </c>
      <c r="F150" s="87">
        <v>4500.0</v>
      </c>
      <c r="G150" s="65" t="s">
        <v>4154</v>
      </c>
      <c r="H150" s="65" t="s">
        <v>287</v>
      </c>
      <c r="I150" s="65" t="s">
        <v>240</v>
      </c>
      <c r="J150" s="65" t="s">
        <v>34</v>
      </c>
      <c r="K150" s="65"/>
      <c r="L150" s="65" t="s">
        <v>87</v>
      </c>
      <c r="M150" s="89">
        <v>31.0</v>
      </c>
      <c r="N150" s="93" t="s">
        <v>194</v>
      </c>
      <c r="O150" s="42" t="b">
        <v>0</v>
      </c>
      <c r="P150" s="44"/>
      <c r="Q150" s="34"/>
      <c r="R150" s="34"/>
      <c r="S150" s="34"/>
      <c r="T150" s="34"/>
    </row>
    <row r="151" ht="15.75" customHeight="1">
      <c r="B151" s="86">
        <v>46258.0</v>
      </c>
      <c r="C151" s="65">
        <v>18831.0</v>
      </c>
      <c r="D151" s="65">
        <v>100.0</v>
      </c>
      <c r="E151" s="87">
        <v>76.5</v>
      </c>
      <c r="F151" s="87">
        <v>7650.0</v>
      </c>
      <c r="G151" s="65" t="s">
        <v>3688</v>
      </c>
      <c r="H151" s="65" t="s">
        <v>3689</v>
      </c>
      <c r="I151" s="65" t="s">
        <v>240</v>
      </c>
      <c r="J151" s="65" t="s">
        <v>34</v>
      </c>
      <c r="K151" s="65" t="s">
        <v>4157</v>
      </c>
      <c r="L151" s="65" t="s">
        <v>87</v>
      </c>
      <c r="M151" s="89">
        <v>31.0</v>
      </c>
      <c r="N151" s="90">
        <v>46255.0</v>
      </c>
      <c r="O151" s="42" t="b">
        <v>0</v>
      </c>
      <c r="P151" s="44">
        <v>46258.0</v>
      </c>
      <c r="Q151" s="34"/>
      <c r="R151" s="34"/>
      <c r="S151" s="34"/>
      <c r="T151" s="34"/>
    </row>
    <row r="152" ht="15.75" customHeight="1">
      <c r="B152" s="86">
        <v>46258.0</v>
      </c>
      <c r="C152" s="65">
        <v>29005.0</v>
      </c>
      <c r="D152" s="65">
        <v>50.0</v>
      </c>
      <c r="E152" s="87">
        <v>139.9</v>
      </c>
      <c r="F152" s="87">
        <v>6995.0</v>
      </c>
      <c r="G152" s="65" t="s">
        <v>4161</v>
      </c>
      <c r="H152" s="65" t="s">
        <v>4162</v>
      </c>
      <c r="I152" s="65" t="s">
        <v>32</v>
      </c>
      <c r="J152" s="65" t="s">
        <v>34</v>
      </c>
      <c r="K152" s="65" t="s">
        <v>4163</v>
      </c>
      <c r="L152" s="65" t="s">
        <v>96</v>
      </c>
      <c r="M152" s="89">
        <v>31.0</v>
      </c>
      <c r="N152" s="93" t="s">
        <v>194</v>
      </c>
      <c r="O152" s="42" t="b">
        <v>0</v>
      </c>
      <c r="P152" s="44">
        <v>46290.0</v>
      </c>
      <c r="Q152" s="34"/>
      <c r="R152" s="34"/>
      <c r="S152" s="34"/>
      <c r="T152" s="34"/>
    </row>
    <row r="153" ht="15.75" customHeight="1">
      <c r="B153" s="86">
        <v>46258.0</v>
      </c>
      <c r="C153" s="65">
        <v>14083.0</v>
      </c>
      <c r="D153" s="65">
        <v>1.0</v>
      </c>
      <c r="E153" s="87">
        <v>6300.0</v>
      </c>
      <c r="F153" s="87">
        <v>6300.0</v>
      </c>
      <c r="G153" s="65" t="s">
        <v>4168</v>
      </c>
      <c r="H153" s="65" t="s">
        <v>4169</v>
      </c>
      <c r="I153" s="65" t="s">
        <v>41</v>
      </c>
      <c r="J153" s="65" t="s">
        <v>34</v>
      </c>
      <c r="K153" s="65"/>
      <c r="L153" s="65" t="s">
        <v>2251</v>
      </c>
      <c r="M153" s="89" t="s">
        <v>3464</v>
      </c>
      <c r="N153" s="90">
        <v>46267.0</v>
      </c>
      <c r="O153" s="42" t="b">
        <v>0</v>
      </c>
      <c r="P153" s="44"/>
      <c r="Q153" s="34"/>
      <c r="R153" s="34"/>
      <c r="S153" s="34"/>
      <c r="T153" s="34"/>
    </row>
    <row r="154" ht="15.75" customHeight="1">
      <c r="B154" s="86">
        <v>46258.0</v>
      </c>
      <c r="C154" s="65">
        <v>4472.0</v>
      </c>
      <c r="D154" s="65">
        <v>4.0</v>
      </c>
      <c r="E154" s="87">
        <v>6100.0</v>
      </c>
      <c r="F154" s="87">
        <v>24400.0</v>
      </c>
      <c r="G154" s="65" t="s">
        <v>4173</v>
      </c>
      <c r="H154" s="65" t="s">
        <v>2250</v>
      </c>
      <c r="I154" s="65" t="s">
        <v>41</v>
      </c>
      <c r="J154" s="65" t="s">
        <v>3254</v>
      </c>
      <c r="K154" s="65"/>
      <c r="L154" s="65" t="s">
        <v>2251</v>
      </c>
      <c r="M154" s="89" t="s">
        <v>3464</v>
      </c>
      <c r="N154" s="90">
        <v>46267.0</v>
      </c>
      <c r="O154" s="42" t="b">
        <v>0</v>
      </c>
      <c r="P154" s="44"/>
      <c r="Q154" s="34"/>
      <c r="R154" s="34"/>
      <c r="S154" s="34"/>
      <c r="T154" s="34"/>
    </row>
    <row r="155" ht="15.75" customHeight="1">
      <c r="B155" s="86">
        <v>46258.0</v>
      </c>
      <c r="C155" s="65" t="s">
        <v>35</v>
      </c>
      <c r="D155" s="65">
        <v>1.0</v>
      </c>
      <c r="E155" s="87">
        <v>17500.0</v>
      </c>
      <c r="F155" s="87">
        <v>17500.0</v>
      </c>
      <c r="G155" s="65" t="s">
        <v>4177</v>
      </c>
      <c r="H155" s="65"/>
      <c r="I155" s="65" t="s">
        <v>221</v>
      </c>
      <c r="J155" s="65" t="s">
        <v>34</v>
      </c>
      <c r="K155" s="65" t="s">
        <v>4178</v>
      </c>
      <c r="L155" s="65" t="s">
        <v>4138</v>
      </c>
      <c r="M155" s="89">
        <v>31.0</v>
      </c>
      <c r="N155" s="90">
        <v>46261.0</v>
      </c>
      <c r="O155" s="42" t="b">
        <v>1</v>
      </c>
      <c r="P155" s="44"/>
      <c r="Q155" s="34"/>
      <c r="R155" s="34"/>
      <c r="S155" s="34"/>
      <c r="T155" s="34"/>
    </row>
    <row r="156" ht="15.75" customHeight="1">
      <c r="B156" s="86">
        <v>46258.0</v>
      </c>
      <c r="C156" s="65">
        <v>17972.0</v>
      </c>
      <c r="D156" s="65">
        <v>50.0</v>
      </c>
      <c r="E156" s="87">
        <v>26.8</v>
      </c>
      <c r="F156" s="87">
        <v>1340.0</v>
      </c>
      <c r="G156" s="65" t="s">
        <v>4184</v>
      </c>
      <c r="H156" s="65"/>
      <c r="I156" s="65" t="s">
        <v>240</v>
      </c>
      <c r="J156" s="65" t="s">
        <v>34</v>
      </c>
      <c r="K156" s="65"/>
      <c r="L156" s="65" t="s">
        <v>4188</v>
      </c>
      <c r="M156" s="89">
        <v>31.0</v>
      </c>
      <c r="N156" s="90">
        <v>46266.0</v>
      </c>
      <c r="O156" s="42" t="b">
        <v>0</v>
      </c>
      <c r="P156" s="44"/>
      <c r="Q156" s="34"/>
      <c r="R156" s="34"/>
      <c r="S156" s="34"/>
      <c r="T156" s="34"/>
    </row>
    <row r="157" ht="15.75" customHeight="1">
      <c r="B157" s="86">
        <v>46258.0</v>
      </c>
      <c r="C157" s="65">
        <v>17972.0</v>
      </c>
      <c r="D157" s="65">
        <v>20.0</v>
      </c>
      <c r="E157" s="87">
        <v>38.5</v>
      </c>
      <c r="F157" s="87">
        <v>770.0</v>
      </c>
      <c r="G157" s="65" t="s">
        <v>4192</v>
      </c>
      <c r="H157" s="65"/>
      <c r="I157" s="65" t="s">
        <v>240</v>
      </c>
      <c r="J157" s="65" t="s">
        <v>34</v>
      </c>
      <c r="K157" s="65"/>
      <c r="L157" s="65" t="s">
        <v>4188</v>
      </c>
      <c r="M157" s="89">
        <v>31.0</v>
      </c>
      <c r="N157" s="90">
        <v>46266.0</v>
      </c>
      <c r="O157" s="42" t="b">
        <v>0</v>
      </c>
      <c r="P157" s="44"/>
      <c r="Q157" s="34"/>
      <c r="R157" s="34"/>
      <c r="S157" s="34"/>
      <c r="T157" s="34"/>
    </row>
    <row r="158" ht="15.75" customHeight="1">
      <c r="B158" s="86">
        <v>46258.0</v>
      </c>
      <c r="C158" s="65">
        <v>17972.0</v>
      </c>
      <c r="D158" s="65">
        <v>100.0</v>
      </c>
      <c r="E158" s="87">
        <v>21.5</v>
      </c>
      <c r="F158" s="87">
        <v>2150.0</v>
      </c>
      <c r="G158" s="65" t="s">
        <v>1325</v>
      </c>
      <c r="H158" s="65"/>
      <c r="I158" s="65" t="s">
        <v>240</v>
      </c>
      <c r="J158" s="65" t="s">
        <v>34</v>
      </c>
      <c r="K158" s="65"/>
      <c r="L158" s="65" t="s">
        <v>4188</v>
      </c>
      <c r="M158" s="89">
        <v>31.0</v>
      </c>
      <c r="N158" s="90">
        <v>46266.0</v>
      </c>
      <c r="O158" s="42" t="b">
        <v>0</v>
      </c>
      <c r="P158" s="44"/>
      <c r="Q158" s="34"/>
      <c r="R158" s="34"/>
      <c r="S158" s="34"/>
      <c r="T158" s="34"/>
    </row>
    <row r="159" ht="15.75" customHeight="1">
      <c r="B159" s="86">
        <v>46258.0</v>
      </c>
      <c r="C159" s="65">
        <v>18930.0</v>
      </c>
      <c r="D159" s="65">
        <v>40.0</v>
      </c>
      <c r="E159" s="87">
        <v>285.0</v>
      </c>
      <c r="F159" s="87">
        <v>11400.0</v>
      </c>
      <c r="G159" s="65" t="s">
        <v>3951</v>
      </c>
      <c r="H159" s="65" t="s">
        <v>1158</v>
      </c>
      <c r="I159" s="65" t="s">
        <v>59</v>
      </c>
      <c r="J159" s="65" t="s">
        <v>34</v>
      </c>
      <c r="K159" s="65" t="s">
        <v>4202</v>
      </c>
      <c r="L159" s="65" t="s">
        <v>87</v>
      </c>
      <c r="M159" s="89">
        <v>31.0</v>
      </c>
      <c r="N159" s="90">
        <v>46259.0</v>
      </c>
      <c r="O159" s="42" t="b">
        <v>1</v>
      </c>
      <c r="P159" s="44"/>
      <c r="Q159" s="34"/>
      <c r="R159" s="34"/>
      <c r="S159" s="34"/>
      <c r="T159" s="34"/>
    </row>
    <row r="160" ht="15.75" customHeight="1">
      <c r="B160" s="86">
        <v>46258.0</v>
      </c>
      <c r="C160" s="65">
        <v>933102.0</v>
      </c>
      <c r="D160" s="65">
        <v>1500.0</v>
      </c>
      <c r="E160" s="87">
        <v>135.0</v>
      </c>
      <c r="F160" s="87">
        <v>202500.0</v>
      </c>
      <c r="G160" s="65" t="s">
        <v>4204</v>
      </c>
      <c r="H160" s="65" t="s">
        <v>4205</v>
      </c>
      <c r="I160" s="65" t="s">
        <v>41</v>
      </c>
      <c r="J160" s="65" t="s">
        <v>34</v>
      </c>
      <c r="K160" s="65" t="s">
        <v>4206</v>
      </c>
      <c r="L160" s="65" t="s">
        <v>167</v>
      </c>
      <c r="M160" s="89">
        <v>31.0</v>
      </c>
      <c r="N160" s="90">
        <v>46262.0</v>
      </c>
      <c r="O160" s="42" t="b">
        <v>0</v>
      </c>
      <c r="P160" s="44">
        <v>46273.0</v>
      </c>
      <c r="Q160" s="34"/>
      <c r="R160" s="34"/>
      <c r="S160" s="34"/>
      <c r="T160" s="34"/>
    </row>
    <row r="161" ht="15.75" customHeight="1">
      <c r="B161" s="86">
        <v>46258.0</v>
      </c>
      <c r="C161" s="65">
        <v>933102.0</v>
      </c>
      <c r="D161" s="65">
        <v>300.0</v>
      </c>
      <c r="E161" s="87">
        <v>230.0</v>
      </c>
      <c r="F161" s="87">
        <v>69000.0</v>
      </c>
      <c r="G161" s="65" t="s">
        <v>4210</v>
      </c>
      <c r="H161" s="65" t="s">
        <v>4211</v>
      </c>
      <c r="I161" s="65" t="s">
        <v>41</v>
      </c>
      <c r="J161" s="65" t="s">
        <v>34</v>
      </c>
      <c r="K161" s="65"/>
      <c r="L161" s="65" t="s">
        <v>167</v>
      </c>
      <c r="M161" s="89">
        <v>31.0</v>
      </c>
      <c r="N161" s="90">
        <v>46270.0</v>
      </c>
      <c r="O161" s="42" t="b">
        <v>0</v>
      </c>
      <c r="P161" s="44"/>
      <c r="Q161" s="34"/>
      <c r="R161" s="34"/>
      <c r="S161" s="34"/>
      <c r="T161" s="34"/>
    </row>
    <row r="162" ht="15.75" customHeight="1">
      <c r="B162" s="86">
        <v>46258.0</v>
      </c>
      <c r="C162" s="65">
        <v>933106.0</v>
      </c>
      <c r="D162" s="65">
        <v>1500.0</v>
      </c>
      <c r="E162" s="87">
        <v>135.0</v>
      </c>
      <c r="F162" s="87">
        <v>202500.0</v>
      </c>
      <c r="G162" s="65" t="s">
        <v>3789</v>
      </c>
      <c r="H162" s="65" t="s">
        <v>3790</v>
      </c>
      <c r="I162" s="65" t="s">
        <v>41</v>
      </c>
      <c r="J162" s="65" t="s">
        <v>40</v>
      </c>
      <c r="K162" s="65" t="s">
        <v>4217</v>
      </c>
      <c r="L162" s="65" t="s">
        <v>167</v>
      </c>
      <c r="M162" s="89">
        <v>31.0</v>
      </c>
      <c r="N162" s="93" t="s">
        <v>194</v>
      </c>
      <c r="O162" s="42" t="b">
        <v>0</v>
      </c>
      <c r="P162" s="44">
        <v>46280.0</v>
      </c>
      <c r="Q162" s="34"/>
      <c r="R162" s="34"/>
      <c r="S162" s="34"/>
      <c r="T162" s="34"/>
    </row>
    <row r="163" ht="15.75" customHeight="1">
      <c r="B163" s="86">
        <v>46259.0</v>
      </c>
      <c r="C163" s="65">
        <v>22867.0</v>
      </c>
      <c r="D163" s="65">
        <v>12.0</v>
      </c>
      <c r="E163" s="87">
        <v>209.25</v>
      </c>
      <c r="F163" s="87">
        <v>2511.0</v>
      </c>
      <c r="G163" s="65" t="s">
        <v>4220</v>
      </c>
      <c r="H163" s="65" t="s">
        <v>4221</v>
      </c>
      <c r="I163" s="65" t="s">
        <v>221</v>
      </c>
      <c r="J163" s="65" t="s">
        <v>34</v>
      </c>
      <c r="K163" s="65"/>
      <c r="L163" s="65" t="s">
        <v>210</v>
      </c>
      <c r="M163" s="89">
        <v>1.0</v>
      </c>
      <c r="N163" s="90">
        <v>46260.0</v>
      </c>
      <c r="O163" s="42" t="b">
        <v>0</v>
      </c>
      <c r="P163" s="44">
        <v>46261.0</v>
      </c>
      <c r="Q163" s="34"/>
      <c r="R163" s="34"/>
      <c r="S163" s="34"/>
      <c r="T163" s="34"/>
    </row>
    <row r="164" ht="15.75" customHeight="1">
      <c r="B164" s="86">
        <v>46259.0</v>
      </c>
      <c r="C164" s="65">
        <v>19009.0</v>
      </c>
      <c r="D164" s="65" t="s">
        <v>4224</v>
      </c>
      <c r="E164" s="87">
        <v>383.0</v>
      </c>
      <c r="F164" s="87">
        <v>7660.0</v>
      </c>
      <c r="G164" s="65" t="s">
        <v>4226</v>
      </c>
      <c r="H164" s="65" t="s">
        <v>3966</v>
      </c>
      <c r="I164" s="65" t="s">
        <v>240</v>
      </c>
      <c r="J164" s="65" t="s">
        <v>34</v>
      </c>
      <c r="K164" s="65"/>
      <c r="L164" s="65" t="s">
        <v>87</v>
      </c>
      <c r="M164" s="89">
        <v>31.0</v>
      </c>
      <c r="N164" s="90">
        <v>46261.0</v>
      </c>
      <c r="O164" s="42" t="b">
        <v>0</v>
      </c>
      <c r="P164" s="44"/>
      <c r="Q164" s="34"/>
      <c r="R164" s="34"/>
      <c r="S164" s="34"/>
      <c r="T164" s="34"/>
    </row>
    <row r="165" ht="15.75" customHeight="1">
      <c r="B165" s="86">
        <v>46259.0</v>
      </c>
      <c r="C165" s="65">
        <v>8493.0</v>
      </c>
      <c r="D165" s="65">
        <v>10.0</v>
      </c>
      <c r="E165" s="87">
        <v>196.2</v>
      </c>
      <c r="F165" s="87">
        <v>1962.0</v>
      </c>
      <c r="G165" s="65" t="s">
        <v>4230</v>
      </c>
      <c r="H165" s="65" t="s">
        <v>4231</v>
      </c>
      <c r="I165" s="65" t="s">
        <v>221</v>
      </c>
      <c r="J165" s="65" t="s">
        <v>34</v>
      </c>
      <c r="K165" s="65"/>
      <c r="L165" s="65" t="s">
        <v>241</v>
      </c>
      <c r="M165" s="89">
        <v>31.0</v>
      </c>
      <c r="N165" s="90">
        <v>46260.0</v>
      </c>
      <c r="O165" s="42" t="b">
        <v>0</v>
      </c>
      <c r="P165" s="44">
        <v>46261.0</v>
      </c>
      <c r="Q165" s="34"/>
      <c r="R165" s="34"/>
      <c r="S165" s="34"/>
      <c r="T165" s="34"/>
    </row>
    <row r="166" ht="15.75" customHeight="1">
      <c r="B166" s="86">
        <v>46259.0</v>
      </c>
      <c r="C166" s="65">
        <v>18999.0</v>
      </c>
      <c r="D166" s="65">
        <v>80.0</v>
      </c>
      <c r="E166" s="87">
        <v>207.0</v>
      </c>
      <c r="F166" s="87">
        <v>16560.0</v>
      </c>
      <c r="G166" s="65" t="s">
        <v>4233</v>
      </c>
      <c r="H166" s="65" t="s">
        <v>3290</v>
      </c>
      <c r="I166" s="65" t="s">
        <v>32</v>
      </c>
      <c r="J166" s="65" t="s">
        <v>34</v>
      </c>
      <c r="K166" s="65"/>
      <c r="L166" s="65" t="s">
        <v>87</v>
      </c>
      <c r="M166" s="89">
        <v>31.0</v>
      </c>
      <c r="N166" s="90">
        <v>46261.0</v>
      </c>
      <c r="O166" s="42" t="b">
        <v>0</v>
      </c>
      <c r="P166" s="44"/>
      <c r="Q166" s="34"/>
      <c r="R166" s="34"/>
      <c r="S166" s="34"/>
      <c r="T166" s="34"/>
    </row>
    <row r="167" ht="15.75" customHeight="1">
      <c r="B167" s="86">
        <v>46259.0</v>
      </c>
      <c r="C167" s="65">
        <v>19015.0</v>
      </c>
      <c r="D167" s="65">
        <v>2000.0</v>
      </c>
      <c r="E167" s="87">
        <v>1350.0</v>
      </c>
      <c r="F167" s="87">
        <v>2700.0</v>
      </c>
      <c r="G167" s="65" t="s">
        <v>4235</v>
      </c>
      <c r="H167" s="65" t="s">
        <v>4238</v>
      </c>
      <c r="I167" s="65" t="s">
        <v>32</v>
      </c>
      <c r="J167" s="65" t="s">
        <v>34</v>
      </c>
      <c r="K167" s="65"/>
      <c r="L167" s="65" t="s">
        <v>87</v>
      </c>
      <c r="M167" s="89">
        <v>31.0</v>
      </c>
      <c r="N167" s="90">
        <v>46261.0</v>
      </c>
      <c r="O167" s="42" t="b">
        <v>0</v>
      </c>
      <c r="P167" s="44"/>
      <c r="Q167" s="34"/>
      <c r="R167" s="34"/>
      <c r="S167" s="34"/>
      <c r="T167" s="34"/>
    </row>
    <row r="168" ht="15.75" customHeight="1">
      <c r="B168" s="86">
        <v>46259.0</v>
      </c>
      <c r="C168" s="65">
        <v>19015.0</v>
      </c>
      <c r="D168" s="65">
        <v>10.0</v>
      </c>
      <c r="E168" s="87">
        <v>297.0</v>
      </c>
      <c r="F168" s="87">
        <v>2970.0</v>
      </c>
      <c r="G168" s="65" t="s">
        <v>4240</v>
      </c>
      <c r="H168" s="65" t="s">
        <v>4241</v>
      </c>
      <c r="I168" s="65" t="s">
        <v>32</v>
      </c>
      <c r="J168" s="65" t="s">
        <v>34</v>
      </c>
      <c r="K168" s="65"/>
      <c r="L168" s="65" t="s">
        <v>87</v>
      </c>
      <c r="M168" s="89">
        <v>31.0</v>
      </c>
      <c r="N168" s="90">
        <v>46261.0</v>
      </c>
      <c r="O168" s="42" t="b">
        <v>0</v>
      </c>
      <c r="P168" s="44"/>
      <c r="Q168" s="34"/>
      <c r="R168" s="34"/>
      <c r="S168" s="34"/>
      <c r="T168" s="34"/>
    </row>
    <row r="169" ht="15.75" customHeight="1">
      <c r="B169" s="86">
        <v>46259.0</v>
      </c>
      <c r="C169" s="65">
        <v>19019.0</v>
      </c>
      <c r="D169" s="65">
        <v>60.0</v>
      </c>
      <c r="E169" s="87">
        <v>305.0</v>
      </c>
      <c r="F169" s="87">
        <v>18300.0</v>
      </c>
      <c r="G169" s="65" t="s">
        <v>4244</v>
      </c>
      <c r="H169" s="65" t="s">
        <v>506</v>
      </c>
      <c r="I169" s="65" t="s">
        <v>41</v>
      </c>
      <c r="J169" s="65" t="s">
        <v>34</v>
      </c>
      <c r="K169" s="65"/>
      <c r="L169" s="65" t="s">
        <v>87</v>
      </c>
      <c r="M169" s="89">
        <v>31.0</v>
      </c>
      <c r="N169" s="90">
        <v>46261.0</v>
      </c>
      <c r="O169" s="42" t="b">
        <v>0</v>
      </c>
      <c r="P169" s="44"/>
      <c r="Q169" s="34"/>
      <c r="R169" s="34"/>
      <c r="S169" s="34"/>
      <c r="T169" s="34"/>
    </row>
    <row r="170" ht="15.75" customHeight="1">
      <c r="B170" s="86">
        <v>46259.0</v>
      </c>
      <c r="C170" s="65">
        <v>19019.0</v>
      </c>
      <c r="D170" s="65">
        <v>60.0</v>
      </c>
      <c r="E170" s="87">
        <v>285.0</v>
      </c>
      <c r="F170" s="87">
        <v>17100.0</v>
      </c>
      <c r="G170" s="65" t="s">
        <v>4245</v>
      </c>
      <c r="H170" s="65" t="s">
        <v>1158</v>
      </c>
      <c r="I170" s="65" t="s">
        <v>41</v>
      </c>
      <c r="J170" s="65" t="s">
        <v>34</v>
      </c>
      <c r="K170" s="65"/>
      <c r="L170" s="65" t="s">
        <v>87</v>
      </c>
      <c r="M170" s="89">
        <v>31.0</v>
      </c>
      <c r="N170" s="90">
        <v>46261.0</v>
      </c>
      <c r="O170" s="42" t="b">
        <v>0</v>
      </c>
      <c r="P170" s="44"/>
      <c r="Q170" s="34"/>
      <c r="R170" s="34"/>
      <c r="S170" s="34"/>
      <c r="T170" s="34"/>
    </row>
    <row r="171" ht="15.75" customHeight="1">
      <c r="B171" s="86">
        <v>46259.0</v>
      </c>
      <c r="C171" s="65"/>
      <c r="D171" s="65">
        <v>2.0</v>
      </c>
      <c r="E171" s="87">
        <v>500.0</v>
      </c>
      <c r="F171" s="87">
        <v>1000.0</v>
      </c>
      <c r="G171" s="65" t="s">
        <v>4249</v>
      </c>
      <c r="H171" s="65"/>
      <c r="I171" s="65" t="s">
        <v>240</v>
      </c>
      <c r="J171" s="65" t="s">
        <v>34</v>
      </c>
      <c r="K171" s="65"/>
      <c r="L171" s="65" t="s">
        <v>314</v>
      </c>
      <c r="M171" s="89">
        <v>31.0</v>
      </c>
      <c r="N171" s="90">
        <v>46259.0</v>
      </c>
      <c r="O171" s="42" t="b">
        <v>0</v>
      </c>
      <c r="P171" s="44">
        <v>46260.0</v>
      </c>
      <c r="Q171" s="34"/>
      <c r="R171" s="34"/>
      <c r="S171" s="34"/>
      <c r="T171" s="34"/>
    </row>
    <row r="172" ht="15.75" customHeight="1">
      <c r="B172" s="86">
        <v>46259.0</v>
      </c>
      <c r="C172" s="65">
        <v>21738.0</v>
      </c>
      <c r="D172" s="65" t="s">
        <v>4251</v>
      </c>
      <c r="E172" s="87" t="s">
        <v>35</v>
      </c>
      <c r="F172" s="87">
        <v>1242.0</v>
      </c>
      <c r="G172" s="65" t="s">
        <v>4253</v>
      </c>
      <c r="H172" s="65" t="s">
        <v>4256</v>
      </c>
      <c r="I172" s="65" t="s">
        <v>32</v>
      </c>
      <c r="J172" s="65" t="s">
        <v>34</v>
      </c>
      <c r="K172" s="65"/>
      <c r="L172" s="65" t="s">
        <v>279</v>
      </c>
      <c r="M172" s="89">
        <v>31.0</v>
      </c>
      <c r="N172" s="90">
        <v>46259.0</v>
      </c>
      <c r="O172" s="42" t="b">
        <v>0</v>
      </c>
      <c r="P172" s="44">
        <v>46260.0</v>
      </c>
      <c r="Q172" s="34"/>
      <c r="R172" s="34"/>
      <c r="S172" s="34"/>
      <c r="T172" s="34"/>
    </row>
    <row r="173" ht="15.75" customHeight="1">
      <c r="B173" s="86">
        <v>46259.0</v>
      </c>
      <c r="C173" s="65"/>
      <c r="D173" s="65">
        <v>100.0</v>
      </c>
      <c r="E173" s="87">
        <v>25.2</v>
      </c>
      <c r="F173" s="87">
        <v>2520.0</v>
      </c>
      <c r="G173" s="65" t="s">
        <v>4259</v>
      </c>
      <c r="H173" s="65" t="s">
        <v>4260</v>
      </c>
      <c r="I173" s="65" t="s">
        <v>221</v>
      </c>
      <c r="J173" s="65" t="s">
        <v>34</v>
      </c>
      <c r="K173" s="65"/>
      <c r="L173" s="65" t="s">
        <v>3943</v>
      </c>
      <c r="M173" s="89">
        <v>31.0</v>
      </c>
      <c r="N173" s="90">
        <v>46266.0</v>
      </c>
      <c r="O173" s="42" t="b">
        <v>0</v>
      </c>
      <c r="P173" s="44"/>
      <c r="Q173" s="34"/>
      <c r="R173" s="34"/>
      <c r="S173" s="34"/>
      <c r="T173" s="34"/>
    </row>
    <row r="174" ht="15.75" customHeight="1">
      <c r="B174" s="86">
        <v>46259.0</v>
      </c>
      <c r="C174" s="65">
        <v>29134.0</v>
      </c>
      <c r="D174" s="65">
        <v>200.0</v>
      </c>
      <c r="E174" s="87">
        <v>8.99</v>
      </c>
      <c r="F174" s="87">
        <v>1798.0</v>
      </c>
      <c r="G174" s="65" t="s">
        <v>3699</v>
      </c>
      <c r="H174" s="65" t="s">
        <v>4264</v>
      </c>
      <c r="I174" s="65" t="s">
        <v>77</v>
      </c>
      <c r="J174" s="65" t="s">
        <v>40</v>
      </c>
      <c r="K174" s="65"/>
      <c r="L174" s="65" t="s">
        <v>96</v>
      </c>
      <c r="M174" s="89" t="s">
        <v>79</v>
      </c>
      <c r="N174" s="90">
        <v>46260.0</v>
      </c>
      <c r="O174" s="42" t="b">
        <v>0</v>
      </c>
      <c r="P174" s="44"/>
      <c r="Q174" s="34"/>
      <c r="R174" s="34"/>
      <c r="S174" s="34"/>
      <c r="T174" s="34"/>
    </row>
    <row r="175" ht="15.75" customHeight="1">
      <c r="B175" s="86">
        <v>46260.0</v>
      </c>
      <c r="C175" s="65">
        <v>19090.0</v>
      </c>
      <c r="D175" s="65">
        <v>40.0</v>
      </c>
      <c r="E175" s="87">
        <v>305.0</v>
      </c>
      <c r="F175" s="87">
        <v>12200.0</v>
      </c>
      <c r="G175" s="65" t="s">
        <v>4267</v>
      </c>
      <c r="H175" s="65" t="s">
        <v>506</v>
      </c>
      <c r="I175" s="65" t="s">
        <v>59</v>
      </c>
      <c r="J175" s="65" t="s">
        <v>34</v>
      </c>
      <c r="K175" s="65"/>
      <c r="L175" s="65" t="s">
        <v>87</v>
      </c>
      <c r="M175" s="89">
        <v>31.0</v>
      </c>
      <c r="N175" s="90">
        <v>46265.0</v>
      </c>
      <c r="O175" s="42" t="b">
        <v>0</v>
      </c>
      <c r="P175" s="44"/>
      <c r="Q175" s="34"/>
      <c r="R175" s="34"/>
      <c r="S175" s="34"/>
      <c r="T175" s="34"/>
    </row>
    <row r="176" ht="15.75" customHeight="1">
      <c r="B176" s="86">
        <v>46260.0</v>
      </c>
      <c r="C176" s="65">
        <v>29262.0</v>
      </c>
      <c r="D176" s="65" t="s">
        <v>4268</v>
      </c>
      <c r="E176" s="87" t="s">
        <v>35</v>
      </c>
      <c r="F176" s="87">
        <v>43544.9</v>
      </c>
      <c r="G176" s="65" t="s">
        <v>4269</v>
      </c>
      <c r="H176" s="65" t="s">
        <v>4271</v>
      </c>
      <c r="I176" s="65" t="s">
        <v>3823</v>
      </c>
      <c r="J176" s="65" t="s">
        <v>34</v>
      </c>
      <c r="K176" s="65"/>
      <c r="L176" s="65" t="s">
        <v>96</v>
      </c>
      <c r="M176" s="89">
        <v>31.0</v>
      </c>
      <c r="N176" s="90">
        <v>46260.0</v>
      </c>
      <c r="O176" s="42" t="b">
        <v>0</v>
      </c>
      <c r="P176" s="44"/>
      <c r="Q176" s="34"/>
      <c r="R176" s="34"/>
      <c r="S176" s="34"/>
      <c r="T176" s="34"/>
    </row>
    <row r="177" ht="15.75" customHeight="1">
      <c r="B177" s="86">
        <v>46260.0</v>
      </c>
      <c r="C177" s="65" t="s">
        <v>35</v>
      </c>
      <c r="D177" s="65">
        <v>2.0</v>
      </c>
      <c r="E177" s="87">
        <v>4480.0</v>
      </c>
      <c r="F177" s="87">
        <v>8960.0</v>
      </c>
      <c r="G177" s="65" t="s">
        <v>4273</v>
      </c>
      <c r="H177" s="65"/>
      <c r="I177" s="65" t="s">
        <v>221</v>
      </c>
      <c r="J177" s="65" t="s">
        <v>34</v>
      </c>
      <c r="K177" s="65"/>
      <c r="L177" s="65" t="s">
        <v>3533</v>
      </c>
      <c r="M177" s="89">
        <v>31.0</v>
      </c>
      <c r="N177" s="93" t="s">
        <v>194</v>
      </c>
      <c r="O177" s="42" t="b">
        <v>0</v>
      </c>
      <c r="P177" s="45"/>
      <c r="Q177" s="34"/>
      <c r="R177" s="34"/>
      <c r="S177" s="34"/>
      <c r="T177" s="34"/>
    </row>
    <row r="178" ht="15.75" customHeight="1">
      <c r="B178" s="86">
        <v>46260.0</v>
      </c>
      <c r="C178" s="65">
        <v>4178.0</v>
      </c>
      <c r="D178" s="65">
        <v>27.0</v>
      </c>
      <c r="E178" s="87">
        <v>3880.0</v>
      </c>
      <c r="F178" s="87">
        <v>104760.0</v>
      </c>
      <c r="G178" s="65" t="s">
        <v>4277</v>
      </c>
      <c r="H178" s="65"/>
      <c r="I178" s="65" t="s">
        <v>175</v>
      </c>
      <c r="J178" s="65" t="s">
        <v>34</v>
      </c>
      <c r="K178" s="65"/>
      <c r="L178" s="65" t="s">
        <v>151</v>
      </c>
      <c r="M178" s="89">
        <v>31.0</v>
      </c>
      <c r="N178" s="90">
        <v>46261.0</v>
      </c>
      <c r="O178" s="42" t="b">
        <v>0</v>
      </c>
      <c r="P178" s="44"/>
      <c r="Q178" s="34"/>
      <c r="R178" s="34"/>
      <c r="S178" s="34"/>
      <c r="T178" s="34"/>
    </row>
    <row r="179" ht="15.75" customHeight="1">
      <c r="B179" s="86">
        <v>46260.0</v>
      </c>
      <c r="C179" s="65">
        <v>9568.0</v>
      </c>
      <c r="D179" s="65">
        <v>1500.0</v>
      </c>
      <c r="E179" s="87">
        <v>110.0</v>
      </c>
      <c r="F179" s="87">
        <v>165000.0</v>
      </c>
      <c r="G179" s="65" t="s">
        <v>4282</v>
      </c>
      <c r="H179" s="65"/>
      <c r="I179" s="65" t="s">
        <v>39</v>
      </c>
      <c r="J179" s="65" t="s">
        <v>40</v>
      </c>
      <c r="K179" s="65"/>
      <c r="L179" s="65" t="s">
        <v>46</v>
      </c>
      <c r="M179" s="89">
        <v>31.0</v>
      </c>
      <c r="N179" s="90">
        <v>46261.0</v>
      </c>
      <c r="O179" s="42" t="b">
        <v>0</v>
      </c>
      <c r="P179" s="44"/>
      <c r="Q179" s="34"/>
      <c r="R179" s="34"/>
      <c r="S179" s="34"/>
      <c r="T179" s="34"/>
    </row>
    <row r="180" ht="15.75" customHeight="1">
      <c r="B180" s="86">
        <v>46260.0</v>
      </c>
      <c r="C180" s="65">
        <v>9568.0</v>
      </c>
      <c r="D180" s="65">
        <v>1500.0</v>
      </c>
      <c r="E180" s="87">
        <v>95.0</v>
      </c>
      <c r="F180" s="87">
        <v>142500.0</v>
      </c>
      <c r="G180" s="65" t="s">
        <v>4283</v>
      </c>
      <c r="H180" s="65"/>
      <c r="I180" s="65" t="s">
        <v>39</v>
      </c>
      <c r="J180" s="65" t="s">
        <v>40</v>
      </c>
      <c r="K180" s="65"/>
      <c r="L180" s="65" t="s">
        <v>46</v>
      </c>
      <c r="M180" s="89">
        <v>31.0</v>
      </c>
      <c r="N180" s="90">
        <v>46261.0</v>
      </c>
      <c r="O180" s="42" t="b">
        <v>0</v>
      </c>
      <c r="P180" s="44"/>
      <c r="Q180" s="34"/>
      <c r="R180" s="34"/>
      <c r="S180" s="34"/>
      <c r="T180" s="34"/>
    </row>
    <row r="181" ht="15.75" customHeight="1">
      <c r="B181" s="86">
        <v>46260.0</v>
      </c>
      <c r="C181" s="65">
        <v>9568.0</v>
      </c>
      <c r="D181" s="65">
        <v>1.0</v>
      </c>
      <c r="E181" s="87"/>
      <c r="F181" s="87">
        <v>2975.0</v>
      </c>
      <c r="G181" s="65" t="s">
        <v>4287</v>
      </c>
      <c r="H181" s="65"/>
      <c r="I181" s="65" t="s">
        <v>39</v>
      </c>
      <c r="J181" s="65" t="s">
        <v>40</v>
      </c>
      <c r="K181" s="65"/>
      <c r="L181" s="65" t="s">
        <v>46</v>
      </c>
      <c r="M181" s="89">
        <v>31.0</v>
      </c>
      <c r="N181" s="90">
        <v>46261.0</v>
      </c>
      <c r="O181" s="42" t="b">
        <v>0</v>
      </c>
      <c r="P181" s="44"/>
      <c r="Q181" s="34"/>
      <c r="R181" s="34"/>
      <c r="S181" s="34"/>
      <c r="T181" s="34"/>
    </row>
    <row r="182" ht="15.75" customHeight="1">
      <c r="B182" s="86">
        <v>46260.0</v>
      </c>
      <c r="C182" s="65">
        <v>19166.0</v>
      </c>
      <c r="D182" s="65">
        <v>40.0</v>
      </c>
      <c r="E182" s="87">
        <v>61.2</v>
      </c>
      <c r="F182" s="87">
        <v>2448.0</v>
      </c>
      <c r="G182" s="65" t="s">
        <v>4290</v>
      </c>
      <c r="H182" s="65" t="s">
        <v>1806</v>
      </c>
      <c r="I182" s="65" t="s">
        <v>240</v>
      </c>
      <c r="J182" s="65" t="s">
        <v>34</v>
      </c>
      <c r="K182" s="65"/>
      <c r="L182" s="65" t="s">
        <v>87</v>
      </c>
      <c r="M182" s="89">
        <v>31.0</v>
      </c>
      <c r="N182" s="90">
        <v>46262.0</v>
      </c>
      <c r="O182" s="42" t="b">
        <v>0</v>
      </c>
      <c r="P182" s="44"/>
      <c r="Q182" s="34"/>
      <c r="R182" s="34"/>
      <c r="S182" s="34"/>
      <c r="T182" s="34"/>
    </row>
    <row r="183" ht="15.75" customHeight="1">
      <c r="B183" s="86">
        <v>46260.0</v>
      </c>
      <c r="C183" s="65">
        <v>21880.0</v>
      </c>
      <c r="D183" s="65" t="s">
        <v>4293</v>
      </c>
      <c r="E183" s="87" t="s">
        <v>35</v>
      </c>
      <c r="F183" s="87">
        <v>46910.0</v>
      </c>
      <c r="G183" s="65" t="s">
        <v>4294</v>
      </c>
      <c r="H183" s="65"/>
      <c r="I183" s="65" t="s">
        <v>39</v>
      </c>
      <c r="J183" s="65" t="s">
        <v>34</v>
      </c>
      <c r="K183" s="65" t="s">
        <v>4295</v>
      </c>
      <c r="L183" s="65" t="s">
        <v>279</v>
      </c>
      <c r="M183" s="89">
        <v>31.0</v>
      </c>
      <c r="N183" s="90"/>
      <c r="O183" s="42" t="b">
        <v>0</v>
      </c>
      <c r="P183" s="44">
        <v>46274.0</v>
      </c>
      <c r="Q183" s="34"/>
      <c r="R183" s="34"/>
      <c r="S183" s="34"/>
      <c r="T183" s="34"/>
    </row>
    <row r="184" ht="15.75" customHeight="1">
      <c r="B184" s="86">
        <v>46260.0</v>
      </c>
      <c r="C184" s="65">
        <v>19186.0</v>
      </c>
      <c r="D184" s="65">
        <v>20.0</v>
      </c>
      <c r="E184" s="87">
        <v>198.0</v>
      </c>
      <c r="F184" s="87">
        <v>3960.0</v>
      </c>
      <c r="G184" s="65" t="s">
        <v>4297</v>
      </c>
      <c r="H184" s="65" t="s">
        <v>296</v>
      </c>
      <c r="I184" s="65" t="s">
        <v>41</v>
      </c>
      <c r="J184" s="65" t="s">
        <v>34</v>
      </c>
      <c r="K184" s="65"/>
      <c r="L184" s="65" t="s">
        <v>87</v>
      </c>
      <c r="M184" s="89">
        <v>31.0</v>
      </c>
      <c r="N184" s="90">
        <v>46261.0</v>
      </c>
      <c r="O184" s="42" t="b">
        <v>0</v>
      </c>
      <c r="P184" s="44">
        <v>46274.0</v>
      </c>
      <c r="Q184" s="34"/>
      <c r="R184" s="34"/>
      <c r="S184" s="34"/>
      <c r="T184" s="34"/>
    </row>
    <row r="185" ht="15.75" customHeight="1">
      <c r="B185" s="86">
        <v>46260.0</v>
      </c>
      <c r="C185" s="65">
        <v>19187.0</v>
      </c>
      <c r="D185" s="65">
        <v>1800.0</v>
      </c>
      <c r="E185" s="87">
        <v>2250.0</v>
      </c>
      <c r="F185" s="87">
        <v>4050.0</v>
      </c>
      <c r="G185" s="65" t="s">
        <v>4300</v>
      </c>
      <c r="H185" s="65" t="s">
        <v>4303</v>
      </c>
      <c r="I185" s="65" t="s">
        <v>59</v>
      </c>
      <c r="J185" s="65" t="s">
        <v>34</v>
      </c>
      <c r="K185" s="65"/>
      <c r="L185" s="65" t="s">
        <v>87</v>
      </c>
      <c r="M185" s="89">
        <v>31.0</v>
      </c>
      <c r="N185" s="90">
        <v>46265.0</v>
      </c>
      <c r="O185" s="42" t="b">
        <v>0</v>
      </c>
      <c r="P185" s="44"/>
      <c r="Q185" s="34"/>
      <c r="R185" s="34"/>
      <c r="S185" s="34"/>
      <c r="T185" s="34"/>
    </row>
    <row r="186" ht="15.75" customHeight="1">
      <c r="B186" s="86">
        <v>46260.0</v>
      </c>
      <c r="C186" s="65">
        <v>19188.0</v>
      </c>
      <c r="D186" s="65">
        <v>200.0</v>
      </c>
      <c r="E186" s="87">
        <v>61.2</v>
      </c>
      <c r="F186" s="87">
        <v>12240.0</v>
      </c>
      <c r="G186" s="65" t="s">
        <v>3736</v>
      </c>
      <c r="H186" s="65" t="s">
        <v>3737</v>
      </c>
      <c r="I186" s="65" t="s">
        <v>59</v>
      </c>
      <c r="J186" s="65" t="s">
        <v>34</v>
      </c>
      <c r="K186" s="65"/>
      <c r="L186" s="65" t="s">
        <v>87</v>
      </c>
      <c r="M186" s="89">
        <v>31.0</v>
      </c>
      <c r="N186" s="90">
        <v>46261.0</v>
      </c>
      <c r="O186" s="42" t="b">
        <v>0</v>
      </c>
      <c r="P186" s="44">
        <v>46262.0</v>
      </c>
      <c r="Q186" s="34"/>
      <c r="R186" s="34"/>
      <c r="S186" s="34"/>
      <c r="T186" s="34"/>
    </row>
    <row r="187" ht="15.0" customHeight="1">
      <c r="B187" s="86">
        <v>46260.0</v>
      </c>
      <c r="C187" s="65">
        <v>96474.0</v>
      </c>
      <c r="D187" s="65">
        <v>100.0</v>
      </c>
      <c r="E187" s="87">
        <v>3.8</v>
      </c>
      <c r="F187" s="87">
        <v>380.0</v>
      </c>
      <c r="G187" s="65" t="s">
        <v>4310</v>
      </c>
      <c r="H187" s="65"/>
      <c r="I187" s="65" t="s">
        <v>59</v>
      </c>
      <c r="J187" s="65" t="s">
        <v>34</v>
      </c>
      <c r="K187" s="65"/>
      <c r="L187" s="65" t="s">
        <v>1250</v>
      </c>
      <c r="M187" s="89">
        <v>31.0</v>
      </c>
      <c r="N187" s="90">
        <v>46261.0</v>
      </c>
      <c r="O187" s="42" t="b">
        <v>1</v>
      </c>
      <c r="P187" s="44"/>
      <c r="Q187" s="34"/>
      <c r="R187" s="34"/>
      <c r="S187" s="34"/>
      <c r="T187" s="34"/>
    </row>
    <row r="188" ht="15.0" customHeight="1">
      <c r="B188" s="86">
        <v>46260.0</v>
      </c>
      <c r="C188" s="65">
        <v>1462.0</v>
      </c>
      <c r="D188" s="65">
        <v>350.0</v>
      </c>
      <c r="E188" s="87">
        <v>97.0</v>
      </c>
      <c r="F188" s="87">
        <v>33950.0</v>
      </c>
      <c r="G188" s="65" t="s">
        <v>874</v>
      </c>
      <c r="H188" s="65">
        <v>6.38194362164E11</v>
      </c>
      <c r="I188" s="65" t="s">
        <v>39</v>
      </c>
      <c r="J188" s="65" t="s">
        <v>40</v>
      </c>
      <c r="K188" s="65"/>
      <c r="L188" s="65" t="s">
        <v>4312</v>
      </c>
      <c r="M188" s="89">
        <v>31.0</v>
      </c>
      <c r="N188" s="90">
        <v>46268.0</v>
      </c>
      <c r="O188" s="42" t="b">
        <v>0</v>
      </c>
      <c r="P188" s="44">
        <v>46269.0</v>
      </c>
      <c r="Q188" s="34"/>
      <c r="R188" s="34"/>
      <c r="S188" s="34"/>
      <c r="T188" s="34"/>
    </row>
    <row r="189" ht="15.75" customHeight="1">
      <c r="B189" s="86">
        <v>46260.0</v>
      </c>
      <c r="C189" s="65">
        <v>1462.0</v>
      </c>
      <c r="D189" s="65">
        <v>1000.0</v>
      </c>
      <c r="E189" s="87">
        <v>155.0</v>
      </c>
      <c r="F189" s="87">
        <v>155000.0</v>
      </c>
      <c r="G189" s="65" t="s">
        <v>883</v>
      </c>
      <c r="H189" s="65">
        <v>6.38194362759E11</v>
      </c>
      <c r="I189" s="65" t="s">
        <v>39</v>
      </c>
      <c r="J189" s="65" t="s">
        <v>40</v>
      </c>
      <c r="K189" s="65"/>
      <c r="L189" s="65" t="s">
        <v>4312</v>
      </c>
      <c r="M189" s="89">
        <v>31.0</v>
      </c>
      <c r="N189" s="90">
        <v>46268.0</v>
      </c>
      <c r="O189" s="42" t="b">
        <v>0</v>
      </c>
      <c r="P189" s="44">
        <v>46269.0</v>
      </c>
      <c r="Q189" s="34"/>
      <c r="R189" s="34"/>
      <c r="S189" s="34"/>
      <c r="T189" s="34"/>
    </row>
    <row r="190" ht="15.75" customHeight="1">
      <c r="B190" s="86">
        <v>46260.0</v>
      </c>
      <c r="C190" s="65">
        <v>96474.0</v>
      </c>
      <c r="D190" s="65">
        <v>100.0</v>
      </c>
      <c r="E190" s="87">
        <v>3.8</v>
      </c>
      <c r="F190" s="87">
        <v>380.0</v>
      </c>
      <c r="G190" s="65" t="s">
        <v>4310</v>
      </c>
      <c r="H190" s="65"/>
      <c r="I190" s="65" t="s">
        <v>59</v>
      </c>
      <c r="J190" s="65" t="s">
        <v>34</v>
      </c>
      <c r="K190" s="65"/>
      <c r="L190" s="65" t="s">
        <v>1250</v>
      </c>
      <c r="M190" s="89">
        <v>31.0</v>
      </c>
      <c r="N190" s="93"/>
      <c r="O190" s="42" t="b">
        <v>0</v>
      </c>
      <c r="P190" s="44"/>
      <c r="Q190" s="34"/>
      <c r="R190" s="34"/>
      <c r="S190" s="34"/>
      <c r="T190" s="34"/>
    </row>
    <row r="191" ht="15.75" customHeight="1">
      <c r="B191" s="86">
        <v>46260.0</v>
      </c>
      <c r="C191" s="65">
        <v>9604.0</v>
      </c>
      <c r="D191" s="65">
        <v>80.0</v>
      </c>
      <c r="E191" s="87">
        <v>58.5</v>
      </c>
      <c r="F191" s="87">
        <v>4680.0</v>
      </c>
      <c r="G191" s="65" t="s">
        <v>4322</v>
      </c>
      <c r="H191" s="65" t="s">
        <v>4323</v>
      </c>
      <c r="I191" s="65" t="s">
        <v>41</v>
      </c>
      <c r="J191" s="65" t="s">
        <v>34</v>
      </c>
      <c r="K191" s="65"/>
      <c r="L191" s="65" t="s">
        <v>46</v>
      </c>
      <c r="M191" s="89">
        <v>31.0</v>
      </c>
      <c r="N191" s="90">
        <v>46261.0</v>
      </c>
      <c r="O191" s="42" t="b">
        <v>0</v>
      </c>
      <c r="P191" s="44">
        <v>46266.0</v>
      </c>
      <c r="Q191" s="34"/>
      <c r="R191" s="34"/>
      <c r="S191" s="34"/>
      <c r="T191" s="34"/>
    </row>
    <row r="192" ht="15.75" customHeight="1">
      <c r="B192" s="86">
        <v>46261.0</v>
      </c>
      <c r="C192" s="65">
        <v>1207.0</v>
      </c>
      <c r="D192" s="65">
        <v>3.0</v>
      </c>
      <c r="E192" s="87">
        <v>680.0</v>
      </c>
      <c r="F192" s="87">
        <v>2040.0</v>
      </c>
      <c r="G192" s="65" t="s">
        <v>4327</v>
      </c>
      <c r="H192" s="65"/>
      <c r="I192" s="65" t="s">
        <v>41</v>
      </c>
      <c r="J192" s="65" t="s">
        <v>34</v>
      </c>
      <c r="K192" s="65"/>
      <c r="L192" s="65" t="s">
        <v>3976</v>
      </c>
      <c r="M192" s="89">
        <v>31.0</v>
      </c>
      <c r="N192" s="90">
        <v>46267.0</v>
      </c>
      <c r="O192" s="42" t="b">
        <v>0</v>
      </c>
      <c r="P192" s="44">
        <v>46268.0</v>
      </c>
      <c r="Q192" s="34"/>
      <c r="R192" s="34"/>
      <c r="S192" s="34"/>
      <c r="T192" s="34"/>
    </row>
    <row r="193" ht="15.75" customHeight="1">
      <c r="B193" s="86">
        <v>46261.0</v>
      </c>
      <c r="C193" s="65">
        <v>19225.0</v>
      </c>
      <c r="D193" s="65">
        <v>40.0</v>
      </c>
      <c r="E193" s="87">
        <v>260.0</v>
      </c>
      <c r="F193" s="87">
        <v>10400.0</v>
      </c>
      <c r="G193" s="65" t="s">
        <v>4330</v>
      </c>
      <c r="H193" s="65" t="s">
        <v>2197</v>
      </c>
      <c r="I193" s="65" t="s">
        <v>59</v>
      </c>
      <c r="J193" s="65" t="s">
        <v>34</v>
      </c>
      <c r="K193" s="65"/>
      <c r="L193" s="65" t="s">
        <v>87</v>
      </c>
      <c r="M193" s="89">
        <v>31.0</v>
      </c>
      <c r="N193" s="90">
        <v>46261.0</v>
      </c>
      <c r="O193" s="42" t="b">
        <v>0</v>
      </c>
      <c r="P193" s="44"/>
      <c r="Q193" s="34"/>
      <c r="R193" s="34"/>
      <c r="S193" s="34"/>
      <c r="T193" s="34"/>
    </row>
    <row r="194" ht="15.75" customHeight="1">
      <c r="B194" s="86">
        <v>46261.0</v>
      </c>
      <c r="C194" s="65">
        <v>21943.0</v>
      </c>
      <c r="D194" s="65">
        <v>16.0</v>
      </c>
      <c r="E194" s="87">
        <v>726.75</v>
      </c>
      <c r="F194" s="87">
        <v>11628.0</v>
      </c>
      <c r="G194" s="65" t="s">
        <v>4335</v>
      </c>
      <c r="H194" s="65" t="s">
        <v>3244</v>
      </c>
      <c r="I194" s="65" t="s">
        <v>175</v>
      </c>
      <c r="J194" s="65" t="s">
        <v>34</v>
      </c>
      <c r="K194" s="65"/>
      <c r="L194" s="65" t="s">
        <v>279</v>
      </c>
      <c r="M194" s="89">
        <v>31.0</v>
      </c>
      <c r="N194" s="90"/>
      <c r="O194" s="42" t="b">
        <v>0</v>
      </c>
      <c r="P194" s="44">
        <v>46281.0</v>
      </c>
      <c r="Q194" s="34"/>
      <c r="R194" s="34"/>
      <c r="S194" s="34"/>
      <c r="T194" s="34"/>
    </row>
    <row r="195" ht="15.75" customHeight="1">
      <c r="B195" s="86">
        <v>46261.0</v>
      </c>
      <c r="C195" s="65">
        <v>9623.0</v>
      </c>
      <c r="D195" s="65">
        <v>2.0</v>
      </c>
      <c r="E195" s="87">
        <v>2975.0</v>
      </c>
      <c r="F195" s="87">
        <v>5950.0</v>
      </c>
      <c r="G195" s="65" t="s">
        <v>4340</v>
      </c>
      <c r="H195" s="65" t="s">
        <v>4341</v>
      </c>
      <c r="I195" s="65" t="s">
        <v>41</v>
      </c>
      <c r="J195" s="65" t="s">
        <v>34</v>
      </c>
      <c r="K195" s="65"/>
      <c r="L195" s="65" t="s">
        <v>46</v>
      </c>
      <c r="M195" s="89">
        <v>31.0</v>
      </c>
      <c r="N195" s="90">
        <v>46261.0</v>
      </c>
      <c r="O195" s="42" t="b">
        <v>0</v>
      </c>
      <c r="P195" s="44"/>
      <c r="Q195" s="34"/>
      <c r="R195" s="34"/>
      <c r="S195" s="34"/>
      <c r="T195" s="34"/>
    </row>
    <row r="196" ht="15.75" customHeight="1">
      <c r="B196" s="86">
        <v>46261.0</v>
      </c>
      <c r="C196" s="65"/>
      <c r="D196" s="65">
        <v>1.0</v>
      </c>
      <c r="E196" s="87">
        <v>6100.0</v>
      </c>
      <c r="F196" s="87">
        <v>6100.0</v>
      </c>
      <c r="G196" s="65" t="s">
        <v>4355</v>
      </c>
      <c r="H196" s="65" t="s">
        <v>2250</v>
      </c>
      <c r="I196" s="65" t="s">
        <v>221</v>
      </c>
      <c r="J196" s="65" t="s">
        <v>34</v>
      </c>
      <c r="K196" s="65"/>
      <c r="L196" s="65" t="s">
        <v>2251</v>
      </c>
      <c r="M196" s="89">
        <v>31.0</v>
      </c>
      <c r="N196" s="90">
        <v>46267.0</v>
      </c>
      <c r="O196" s="42" t="b">
        <v>0</v>
      </c>
      <c r="P196" s="44"/>
      <c r="Q196" s="34"/>
      <c r="R196" s="34"/>
      <c r="S196" s="34"/>
      <c r="T196" s="34"/>
    </row>
    <row r="197" ht="15.75" customHeight="1">
      <c r="B197" s="86">
        <v>46261.0</v>
      </c>
      <c r="C197" s="65"/>
      <c r="D197" s="65">
        <v>1.0</v>
      </c>
      <c r="E197" s="87">
        <v>7000.0</v>
      </c>
      <c r="F197" s="87">
        <v>7000.0</v>
      </c>
      <c r="G197" s="65" t="s">
        <v>4360</v>
      </c>
      <c r="H197" s="65" t="s">
        <v>2611</v>
      </c>
      <c r="I197" s="65" t="s">
        <v>221</v>
      </c>
      <c r="J197" s="65" t="s">
        <v>34</v>
      </c>
      <c r="K197" s="65"/>
      <c r="L197" s="65" t="s">
        <v>2251</v>
      </c>
      <c r="M197" s="89">
        <v>31.0</v>
      </c>
      <c r="N197" s="90">
        <v>46267.0</v>
      </c>
      <c r="O197" s="42" t="b">
        <v>0</v>
      </c>
      <c r="P197" s="44"/>
      <c r="Q197" s="34"/>
      <c r="R197" s="34"/>
      <c r="S197" s="34"/>
      <c r="T197" s="34"/>
    </row>
    <row r="198" ht="15.75" customHeight="1">
      <c r="B198" s="86">
        <v>46261.0</v>
      </c>
      <c r="C198" s="65">
        <v>29545.0</v>
      </c>
      <c r="D198" s="65" t="s">
        <v>4365</v>
      </c>
      <c r="E198" s="87" t="s">
        <v>35</v>
      </c>
      <c r="F198" s="87">
        <v>6645.0</v>
      </c>
      <c r="G198" s="65" t="s">
        <v>4366</v>
      </c>
      <c r="H198" s="65" t="s">
        <v>4367</v>
      </c>
      <c r="I198" s="65" t="s">
        <v>32</v>
      </c>
      <c r="J198" s="65" t="s">
        <v>34</v>
      </c>
      <c r="K198" s="65"/>
      <c r="L198" s="65" t="s">
        <v>96</v>
      </c>
      <c r="M198" s="89">
        <v>31.0</v>
      </c>
      <c r="N198" s="90">
        <v>46201.0</v>
      </c>
      <c r="O198" s="42" t="b">
        <v>0</v>
      </c>
      <c r="P198" s="44"/>
      <c r="Q198" s="34"/>
      <c r="R198" s="34"/>
      <c r="S198" s="34"/>
      <c r="T198" s="34"/>
    </row>
    <row r="199" ht="15.75" customHeight="1">
      <c r="B199" s="86">
        <v>46261.0</v>
      </c>
      <c r="C199" s="65">
        <v>29551.0</v>
      </c>
      <c r="D199" s="65">
        <v>50.0</v>
      </c>
      <c r="E199" s="87">
        <v>69.99</v>
      </c>
      <c r="F199" s="87">
        <v>3499.5</v>
      </c>
      <c r="G199" s="65" t="s">
        <v>4371</v>
      </c>
      <c r="H199" s="65" t="s">
        <v>4372</v>
      </c>
      <c r="I199" s="65" t="s">
        <v>221</v>
      </c>
      <c r="J199" s="65" t="s">
        <v>3254</v>
      </c>
      <c r="K199" s="65"/>
      <c r="L199" s="65" t="s">
        <v>96</v>
      </c>
      <c r="M199" s="89">
        <v>1.0</v>
      </c>
      <c r="N199" s="90">
        <v>46201.0</v>
      </c>
      <c r="O199" s="42" t="b">
        <v>0</v>
      </c>
      <c r="P199" s="44"/>
      <c r="Q199" s="34"/>
      <c r="R199" s="34"/>
      <c r="S199" s="34"/>
      <c r="T199" s="34"/>
    </row>
    <row r="200" ht="15.75" customHeight="1">
      <c r="B200" s="86">
        <v>46261.0</v>
      </c>
      <c r="C200" s="65" t="s">
        <v>35</v>
      </c>
      <c r="D200" s="65">
        <v>1.0</v>
      </c>
      <c r="E200" s="87">
        <v>6850.0</v>
      </c>
      <c r="F200" s="87">
        <v>6850.0</v>
      </c>
      <c r="G200" s="65" t="s">
        <v>4376</v>
      </c>
      <c r="H200" s="65"/>
      <c r="I200" s="65" t="s">
        <v>221</v>
      </c>
      <c r="J200" s="65" t="s">
        <v>34</v>
      </c>
      <c r="K200" s="65"/>
      <c r="L200" s="65" t="s">
        <v>3576</v>
      </c>
      <c r="M200" s="89">
        <v>31.0</v>
      </c>
      <c r="N200" s="90">
        <v>46265.0</v>
      </c>
      <c r="O200" s="42" t="b">
        <v>0</v>
      </c>
      <c r="P200" s="44"/>
      <c r="Q200" s="34"/>
      <c r="R200" s="34"/>
      <c r="S200" s="34"/>
      <c r="T200" s="34"/>
    </row>
    <row r="201" ht="15.75" customHeight="1">
      <c r="B201" s="92">
        <v>46261.0</v>
      </c>
      <c r="C201" s="65" t="s">
        <v>35</v>
      </c>
      <c r="D201" s="65">
        <v>1.0</v>
      </c>
      <c r="E201" s="87">
        <v>4900.0</v>
      </c>
      <c r="F201" s="87">
        <v>4900.0</v>
      </c>
      <c r="G201" s="65" t="s">
        <v>4380</v>
      </c>
      <c r="H201" s="65"/>
      <c r="I201" s="65" t="s">
        <v>221</v>
      </c>
      <c r="J201" s="65" t="s">
        <v>34</v>
      </c>
      <c r="K201" s="65"/>
      <c r="L201" s="65" t="s">
        <v>3576</v>
      </c>
      <c r="M201" s="89">
        <v>31.0</v>
      </c>
      <c r="N201" s="90">
        <v>46265.0</v>
      </c>
      <c r="O201" s="42" t="b">
        <v>0</v>
      </c>
      <c r="P201" s="44"/>
      <c r="Q201" s="34"/>
      <c r="R201" s="34"/>
      <c r="S201" s="34"/>
      <c r="T201" s="34"/>
    </row>
    <row r="202" ht="15.75" customHeight="1">
      <c r="B202" s="86">
        <v>46261.0</v>
      </c>
      <c r="C202" s="65"/>
      <c r="D202" s="65">
        <v>1.0</v>
      </c>
      <c r="E202" s="87">
        <v>7090.0</v>
      </c>
      <c r="F202" s="87">
        <v>7090.0</v>
      </c>
      <c r="G202" s="65" t="s">
        <v>3898</v>
      </c>
      <c r="H202" s="65"/>
      <c r="I202" s="65" t="s">
        <v>221</v>
      </c>
      <c r="J202" s="65" t="s">
        <v>34</v>
      </c>
      <c r="K202" s="65"/>
      <c r="L202" s="65" t="s">
        <v>3533</v>
      </c>
      <c r="M202" s="89">
        <v>31.0</v>
      </c>
      <c r="N202" s="90">
        <v>46265.0</v>
      </c>
      <c r="O202" s="42" t="b">
        <v>0</v>
      </c>
      <c r="P202" s="44"/>
      <c r="Q202" s="34"/>
      <c r="R202" s="34"/>
      <c r="S202" s="34"/>
      <c r="T202" s="34"/>
    </row>
    <row r="203" ht="15.75" customHeight="1">
      <c r="B203" s="86">
        <v>46261.0</v>
      </c>
      <c r="C203" s="65" t="s">
        <v>35</v>
      </c>
      <c r="D203" s="65">
        <v>2.0</v>
      </c>
      <c r="E203" s="87">
        <v>6950.0</v>
      </c>
      <c r="F203" s="87">
        <v>13900.0</v>
      </c>
      <c r="G203" s="65" t="s">
        <v>4386</v>
      </c>
      <c r="H203" s="65"/>
      <c r="I203" s="65" t="s">
        <v>221</v>
      </c>
      <c r="J203" s="65" t="s">
        <v>34</v>
      </c>
      <c r="K203" s="65"/>
      <c r="L203" s="65" t="s">
        <v>3533</v>
      </c>
      <c r="M203" s="89">
        <v>31.0</v>
      </c>
      <c r="N203" s="90">
        <v>46265.0</v>
      </c>
      <c r="O203" s="42" t="b">
        <v>0</v>
      </c>
      <c r="P203" s="44"/>
      <c r="Q203" s="34"/>
      <c r="R203" s="34"/>
      <c r="S203" s="34"/>
      <c r="T203" s="34"/>
    </row>
    <row r="204" ht="15.75" customHeight="1">
      <c r="B204" s="86">
        <v>46261.0</v>
      </c>
      <c r="C204" s="65">
        <v>801397.0</v>
      </c>
      <c r="D204" s="127">
        <v>10000.0</v>
      </c>
      <c r="E204" s="87">
        <v>7.3</v>
      </c>
      <c r="F204" s="87">
        <v>72951.0</v>
      </c>
      <c r="G204" s="65" t="s">
        <v>4393</v>
      </c>
      <c r="H204" s="65"/>
      <c r="I204" s="65" t="s">
        <v>41</v>
      </c>
      <c r="J204" s="65" t="s">
        <v>40</v>
      </c>
      <c r="K204" s="65"/>
      <c r="L204" s="65" t="s">
        <v>68</v>
      </c>
      <c r="M204" s="89">
        <v>31.0</v>
      </c>
      <c r="N204" s="90">
        <v>46275.0</v>
      </c>
      <c r="O204" s="42" t="b">
        <v>0</v>
      </c>
      <c r="P204" s="35"/>
      <c r="Q204" s="34"/>
      <c r="R204" s="34"/>
      <c r="S204" s="34"/>
      <c r="T204" s="34"/>
    </row>
    <row r="205" ht="15.75" customHeight="1">
      <c r="B205" s="86">
        <v>46261.0</v>
      </c>
      <c r="C205" s="65"/>
      <c r="D205" s="65" t="s">
        <v>4396</v>
      </c>
      <c r="E205" s="87" t="s">
        <v>35</v>
      </c>
      <c r="F205" s="87">
        <v>1226.37</v>
      </c>
      <c r="G205" s="65" t="s">
        <v>4397</v>
      </c>
      <c r="H205" s="65" t="s">
        <v>4398</v>
      </c>
      <c r="I205" s="65" t="s">
        <v>41</v>
      </c>
      <c r="J205" s="65" t="s">
        <v>3264</v>
      </c>
      <c r="K205" s="65" t="s">
        <v>4401</v>
      </c>
      <c r="L205" s="65" t="s">
        <v>2352</v>
      </c>
      <c r="M205" s="89">
        <v>31.0</v>
      </c>
      <c r="N205" s="90">
        <v>46266.0</v>
      </c>
      <c r="O205" s="42" t="b">
        <v>0</v>
      </c>
      <c r="P205" s="44"/>
      <c r="Q205" s="34"/>
      <c r="R205" s="34"/>
      <c r="S205" s="34"/>
      <c r="T205" s="34"/>
    </row>
    <row r="206" ht="15.75" customHeight="1">
      <c r="B206" s="86">
        <v>46261.0</v>
      </c>
      <c r="C206" s="65">
        <v>4218.0</v>
      </c>
      <c r="D206" s="65" t="s">
        <v>4090</v>
      </c>
      <c r="E206" s="87" t="s">
        <v>35</v>
      </c>
      <c r="F206" s="87">
        <v>7926.0</v>
      </c>
      <c r="G206" s="65" t="s">
        <v>786</v>
      </c>
      <c r="H206" s="65"/>
      <c r="I206" s="65"/>
      <c r="J206" s="65"/>
      <c r="K206" s="65"/>
      <c r="L206" s="65"/>
      <c r="M206" s="89"/>
      <c r="N206" s="93" t="s">
        <v>194</v>
      </c>
      <c r="O206" s="42" t="b">
        <v>0</v>
      </c>
      <c r="P206" s="44"/>
      <c r="Q206" s="34"/>
      <c r="R206" s="34"/>
      <c r="S206" s="34"/>
      <c r="T206" s="34"/>
    </row>
    <row r="207" ht="15.75" customHeight="1">
      <c r="B207" s="86">
        <v>46262.0</v>
      </c>
      <c r="C207" s="65">
        <v>29675.0</v>
      </c>
      <c r="D207" s="65" t="s">
        <v>4251</v>
      </c>
      <c r="E207" s="87">
        <v>899.9</v>
      </c>
      <c r="F207" s="87">
        <v>3599.6</v>
      </c>
      <c r="G207" s="65" t="s">
        <v>4404</v>
      </c>
      <c r="H207" s="65" t="s">
        <v>1972</v>
      </c>
      <c r="I207" s="65" t="s">
        <v>32</v>
      </c>
      <c r="J207" s="65" t="s">
        <v>34</v>
      </c>
      <c r="K207" s="65"/>
      <c r="L207" s="65" t="s">
        <v>96</v>
      </c>
      <c r="M207" s="89">
        <v>31.0</v>
      </c>
      <c r="N207" s="93" t="s">
        <v>194</v>
      </c>
      <c r="O207" s="42" t="b">
        <v>0</v>
      </c>
      <c r="P207" s="44"/>
      <c r="Q207" s="34"/>
      <c r="R207" s="34"/>
      <c r="S207" s="34"/>
      <c r="T207" s="34"/>
    </row>
    <row r="208" ht="15.75" customHeight="1">
      <c r="B208" s="86">
        <v>46262.0</v>
      </c>
      <c r="C208" s="65">
        <v>22014.0</v>
      </c>
      <c r="D208" s="65" t="s">
        <v>4224</v>
      </c>
      <c r="E208" s="87">
        <v>72.0</v>
      </c>
      <c r="F208" s="87">
        <v>3456.0</v>
      </c>
      <c r="G208" s="65" t="s">
        <v>4411</v>
      </c>
      <c r="H208" s="65" t="s">
        <v>1456</v>
      </c>
      <c r="I208" s="65" t="s">
        <v>32</v>
      </c>
      <c r="J208" s="65" t="s">
        <v>34</v>
      </c>
      <c r="K208" s="65"/>
      <c r="L208" s="65" t="s">
        <v>279</v>
      </c>
      <c r="M208" s="89">
        <v>31.0</v>
      </c>
      <c r="N208" s="90">
        <v>46265.0</v>
      </c>
      <c r="O208" s="42" t="b">
        <v>0</v>
      </c>
      <c r="P208" s="44"/>
      <c r="Q208" s="34"/>
      <c r="R208" s="34"/>
      <c r="S208" s="34"/>
      <c r="T208" s="34"/>
    </row>
    <row r="209" ht="15.75" customHeight="1">
      <c r="B209" s="86">
        <v>46262.0</v>
      </c>
      <c r="C209" s="65" t="s">
        <v>35</v>
      </c>
      <c r="D209" s="65">
        <v>1.0</v>
      </c>
      <c r="E209" s="87">
        <v>5250.0</v>
      </c>
      <c r="F209" s="87">
        <v>5250.0</v>
      </c>
      <c r="G209" s="65" t="s">
        <v>4414</v>
      </c>
      <c r="H209" s="65"/>
      <c r="I209" s="65" t="s">
        <v>221</v>
      </c>
      <c r="J209" s="65" t="s">
        <v>34</v>
      </c>
      <c r="K209" s="65"/>
      <c r="L209" s="65" t="s">
        <v>3576</v>
      </c>
      <c r="M209" s="89">
        <v>31.0</v>
      </c>
      <c r="N209" s="90">
        <v>46265.0</v>
      </c>
      <c r="O209" s="42" t="b">
        <v>0</v>
      </c>
      <c r="P209" s="44"/>
      <c r="Q209" s="34"/>
      <c r="R209" s="34"/>
      <c r="S209" s="34"/>
      <c r="T209" s="34"/>
    </row>
    <row r="210" ht="15.75" customHeight="1">
      <c r="B210" s="86">
        <v>46262.0</v>
      </c>
      <c r="C210" s="65" t="s">
        <v>35</v>
      </c>
      <c r="D210" s="65">
        <v>1.0</v>
      </c>
      <c r="E210" s="87">
        <v>4900.0</v>
      </c>
      <c r="F210" s="87">
        <v>4900.0</v>
      </c>
      <c r="G210" s="65" t="s">
        <v>4417</v>
      </c>
      <c r="H210" s="65"/>
      <c r="I210" s="65" t="s">
        <v>221</v>
      </c>
      <c r="J210" s="65" t="s">
        <v>34</v>
      </c>
      <c r="K210" s="65"/>
      <c r="L210" s="65" t="s">
        <v>3576</v>
      </c>
      <c r="M210" s="89">
        <v>31.0</v>
      </c>
      <c r="N210" s="90">
        <v>46265.0</v>
      </c>
      <c r="O210" s="42" t="b">
        <v>0</v>
      </c>
      <c r="P210" s="44"/>
      <c r="Q210" s="34"/>
      <c r="R210" s="34"/>
      <c r="S210" s="34"/>
      <c r="T210" s="34"/>
    </row>
    <row r="211" ht="15.75" customHeight="1">
      <c r="B211" s="86">
        <v>46262.0</v>
      </c>
      <c r="C211" s="65" t="s">
        <v>35</v>
      </c>
      <c r="D211" s="65">
        <v>1.0</v>
      </c>
      <c r="E211" s="87">
        <v>4000.0</v>
      </c>
      <c r="F211" s="87">
        <v>4000.0</v>
      </c>
      <c r="G211" s="65" t="s">
        <v>4420</v>
      </c>
      <c r="H211" s="65"/>
      <c r="I211" s="65" t="s">
        <v>221</v>
      </c>
      <c r="J211" s="65" t="s">
        <v>34</v>
      </c>
      <c r="K211" s="65"/>
      <c r="L211" s="65" t="s">
        <v>3576</v>
      </c>
      <c r="M211" s="89">
        <v>31.0</v>
      </c>
      <c r="N211" s="90">
        <v>46265.0</v>
      </c>
      <c r="O211" s="42" t="b">
        <v>0</v>
      </c>
      <c r="P211" s="44"/>
      <c r="Q211" s="34"/>
      <c r="R211" s="34"/>
      <c r="S211" s="34"/>
      <c r="T211" s="34"/>
    </row>
    <row r="212" ht="15.75" customHeight="1">
      <c r="B212" s="86">
        <v>46262.0</v>
      </c>
      <c r="C212" s="65">
        <v>8704.0</v>
      </c>
      <c r="D212" s="65">
        <v>12.0</v>
      </c>
      <c r="E212" s="87">
        <v>31.5</v>
      </c>
      <c r="F212" s="87">
        <v>378.0</v>
      </c>
      <c r="G212" s="65" t="s">
        <v>4423</v>
      </c>
      <c r="H212" s="65" t="s">
        <v>2995</v>
      </c>
      <c r="I212" s="65" t="s">
        <v>32</v>
      </c>
      <c r="J212" s="65" t="s">
        <v>34</v>
      </c>
      <c r="K212" s="65"/>
      <c r="L212" s="65" t="s">
        <v>241</v>
      </c>
      <c r="M212" s="89">
        <v>31.0</v>
      </c>
      <c r="N212" s="90">
        <v>46268.0</v>
      </c>
      <c r="O212" s="42" t="b">
        <v>0</v>
      </c>
      <c r="P212" s="44"/>
      <c r="Q212" s="34"/>
      <c r="R212" s="34"/>
      <c r="S212" s="34"/>
      <c r="T212" s="34"/>
    </row>
    <row r="213" ht="15.75" customHeight="1">
      <c r="B213" s="86">
        <v>46262.0</v>
      </c>
      <c r="C213" s="65">
        <v>8704.0</v>
      </c>
      <c r="D213" s="65">
        <v>100.0</v>
      </c>
      <c r="E213" s="87">
        <v>3.6</v>
      </c>
      <c r="F213" s="87">
        <v>360.0</v>
      </c>
      <c r="G213" s="65" t="s">
        <v>4426</v>
      </c>
      <c r="H213" s="65" t="s">
        <v>4427</v>
      </c>
      <c r="I213" s="65" t="s">
        <v>32</v>
      </c>
      <c r="J213" s="65" t="s">
        <v>34</v>
      </c>
      <c r="K213" s="65"/>
      <c r="L213" s="65" t="s">
        <v>241</v>
      </c>
      <c r="M213" s="89">
        <v>31.0</v>
      </c>
      <c r="N213" s="90">
        <v>46268.0</v>
      </c>
      <c r="O213" s="42" t="b">
        <v>0</v>
      </c>
      <c r="P213" s="44"/>
      <c r="Q213" s="34"/>
      <c r="R213" s="34"/>
      <c r="S213" s="34"/>
      <c r="T213" s="34"/>
    </row>
    <row r="214" ht="15.75" customHeight="1">
      <c r="B214" s="86">
        <v>46262.0</v>
      </c>
      <c r="C214" s="65">
        <v>9749.0</v>
      </c>
      <c r="D214" s="65">
        <v>6.0</v>
      </c>
      <c r="E214" s="87">
        <v>1170.0</v>
      </c>
      <c r="F214" s="87">
        <v>7020.0</v>
      </c>
      <c r="G214" s="65" t="s">
        <v>4430</v>
      </c>
      <c r="H214" s="65"/>
      <c r="I214" s="65" t="s">
        <v>59</v>
      </c>
      <c r="J214" s="65" t="s">
        <v>34</v>
      </c>
      <c r="K214" s="65"/>
      <c r="L214" s="65" t="s">
        <v>46</v>
      </c>
      <c r="M214" s="89">
        <v>31.0</v>
      </c>
      <c r="N214" s="93" t="s">
        <v>194</v>
      </c>
      <c r="O214" s="42" t="b">
        <v>0</v>
      </c>
      <c r="P214" s="44"/>
      <c r="Q214" s="34"/>
      <c r="R214" s="34"/>
      <c r="S214" s="34"/>
      <c r="T214" s="34"/>
    </row>
    <row r="215" ht="15.75" customHeight="1">
      <c r="B215" s="86">
        <v>46265.0</v>
      </c>
      <c r="C215" s="65">
        <v>2462.0</v>
      </c>
      <c r="D215" s="65">
        <v>120.0</v>
      </c>
      <c r="E215" s="87">
        <v>76.9</v>
      </c>
      <c r="F215" s="87">
        <v>9228.0</v>
      </c>
      <c r="G215" s="65" t="s">
        <v>2883</v>
      </c>
      <c r="H215" s="65"/>
      <c r="I215" s="65" t="s">
        <v>32</v>
      </c>
      <c r="J215" s="65" t="s">
        <v>40</v>
      </c>
      <c r="K215" s="65" t="s">
        <v>4436</v>
      </c>
      <c r="L215" s="65" t="s">
        <v>4437</v>
      </c>
      <c r="M215" s="89">
        <v>31.0</v>
      </c>
      <c r="N215" s="90">
        <v>46269.0</v>
      </c>
      <c r="O215" s="42" t="b">
        <v>0</v>
      </c>
      <c r="P215" s="44"/>
      <c r="Q215" s="34"/>
      <c r="R215" s="34"/>
      <c r="S215" s="34"/>
      <c r="T215" s="34"/>
    </row>
    <row r="216" ht="15.75" customHeight="1">
      <c r="B216" s="86">
        <v>46265.0</v>
      </c>
      <c r="C216" s="65">
        <v>604.0</v>
      </c>
      <c r="D216" s="65">
        <v>500.0</v>
      </c>
      <c r="E216" s="87">
        <v>24.0</v>
      </c>
      <c r="F216" s="87">
        <v>12000.0</v>
      </c>
      <c r="G216" s="65" t="s">
        <v>4440</v>
      </c>
      <c r="H216" s="65"/>
      <c r="I216" s="65" t="s">
        <v>32</v>
      </c>
      <c r="J216" s="65" t="s">
        <v>34</v>
      </c>
      <c r="K216" s="65" t="s">
        <v>4442</v>
      </c>
      <c r="L216" s="65" t="s">
        <v>4443</v>
      </c>
      <c r="M216" s="89">
        <v>1.0</v>
      </c>
      <c r="N216" s="90">
        <v>46267.0</v>
      </c>
      <c r="O216" s="42" t="b">
        <v>0</v>
      </c>
      <c r="P216" s="44">
        <v>46267.0</v>
      </c>
      <c r="Q216" s="34"/>
      <c r="R216" s="44"/>
      <c r="S216" s="34"/>
      <c r="T216" s="34"/>
    </row>
    <row r="217" ht="15.75" customHeight="1">
      <c r="B217" s="86">
        <v>46265.0</v>
      </c>
      <c r="C217" s="65">
        <v>604.0</v>
      </c>
      <c r="D217" s="65">
        <v>1000.0</v>
      </c>
      <c r="E217" s="87">
        <v>29.0</v>
      </c>
      <c r="F217" s="87">
        <v>29000.0</v>
      </c>
      <c r="G217" s="65" t="s">
        <v>4446</v>
      </c>
      <c r="H217" s="65"/>
      <c r="I217" s="65" t="s">
        <v>32</v>
      </c>
      <c r="J217" s="65" t="s">
        <v>34</v>
      </c>
      <c r="K217" s="65" t="s">
        <v>4442</v>
      </c>
      <c r="L217" s="65" t="s">
        <v>4443</v>
      </c>
      <c r="M217" s="89">
        <v>1.0</v>
      </c>
      <c r="N217" s="90">
        <v>46267.0</v>
      </c>
      <c r="O217" s="42" t="b">
        <v>0</v>
      </c>
      <c r="P217" s="44">
        <v>46267.0</v>
      </c>
      <c r="Q217" s="34"/>
      <c r="R217" s="33"/>
      <c r="S217" s="34"/>
      <c r="T217" s="34"/>
    </row>
    <row r="218" ht="15.75" customHeight="1">
      <c r="B218" s="86">
        <v>46265.0</v>
      </c>
      <c r="C218" s="65"/>
      <c r="D218" s="65">
        <v>2.0</v>
      </c>
      <c r="E218" s="87">
        <v>6100.0</v>
      </c>
      <c r="F218" s="87">
        <v>12200.0</v>
      </c>
      <c r="G218" s="65" t="s">
        <v>4450</v>
      </c>
      <c r="H218" s="65"/>
      <c r="I218" s="65" t="s">
        <v>41</v>
      </c>
      <c r="J218" s="65" t="s">
        <v>34</v>
      </c>
      <c r="K218" s="65"/>
      <c r="L218" s="65" t="s">
        <v>2251</v>
      </c>
      <c r="M218" s="89" t="s">
        <v>3464</v>
      </c>
      <c r="N218" s="90">
        <v>46267.0</v>
      </c>
      <c r="O218" s="42" t="b">
        <v>0</v>
      </c>
      <c r="P218" s="44"/>
      <c r="Q218" s="34"/>
      <c r="R218" s="34"/>
      <c r="S218" s="34"/>
      <c r="T218" s="34"/>
    </row>
    <row r="219" ht="15.75" customHeight="1">
      <c r="B219" s="86">
        <v>46265.0</v>
      </c>
      <c r="C219" s="65"/>
      <c r="D219" s="65">
        <v>2.0</v>
      </c>
      <c r="E219" s="87">
        <v>4000.0</v>
      </c>
      <c r="F219" s="87">
        <v>8000.0</v>
      </c>
      <c r="G219" s="65" t="s">
        <v>4453</v>
      </c>
      <c r="H219" s="65"/>
      <c r="I219" s="65" t="s">
        <v>3823</v>
      </c>
      <c r="J219" s="65" t="s">
        <v>34</v>
      </c>
      <c r="K219" s="65"/>
      <c r="L219" s="65" t="s">
        <v>2251</v>
      </c>
      <c r="M219" s="89" t="s">
        <v>3464</v>
      </c>
      <c r="N219" s="90">
        <v>46267.0</v>
      </c>
      <c r="O219" s="42" t="b">
        <v>0</v>
      </c>
      <c r="P219" s="44">
        <v>46275.0</v>
      </c>
      <c r="Q219" s="34"/>
      <c r="R219" s="34"/>
      <c r="S219" s="34"/>
      <c r="T219" s="34"/>
    </row>
    <row r="220" ht="15.75" customHeight="1">
      <c r="B220" s="86">
        <v>46265.0</v>
      </c>
      <c r="C220" s="65"/>
      <c r="D220" s="65">
        <v>5.0</v>
      </c>
      <c r="E220" s="87">
        <v>299.9</v>
      </c>
      <c r="F220" s="87">
        <v>1499.5</v>
      </c>
      <c r="G220" s="65" t="s">
        <v>4455</v>
      </c>
      <c r="H220" s="65" t="s">
        <v>1327</v>
      </c>
      <c r="I220" s="65" t="s">
        <v>240</v>
      </c>
      <c r="J220" s="65" t="s">
        <v>3254</v>
      </c>
      <c r="K220" s="65"/>
      <c r="L220" s="65" t="s">
        <v>96</v>
      </c>
      <c r="M220" s="89">
        <v>1.0</v>
      </c>
      <c r="N220" s="90">
        <v>46269.0</v>
      </c>
      <c r="O220" s="42" t="b">
        <v>0</v>
      </c>
      <c r="P220" s="44"/>
      <c r="Q220" s="34"/>
      <c r="R220" s="34"/>
      <c r="S220" s="34"/>
      <c r="T220" s="34"/>
    </row>
    <row r="221" ht="15.75" customHeight="1">
      <c r="B221" s="86">
        <v>46265.0</v>
      </c>
      <c r="C221" s="65">
        <v>19798.0</v>
      </c>
      <c r="D221" s="65">
        <v>195.0</v>
      </c>
      <c r="E221" s="87">
        <v>285.0</v>
      </c>
      <c r="F221" s="87">
        <v>55575.0</v>
      </c>
      <c r="G221" s="65" t="s">
        <v>4458</v>
      </c>
      <c r="H221" s="65"/>
      <c r="I221" s="65" t="s">
        <v>41</v>
      </c>
      <c r="J221" s="65" t="s">
        <v>34</v>
      </c>
      <c r="K221" s="65"/>
      <c r="L221" s="65" t="s">
        <v>87</v>
      </c>
      <c r="M221" s="89">
        <v>31.0</v>
      </c>
      <c r="N221" s="90">
        <v>46266.0</v>
      </c>
      <c r="O221" s="42" t="b">
        <v>0</v>
      </c>
      <c r="P221" s="44">
        <v>46267.0</v>
      </c>
      <c r="Q221" s="34"/>
      <c r="R221" s="34"/>
      <c r="S221" s="34"/>
      <c r="T221" s="34"/>
    </row>
    <row r="222" ht="15.75" customHeight="1">
      <c r="B222" s="92">
        <v>46265.0</v>
      </c>
      <c r="C222" s="65">
        <v>29984.0</v>
      </c>
      <c r="D222" s="65" t="s">
        <v>4463</v>
      </c>
      <c r="E222" s="87" t="s">
        <v>35</v>
      </c>
      <c r="F222" s="87">
        <v>1949.6</v>
      </c>
      <c r="G222" s="65" t="s">
        <v>4466</v>
      </c>
      <c r="H222" s="65" t="s">
        <v>4467</v>
      </c>
      <c r="I222" s="65" t="s">
        <v>32</v>
      </c>
      <c r="J222" s="65" t="s">
        <v>34</v>
      </c>
      <c r="K222" s="65"/>
      <c r="L222" s="65" t="s">
        <v>96</v>
      </c>
      <c r="M222" s="89">
        <v>1.0</v>
      </c>
      <c r="N222" s="90">
        <v>46267.0</v>
      </c>
      <c r="O222" s="42" t="b">
        <v>0</v>
      </c>
      <c r="P222" s="44"/>
      <c r="Q222" s="34"/>
      <c r="R222" s="34"/>
      <c r="S222" s="34"/>
      <c r="T222" s="34"/>
    </row>
    <row r="223" ht="15.75" customHeight="1">
      <c r="B223" s="48">
        <v>46265.0</v>
      </c>
      <c r="C223" s="65"/>
      <c r="D223" s="65">
        <v>2000.0</v>
      </c>
      <c r="E223" s="87">
        <v>75.0</v>
      </c>
      <c r="F223" s="87">
        <v>150000.0</v>
      </c>
      <c r="G223" s="65" t="s">
        <v>4470</v>
      </c>
      <c r="H223" s="65"/>
      <c r="I223" s="65" t="s">
        <v>41</v>
      </c>
      <c r="J223" s="65" t="s">
        <v>34</v>
      </c>
      <c r="K223" s="65"/>
      <c r="L223" s="65" t="s">
        <v>3812</v>
      </c>
      <c r="M223" s="89">
        <v>31.0</v>
      </c>
      <c r="N223" s="90">
        <v>46267.0</v>
      </c>
      <c r="O223" s="42" t="b">
        <v>0</v>
      </c>
      <c r="P223" s="44">
        <v>46265.0</v>
      </c>
      <c r="Q223" s="34"/>
      <c r="R223" s="34"/>
      <c r="S223" s="34"/>
      <c r="T223" s="34"/>
    </row>
    <row r="224" ht="15.75" customHeight="1">
      <c r="B224" s="86">
        <v>46265.0</v>
      </c>
      <c r="C224" s="65">
        <v>96876.0</v>
      </c>
      <c r="D224" s="65">
        <v>500.0</v>
      </c>
      <c r="E224" s="87">
        <v>5.4</v>
      </c>
      <c r="F224" s="87">
        <v>2700.0</v>
      </c>
      <c r="G224" s="65" t="s">
        <v>3894</v>
      </c>
      <c r="H224" s="65" t="s">
        <v>2579</v>
      </c>
      <c r="I224" s="65" t="s">
        <v>41</v>
      </c>
      <c r="J224" s="65" t="s">
        <v>34</v>
      </c>
      <c r="K224" s="65"/>
      <c r="L224" s="65" t="s">
        <v>1250</v>
      </c>
      <c r="M224" s="89">
        <v>31.0</v>
      </c>
      <c r="N224" s="90"/>
      <c r="O224" s="42" t="b">
        <v>0</v>
      </c>
      <c r="P224" s="44"/>
      <c r="Q224" s="34"/>
      <c r="R224" s="34"/>
      <c r="S224" s="34"/>
      <c r="T224" s="34"/>
    </row>
    <row r="225" ht="15.75" customHeight="1">
      <c r="B225" s="86">
        <v>46265.0</v>
      </c>
      <c r="C225" s="65">
        <v>252302.0</v>
      </c>
      <c r="D225" s="65">
        <v>5.0</v>
      </c>
      <c r="E225" s="87">
        <v>85.0</v>
      </c>
      <c r="F225" s="87">
        <v>425.0</v>
      </c>
      <c r="G225" s="65" t="s">
        <v>4475</v>
      </c>
      <c r="H225" s="65"/>
      <c r="I225" s="65" t="s">
        <v>175</v>
      </c>
      <c r="J225" s="65" t="s">
        <v>34</v>
      </c>
      <c r="K225" s="65"/>
      <c r="L225" s="65" t="s">
        <v>446</v>
      </c>
      <c r="M225" s="89">
        <v>31.0</v>
      </c>
      <c r="N225" s="90"/>
      <c r="O225" s="42" t="b">
        <v>0</v>
      </c>
      <c r="P225" s="44"/>
      <c r="Q225" s="34"/>
      <c r="R225" s="34"/>
      <c r="S225" s="34"/>
      <c r="T225" s="34"/>
    </row>
    <row r="226" ht="15.75" customHeight="1">
      <c r="B226" s="86"/>
      <c r="C226" s="65"/>
      <c r="D226" s="65"/>
      <c r="E226" s="87"/>
      <c r="F226" s="88"/>
      <c r="G226" s="65"/>
      <c r="H226" s="65"/>
      <c r="I226" s="65"/>
      <c r="J226" s="65"/>
      <c r="K226" s="65"/>
      <c r="L226" s="65"/>
      <c r="M226" s="89"/>
      <c r="N226" s="90"/>
      <c r="O226" s="42" t="b">
        <v>0</v>
      </c>
      <c r="P226" s="44"/>
      <c r="Q226" s="34"/>
      <c r="R226" s="34"/>
      <c r="S226" s="34"/>
      <c r="T226" s="35"/>
    </row>
    <row r="227" ht="15.75" customHeight="1">
      <c r="B227" s="86"/>
      <c r="C227" s="65"/>
      <c r="D227" s="65"/>
      <c r="E227" s="87"/>
      <c r="F227" s="88"/>
      <c r="G227" s="65"/>
      <c r="H227" s="65"/>
      <c r="I227" s="65"/>
      <c r="J227" s="65"/>
      <c r="K227" s="65"/>
      <c r="L227" s="65"/>
      <c r="M227" s="89"/>
      <c r="N227" s="90"/>
      <c r="O227" s="42" t="b">
        <v>0</v>
      </c>
      <c r="P227" s="44"/>
      <c r="Q227" s="34"/>
      <c r="R227" s="34"/>
      <c r="S227" s="34"/>
      <c r="T227" s="34"/>
    </row>
    <row r="228" ht="15.75" customHeight="1">
      <c r="B228" s="86"/>
      <c r="C228" s="65"/>
      <c r="D228" s="65"/>
      <c r="E228" s="87"/>
      <c r="F228" s="88"/>
      <c r="G228" s="65"/>
      <c r="H228" s="65"/>
      <c r="I228" s="65"/>
      <c r="J228" s="65"/>
      <c r="K228" s="65"/>
      <c r="L228" s="65"/>
      <c r="M228" s="89"/>
      <c r="N228" s="90"/>
      <c r="O228" s="42" t="b">
        <v>0</v>
      </c>
      <c r="P228" s="44"/>
      <c r="Q228" s="34"/>
      <c r="R228" s="34"/>
      <c r="S228" s="34"/>
      <c r="T228" s="34"/>
    </row>
    <row r="229" ht="15.75" customHeight="1">
      <c r="B229" s="86"/>
      <c r="C229" s="65"/>
      <c r="D229" s="65"/>
      <c r="E229" s="87"/>
      <c r="F229" s="88"/>
      <c r="G229" s="65"/>
      <c r="H229" s="65"/>
      <c r="I229" s="65"/>
      <c r="J229" s="65"/>
      <c r="K229" s="65"/>
      <c r="L229" s="65"/>
      <c r="M229" s="89"/>
      <c r="N229" s="90"/>
      <c r="O229" s="42" t="b">
        <v>0</v>
      </c>
      <c r="P229" s="44"/>
      <c r="Q229" s="34"/>
      <c r="R229" s="34"/>
      <c r="S229" s="34"/>
      <c r="T229" s="34"/>
    </row>
    <row r="230" ht="15.75" customHeight="1">
      <c r="B230" s="86"/>
      <c r="C230" s="65"/>
      <c r="D230" s="65"/>
      <c r="E230" s="87"/>
      <c r="F230" s="88"/>
      <c r="G230" s="65"/>
      <c r="H230" s="65"/>
      <c r="I230" s="65"/>
      <c r="J230" s="65"/>
      <c r="K230" s="65"/>
      <c r="L230" s="65"/>
      <c r="M230" s="89"/>
      <c r="N230" s="90"/>
      <c r="O230" s="42" t="b">
        <v>0</v>
      </c>
      <c r="P230" s="44"/>
      <c r="Q230" s="34"/>
      <c r="R230" s="34"/>
      <c r="S230" s="34"/>
      <c r="T230" s="34"/>
    </row>
    <row r="231" ht="15.75" customHeight="1">
      <c r="B231" s="86"/>
      <c r="C231" s="65"/>
      <c r="D231" s="65"/>
      <c r="E231" s="87"/>
      <c r="F231" s="88"/>
      <c r="G231" s="65"/>
      <c r="H231" s="65"/>
      <c r="I231" s="65"/>
      <c r="J231" s="65"/>
      <c r="K231" s="65"/>
      <c r="L231" s="65"/>
      <c r="M231" s="89"/>
      <c r="N231" s="90"/>
      <c r="O231" s="42" t="b">
        <v>0</v>
      </c>
      <c r="P231" s="44"/>
      <c r="Q231" s="34"/>
      <c r="R231" s="34"/>
      <c r="S231" s="34"/>
      <c r="T231" s="34"/>
    </row>
    <row r="232" ht="15.75" customHeight="1">
      <c r="B232" s="86"/>
      <c r="C232" s="65"/>
      <c r="D232" s="65"/>
      <c r="E232" s="87"/>
      <c r="F232" s="88"/>
      <c r="G232" s="65"/>
      <c r="H232" s="65"/>
      <c r="I232" s="65"/>
      <c r="J232" s="65"/>
      <c r="K232" s="65"/>
      <c r="L232" s="65"/>
      <c r="M232" s="89"/>
      <c r="N232" s="90"/>
      <c r="O232" s="42" t="b">
        <v>0</v>
      </c>
      <c r="P232" s="44"/>
      <c r="Q232" s="34"/>
      <c r="R232" s="34"/>
      <c r="S232" s="34"/>
      <c r="T232" s="34"/>
    </row>
    <row r="233" ht="15.75" customHeight="1">
      <c r="B233" s="86"/>
      <c r="C233" s="65"/>
      <c r="D233" s="65"/>
      <c r="E233" s="87"/>
      <c r="F233" s="88"/>
      <c r="G233" s="65"/>
      <c r="H233" s="65"/>
      <c r="I233" s="65"/>
      <c r="J233" s="65"/>
      <c r="K233" s="65"/>
      <c r="L233" s="65"/>
      <c r="M233" s="89"/>
      <c r="N233" s="90"/>
      <c r="O233" s="42" t="b">
        <v>0</v>
      </c>
      <c r="P233" s="44"/>
      <c r="Q233" s="34"/>
      <c r="R233" s="33"/>
      <c r="S233" s="34"/>
      <c r="T233" s="35"/>
    </row>
    <row r="234" ht="15.75" customHeight="1">
      <c r="B234" s="86"/>
      <c r="C234" s="65"/>
      <c r="D234" s="65"/>
      <c r="E234" s="87"/>
      <c r="F234" s="88"/>
      <c r="G234" s="65"/>
      <c r="H234" s="65"/>
      <c r="I234" s="65"/>
      <c r="J234" s="65"/>
      <c r="K234" s="65"/>
      <c r="L234" s="65"/>
      <c r="M234" s="89"/>
      <c r="N234" s="90"/>
      <c r="O234" s="42" t="b">
        <v>0</v>
      </c>
      <c r="P234" s="44"/>
      <c r="Q234" s="34"/>
      <c r="R234" s="33"/>
      <c r="S234" s="34"/>
      <c r="T234" s="34"/>
    </row>
    <row r="235" ht="15.75" customHeight="1">
      <c r="B235" s="86"/>
      <c r="C235" s="65"/>
      <c r="D235" s="65"/>
      <c r="E235" s="87"/>
      <c r="F235" s="88"/>
      <c r="G235" s="65"/>
      <c r="H235" s="65"/>
      <c r="I235" s="65"/>
      <c r="J235" s="65"/>
      <c r="K235" s="65"/>
      <c r="L235" s="65"/>
      <c r="M235" s="89"/>
      <c r="N235" s="90"/>
      <c r="O235" s="42" t="b">
        <v>0</v>
      </c>
      <c r="P235" s="44"/>
      <c r="Q235" s="34"/>
      <c r="R235" s="34"/>
      <c r="S235" s="34"/>
      <c r="T235" s="34"/>
    </row>
    <row r="236" ht="15.75" customHeight="1">
      <c r="B236" s="86"/>
      <c r="C236" s="65"/>
      <c r="D236" s="65"/>
      <c r="E236" s="87"/>
      <c r="F236" s="88"/>
      <c r="G236" s="65"/>
      <c r="H236" s="65"/>
      <c r="I236" s="65"/>
      <c r="J236" s="65"/>
      <c r="K236" s="65"/>
      <c r="L236" s="65"/>
      <c r="M236" s="89"/>
      <c r="N236" s="90"/>
      <c r="O236" s="42" t="b">
        <v>0</v>
      </c>
      <c r="P236" s="44"/>
      <c r="Q236" s="34"/>
      <c r="R236" s="34"/>
      <c r="S236" s="34"/>
      <c r="T236" s="34"/>
    </row>
    <row r="237" ht="15.0" customHeight="1">
      <c r="B237" s="86"/>
      <c r="C237" s="65"/>
      <c r="D237" s="65"/>
      <c r="E237" s="87"/>
      <c r="F237" s="88"/>
      <c r="G237" s="65"/>
      <c r="H237" s="65"/>
      <c r="I237" s="65"/>
      <c r="J237" s="65"/>
      <c r="K237" s="65"/>
      <c r="L237" s="65"/>
      <c r="M237" s="89"/>
      <c r="N237" s="90"/>
      <c r="O237" s="42" t="b">
        <v>0</v>
      </c>
      <c r="P237" s="44"/>
      <c r="Q237" s="34"/>
      <c r="R237" s="34"/>
      <c r="S237" s="34"/>
      <c r="T237" s="34"/>
    </row>
    <row r="238" ht="15.75" customHeight="1">
      <c r="B238" s="86"/>
      <c r="C238" s="65"/>
      <c r="D238" s="65"/>
      <c r="E238" s="87"/>
      <c r="F238" s="88"/>
      <c r="G238" s="65"/>
      <c r="H238" s="65"/>
      <c r="I238" s="65"/>
      <c r="J238" s="65"/>
      <c r="K238" s="65"/>
      <c r="L238" s="65"/>
      <c r="M238" s="89"/>
      <c r="N238" s="90"/>
      <c r="O238" s="42" t="b">
        <v>0</v>
      </c>
      <c r="P238" s="44"/>
      <c r="Q238" s="34"/>
      <c r="R238" s="34"/>
      <c r="S238" s="34"/>
      <c r="T238" s="34"/>
    </row>
    <row r="239" ht="15.75" customHeight="1">
      <c r="B239" s="86"/>
      <c r="C239" s="65"/>
      <c r="D239" s="65"/>
      <c r="E239" s="87"/>
      <c r="F239" s="88"/>
      <c r="G239" s="65"/>
      <c r="H239" s="65"/>
      <c r="I239" s="65"/>
      <c r="J239" s="65"/>
      <c r="K239" s="65"/>
      <c r="L239" s="65"/>
      <c r="M239" s="89"/>
      <c r="N239" s="90"/>
      <c r="O239" s="42" t="b">
        <v>0</v>
      </c>
      <c r="P239" s="44"/>
      <c r="Q239" s="34"/>
      <c r="R239" s="34"/>
      <c r="S239" s="34"/>
      <c r="T239" s="34"/>
    </row>
    <row r="240" ht="15.75" customHeight="1">
      <c r="B240" s="86"/>
      <c r="C240" s="65"/>
      <c r="D240" s="65"/>
      <c r="E240" s="87"/>
      <c r="F240" s="88"/>
      <c r="G240" s="65"/>
      <c r="H240" s="65"/>
      <c r="I240" s="65"/>
      <c r="J240" s="65"/>
      <c r="K240" s="65"/>
      <c r="L240" s="65"/>
      <c r="M240" s="89"/>
      <c r="N240" s="90"/>
      <c r="O240" s="42" t="b">
        <v>0</v>
      </c>
      <c r="P240" s="44"/>
      <c r="Q240" s="34"/>
      <c r="R240" s="34"/>
      <c r="S240" s="34"/>
      <c r="T240" s="34"/>
    </row>
    <row r="241" ht="15.75" customHeight="1">
      <c r="B241" s="86"/>
      <c r="C241" s="65"/>
      <c r="D241" s="65"/>
      <c r="E241" s="87"/>
      <c r="F241" s="88"/>
      <c r="G241" s="65"/>
      <c r="H241" s="65"/>
      <c r="I241" s="65"/>
      <c r="J241" s="65"/>
      <c r="K241" s="65"/>
      <c r="L241" s="65"/>
      <c r="M241" s="89"/>
      <c r="N241" s="90"/>
      <c r="O241" s="42" t="b">
        <v>0</v>
      </c>
      <c r="P241" s="44"/>
      <c r="Q241" s="34"/>
      <c r="R241" s="34"/>
      <c r="S241" s="34"/>
      <c r="T241" s="34"/>
    </row>
    <row r="242" ht="15.75" customHeight="1">
      <c r="B242" s="86"/>
      <c r="C242" s="65"/>
      <c r="D242" s="65"/>
      <c r="E242" s="87"/>
      <c r="F242" s="88"/>
      <c r="G242" s="65"/>
      <c r="H242" s="65"/>
      <c r="I242" s="65"/>
      <c r="J242" s="65"/>
      <c r="K242" s="65"/>
      <c r="L242" s="65"/>
      <c r="M242" s="89"/>
      <c r="N242" s="128"/>
      <c r="O242" s="42" t="b">
        <v>0</v>
      </c>
      <c r="P242" s="44"/>
      <c r="Q242" s="34"/>
      <c r="R242" s="34"/>
      <c r="S242" s="34"/>
      <c r="T242" s="34"/>
    </row>
    <row r="243" ht="15.75" customHeight="1">
      <c r="B243" s="86"/>
      <c r="C243" s="65"/>
      <c r="D243" s="65"/>
      <c r="E243" s="87"/>
      <c r="F243" s="88"/>
      <c r="G243" s="65"/>
      <c r="H243" s="65"/>
      <c r="I243" s="65"/>
      <c r="J243" s="65"/>
      <c r="K243" s="65"/>
      <c r="L243" s="65"/>
      <c r="M243" s="89"/>
      <c r="N243" s="90"/>
      <c r="O243" s="42" t="b">
        <v>0</v>
      </c>
      <c r="P243" s="44"/>
      <c r="Q243" s="34"/>
      <c r="R243" s="34"/>
      <c r="S243" s="34"/>
      <c r="T243" s="34"/>
    </row>
    <row r="244" ht="15.75" customHeight="1">
      <c r="B244" s="86"/>
      <c r="C244" s="65"/>
      <c r="D244" s="65"/>
      <c r="E244" s="87"/>
      <c r="F244" s="88"/>
      <c r="G244" s="65"/>
      <c r="H244" s="65"/>
      <c r="I244" s="65"/>
      <c r="J244" s="65"/>
      <c r="K244" s="65"/>
      <c r="L244" s="65"/>
      <c r="M244" s="89"/>
      <c r="N244" s="90"/>
      <c r="O244" s="42" t="b">
        <v>0</v>
      </c>
      <c r="P244" s="44"/>
      <c r="Q244" s="34"/>
      <c r="R244" s="34"/>
      <c r="S244" s="34"/>
      <c r="T244" s="34"/>
    </row>
    <row r="245" ht="15.75" customHeight="1">
      <c r="B245" s="86"/>
      <c r="C245" s="65"/>
      <c r="D245" s="65"/>
      <c r="E245" s="87"/>
      <c r="F245" s="88"/>
      <c r="G245" s="65"/>
      <c r="H245" s="65"/>
      <c r="I245" s="65"/>
      <c r="J245" s="65"/>
      <c r="K245" s="65"/>
      <c r="L245" s="65"/>
      <c r="M245" s="89"/>
      <c r="N245" s="90"/>
      <c r="O245" s="42" t="b">
        <v>0</v>
      </c>
      <c r="P245" s="44"/>
      <c r="Q245" s="34"/>
      <c r="R245" s="33"/>
      <c r="S245" s="34"/>
      <c r="T245" s="34"/>
    </row>
    <row r="246" ht="15.75" customHeight="1">
      <c r="B246" s="86"/>
      <c r="C246" s="65"/>
      <c r="D246" s="65"/>
      <c r="E246" s="87"/>
      <c r="F246" s="88"/>
      <c r="G246" s="65"/>
      <c r="H246" s="65"/>
      <c r="I246" s="65"/>
      <c r="J246" s="65"/>
      <c r="K246" s="65"/>
      <c r="L246" s="65"/>
      <c r="M246" s="89"/>
      <c r="N246" s="90"/>
      <c r="O246" s="42" t="b">
        <v>0</v>
      </c>
      <c r="P246" s="44"/>
      <c r="Q246" s="34"/>
      <c r="R246" s="33"/>
      <c r="S246" s="34"/>
      <c r="T246" s="34"/>
    </row>
    <row r="247" ht="15.75" customHeight="1">
      <c r="B247" s="86"/>
      <c r="C247" s="65"/>
      <c r="D247" s="65"/>
      <c r="E247" s="87"/>
      <c r="F247" s="88"/>
      <c r="G247" s="65"/>
      <c r="H247" s="65"/>
      <c r="I247" s="65"/>
      <c r="J247" s="65"/>
      <c r="K247" s="65"/>
      <c r="L247" s="65"/>
      <c r="M247" s="89"/>
      <c r="N247" s="90"/>
      <c r="O247" s="42" t="b">
        <v>0</v>
      </c>
      <c r="P247" s="44"/>
      <c r="Q247" s="34"/>
      <c r="R247" s="34"/>
      <c r="S247" s="34"/>
      <c r="T247" s="34"/>
    </row>
    <row r="248" ht="15.75" customHeight="1">
      <c r="B248" s="86"/>
      <c r="C248" s="65"/>
      <c r="D248" s="65"/>
      <c r="E248" s="87"/>
      <c r="F248" s="88"/>
      <c r="G248" s="65"/>
      <c r="H248" s="65"/>
      <c r="I248" s="65"/>
      <c r="J248" s="65"/>
      <c r="K248" s="65"/>
      <c r="L248" s="65"/>
      <c r="M248" s="89"/>
      <c r="N248" s="90"/>
      <c r="O248" s="42" t="b">
        <v>0</v>
      </c>
      <c r="P248" s="44"/>
      <c r="Q248" s="34"/>
      <c r="R248" s="34"/>
      <c r="S248" s="34"/>
      <c r="T248" s="34"/>
    </row>
    <row r="249" ht="15.75" customHeight="1">
      <c r="B249" s="86"/>
      <c r="C249" s="65"/>
      <c r="D249" s="65"/>
      <c r="E249" s="87"/>
      <c r="F249" s="88"/>
      <c r="G249" s="65"/>
      <c r="H249" s="65"/>
      <c r="I249" s="65"/>
      <c r="J249" s="65"/>
      <c r="K249" s="65"/>
      <c r="L249" s="65"/>
      <c r="M249" s="89"/>
      <c r="N249" s="90"/>
      <c r="O249" s="42" t="b">
        <v>0</v>
      </c>
      <c r="P249" s="44"/>
      <c r="Q249" s="34"/>
      <c r="R249" s="34"/>
      <c r="S249" s="34"/>
      <c r="T249" s="34"/>
    </row>
    <row r="250" ht="15.75" customHeight="1">
      <c r="B250" s="86"/>
      <c r="C250" s="65"/>
      <c r="D250" s="65"/>
      <c r="E250" s="87"/>
      <c r="F250" s="88"/>
      <c r="G250" s="65"/>
      <c r="H250" s="65"/>
      <c r="I250" s="65"/>
      <c r="J250" s="65"/>
      <c r="K250" s="65"/>
      <c r="L250" s="65"/>
      <c r="M250" s="89"/>
      <c r="N250" s="90"/>
      <c r="O250" s="42" t="b">
        <v>0</v>
      </c>
      <c r="P250" s="44"/>
      <c r="Q250" s="34"/>
      <c r="R250" s="34"/>
      <c r="S250" s="34"/>
      <c r="T250" s="34"/>
    </row>
    <row r="251" ht="15.75" customHeight="1">
      <c r="B251" s="86"/>
      <c r="C251" s="65"/>
      <c r="D251" s="65"/>
      <c r="E251" s="87"/>
      <c r="F251" s="88"/>
      <c r="G251" s="65"/>
      <c r="H251" s="65"/>
      <c r="I251" s="65"/>
      <c r="J251" s="65"/>
      <c r="K251" s="65"/>
      <c r="L251" s="65"/>
      <c r="M251" s="89"/>
      <c r="N251" s="90"/>
      <c r="O251" s="42" t="b">
        <v>0</v>
      </c>
      <c r="P251" s="44"/>
      <c r="Q251" s="34"/>
      <c r="R251" s="34"/>
      <c r="S251" s="34"/>
      <c r="T251" s="34"/>
    </row>
    <row r="252" ht="15.75" customHeight="1">
      <c r="B252" s="86"/>
      <c r="C252" s="65"/>
      <c r="D252" s="65"/>
      <c r="E252" s="87"/>
      <c r="F252" s="88"/>
      <c r="G252" s="65"/>
      <c r="H252" s="65"/>
      <c r="I252" s="65"/>
      <c r="J252" s="65"/>
      <c r="K252" s="65"/>
      <c r="L252" s="65"/>
      <c r="M252" s="89"/>
      <c r="N252" s="90"/>
      <c r="O252" s="42" t="b">
        <v>0</v>
      </c>
      <c r="P252" s="44"/>
      <c r="Q252" s="34"/>
      <c r="R252" s="34"/>
      <c r="S252" s="34"/>
      <c r="T252" s="34"/>
    </row>
    <row r="253" ht="15.75" customHeight="1">
      <c r="B253" s="86"/>
      <c r="C253" s="65"/>
      <c r="D253" s="65"/>
      <c r="E253" s="87"/>
      <c r="F253" s="88"/>
      <c r="G253" s="65"/>
      <c r="H253" s="65"/>
      <c r="I253" s="65"/>
      <c r="J253" s="65"/>
      <c r="K253" s="65"/>
      <c r="L253" s="65"/>
      <c r="M253" s="89"/>
      <c r="N253" s="90"/>
      <c r="O253" s="42" t="b">
        <v>0</v>
      </c>
      <c r="P253" s="44"/>
      <c r="Q253" s="34"/>
      <c r="R253" s="34"/>
      <c r="S253" s="34"/>
      <c r="T253" s="34"/>
    </row>
    <row r="254" ht="15.75" customHeight="1">
      <c r="B254" s="86"/>
      <c r="C254" s="65"/>
      <c r="D254" s="65"/>
      <c r="E254" s="87"/>
      <c r="F254" s="88"/>
      <c r="G254" s="65"/>
      <c r="H254" s="65"/>
      <c r="I254" s="65"/>
      <c r="J254" s="65"/>
      <c r="K254" s="65"/>
      <c r="L254" s="65"/>
      <c r="M254" s="89"/>
      <c r="N254" s="90"/>
      <c r="O254" s="42" t="b">
        <v>0</v>
      </c>
      <c r="P254" s="44"/>
      <c r="Q254" s="34"/>
      <c r="R254" s="34"/>
      <c r="S254" s="34"/>
      <c r="T254" s="34"/>
    </row>
    <row r="255" ht="15.75" customHeight="1">
      <c r="B255" s="86"/>
      <c r="C255" s="65"/>
      <c r="D255" s="65"/>
      <c r="E255" s="87"/>
      <c r="F255" s="88"/>
      <c r="G255" s="65"/>
      <c r="H255" s="65"/>
      <c r="I255" s="65"/>
      <c r="J255" s="65"/>
      <c r="K255" s="65"/>
      <c r="L255" s="65"/>
      <c r="M255" s="89"/>
      <c r="N255" s="90"/>
      <c r="O255" s="42" t="b">
        <v>0</v>
      </c>
      <c r="P255" s="44"/>
      <c r="Q255" s="34"/>
      <c r="R255" s="34"/>
      <c r="S255" s="34"/>
      <c r="T255" s="34"/>
    </row>
    <row r="256" ht="15.75" customHeight="1">
      <c r="B256" s="86"/>
      <c r="C256" s="65"/>
      <c r="D256" s="65"/>
      <c r="E256" s="87"/>
      <c r="F256" s="88"/>
      <c r="G256" s="65"/>
      <c r="H256" s="65"/>
      <c r="I256" s="65"/>
      <c r="J256" s="65"/>
      <c r="K256" s="65"/>
      <c r="L256" s="65"/>
      <c r="M256" s="89"/>
      <c r="N256" s="128"/>
      <c r="O256" s="42" t="b">
        <v>0</v>
      </c>
      <c r="P256" s="44"/>
      <c r="Q256" s="34"/>
      <c r="R256" s="34"/>
      <c r="S256" s="34"/>
      <c r="T256" s="34"/>
    </row>
    <row r="257" ht="15.75" customHeight="1">
      <c r="B257" s="86"/>
      <c r="C257" s="65"/>
      <c r="D257" s="65"/>
      <c r="E257" s="87"/>
      <c r="F257" s="88"/>
      <c r="G257" s="65"/>
      <c r="H257" s="65"/>
      <c r="I257" s="65"/>
      <c r="J257" s="65"/>
      <c r="K257" s="65"/>
      <c r="L257" s="65"/>
      <c r="M257" s="89"/>
      <c r="N257" s="90"/>
      <c r="O257" s="42" t="b">
        <v>0</v>
      </c>
      <c r="P257" s="44"/>
      <c r="Q257" s="34"/>
      <c r="R257" s="34"/>
      <c r="S257" s="34"/>
      <c r="T257" s="34"/>
    </row>
    <row r="258" ht="15.75" customHeight="1">
      <c r="B258" s="86"/>
      <c r="C258" s="98"/>
      <c r="D258" s="65"/>
      <c r="E258" s="87"/>
      <c r="F258" s="88"/>
      <c r="G258" s="65"/>
      <c r="H258" s="65"/>
      <c r="I258" s="65"/>
      <c r="J258" s="65"/>
      <c r="K258" s="65"/>
      <c r="L258" s="65"/>
      <c r="M258" s="89"/>
      <c r="N258" s="90"/>
      <c r="O258" s="42" t="b">
        <v>0</v>
      </c>
      <c r="P258" s="44"/>
      <c r="Q258" s="34"/>
      <c r="R258" s="34"/>
      <c r="S258" s="34"/>
      <c r="T258" s="34"/>
    </row>
    <row r="259" ht="15.75" customHeight="1">
      <c r="B259" s="86"/>
      <c r="C259" s="98"/>
      <c r="D259" s="65"/>
      <c r="E259" s="87"/>
      <c r="F259" s="88"/>
      <c r="G259" s="65"/>
      <c r="H259" s="65"/>
      <c r="I259" s="65"/>
      <c r="J259" s="65"/>
      <c r="K259" s="65"/>
      <c r="L259" s="65"/>
      <c r="M259" s="89"/>
      <c r="N259" s="90"/>
      <c r="O259" s="42" t="b">
        <v>0</v>
      </c>
      <c r="P259" s="44"/>
      <c r="Q259" s="34"/>
      <c r="R259" s="34"/>
      <c r="S259" s="34"/>
      <c r="T259" s="35"/>
    </row>
    <row r="260" ht="15.75" customHeight="1">
      <c r="B260" s="86"/>
      <c r="C260" s="65"/>
      <c r="D260" s="65"/>
      <c r="E260" s="87"/>
      <c r="F260" s="88"/>
      <c r="G260" s="65"/>
      <c r="H260" s="65"/>
      <c r="I260" s="65"/>
      <c r="J260" s="65"/>
      <c r="K260" s="65"/>
      <c r="L260" s="65"/>
      <c r="M260" s="89"/>
      <c r="N260" s="90"/>
      <c r="O260" s="42" t="b">
        <v>0</v>
      </c>
      <c r="P260" s="44"/>
      <c r="Q260" s="34"/>
      <c r="R260" s="34"/>
      <c r="S260" s="34"/>
      <c r="T260" s="35"/>
    </row>
    <row r="261" ht="15.75" customHeight="1">
      <c r="B261" s="86"/>
      <c r="C261" s="65"/>
      <c r="D261" s="65"/>
      <c r="E261" s="87"/>
      <c r="F261" s="88"/>
      <c r="G261" s="65"/>
      <c r="H261" s="65"/>
      <c r="I261" s="65"/>
      <c r="J261" s="65"/>
      <c r="K261" s="65"/>
      <c r="L261" s="65"/>
      <c r="M261" s="89"/>
      <c r="N261" s="90"/>
      <c r="O261" s="42" t="b">
        <v>0</v>
      </c>
      <c r="P261" s="44"/>
      <c r="Q261" s="34"/>
      <c r="R261" s="34"/>
      <c r="S261" s="34"/>
      <c r="T261" s="34"/>
    </row>
    <row r="262" ht="15.75" customHeight="1">
      <c r="B262" s="86"/>
      <c r="C262" s="65"/>
      <c r="D262" s="65"/>
      <c r="E262" s="87"/>
      <c r="F262" s="88"/>
      <c r="G262" s="65"/>
      <c r="H262" s="65"/>
      <c r="I262" s="65"/>
      <c r="J262" s="65"/>
      <c r="K262" s="65"/>
      <c r="L262" s="65"/>
      <c r="M262" s="89"/>
      <c r="N262" s="90"/>
      <c r="O262" s="42" t="b">
        <v>0</v>
      </c>
      <c r="P262" s="44"/>
      <c r="Q262" s="34"/>
      <c r="R262" s="35"/>
      <c r="S262" s="34"/>
      <c r="T262" s="34"/>
    </row>
    <row r="263" ht="15.75" customHeight="1">
      <c r="B263" s="86"/>
      <c r="C263" s="65"/>
      <c r="D263" s="65"/>
      <c r="E263" s="87"/>
      <c r="F263" s="88"/>
      <c r="G263" s="65"/>
      <c r="H263" s="65"/>
      <c r="I263" s="65"/>
      <c r="J263" s="65"/>
      <c r="K263" s="65"/>
      <c r="L263" s="65"/>
      <c r="M263" s="89"/>
      <c r="N263" s="90"/>
      <c r="O263" s="42" t="b">
        <v>0</v>
      </c>
      <c r="P263" s="44"/>
      <c r="Q263" s="34"/>
      <c r="R263" s="34"/>
      <c r="S263" s="34"/>
      <c r="T263" s="34"/>
    </row>
    <row r="264" ht="15.75" customHeight="1">
      <c r="B264" s="86"/>
      <c r="C264" s="65"/>
      <c r="D264" s="65"/>
      <c r="E264" s="87"/>
      <c r="F264" s="88"/>
      <c r="G264" s="65"/>
      <c r="H264" s="65"/>
      <c r="I264" s="65"/>
      <c r="J264" s="65"/>
      <c r="K264" s="65"/>
      <c r="L264" s="65"/>
      <c r="M264" s="89"/>
      <c r="N264" s="90"/>
      <c r="O264" s="42" t="b">
        <v>0</v>
      </c>
      <c r="P264" s="44"/>
      <c r="Q264" s="34"/>
      <c r="R264" s="34"/>
      <c r="S264" s="34"/>
      <c r="T264" s="34"/>
    </row>
    <row r="265" ht="15.75" customHeight="1">
      <c r="B265" s="86"/>
      <c r="C265" s="65"/>
      <c r="D265" s="65"/>
      <c r="E265" s="87"/>
      <c r="F265" s="88"/>
      <c r="G265" s="65"/>
      <c r="H265" s="65"/>
      <c r="I265" s="65"/>
      <c r="J265" s="65"/>
      <c r="K265" s="65"/>
      <c r="L265" s="65"/>
      <c r="M265" s="89"/>
      <c r="N265" s="90"/>
      <c r="O265" s="42" t="b">
        <v>0</v>
      </c>
      <c r="P265" s="44"/>
      <c r="Q265" s="34"/>
      <c r="R265" s="34"/>
      <c r="S265" s="34"/>
      <c r="T265" s="34"/>
    </row>
    <row r="266" ht="15.75" customHeight="1">
      <c r="B266" s="86"/>
      <c r="C266" s="65"/>
      <c r="D266" s="65"/>
      <c r="E266" s="87"/>
      <c r="F266" s="88"/>
      <c r="G266" s="65"/>
      <c r="H266" s="65"/>
      <c r="I266" s="65"/>
      <c r="J266" s="65"/>
      <c r="K266" s="65"/>
      <c r="L266" s="65"/>
      <c r="M266" s="89"/>
      <c r="N266" s="90"/>
      <c r="O266" s="42" t="b">
        <v>0</v>
      </c>
      <c r="P266" s="44"/>
      <c r="Q266" s="34"/>
      <c r="R266" s="34"/>
      <c r="S266" s="34"/>
      <c r="T266" s="34"/>
    </row>
    <row r="267" ht="15.75" customHeight="1">
      <c r="B267" s="86"/>
      <c r="C267" s="65"/>
      <c r="D267" s="65"/>
      <c r="E267" s="87"/>
      <c r="F267" s="88"/>
      <c r="G267" s="65"/>
      <c r="H267" s="65"/>
      <c r="I267" s="65"/>
      <c r="J267" s="65"/>
      <c r="K267" s="65"/>
      <c r="L267" s="65"/>
      <c r="M267" s="89"/>
      <c r="N267" s="90"/>
      <c r="O267" s="42" t="b">
        <v>0</v>
      </c>
      <c r="P267" s="44"/>
      <c r="Q267" s="34"/>
      <c r="R267" s="34"/>
      <c r="S267" s="34"/>
      <c r="T267" s="34"/>
    </row>
    <row r="268" ht="15.75" customHeight="1">
      <c r="B268" s="86"/>
      <c r="C268" s="65"/>
      <c r="D268" s="65"/>
      <c r="E268" s="87"/>
      <c r="F268" s="88"/>
      <c r="G268" s="65"/>
      <c r="H268" s="65"/>
      <c r="I268" s="65"/>
      <c r="J268" s="65"/>
      <c r="K268" s="65"/>
      <c r="L268" s="65"/>
      <c r="M268" s="89"/>
      <c r="N268" s="90"/>
      <c r="O268" s="42" t="b">
        <v>0</v>
      </c>
      <c r="P268" s="44"/>
      <c r="Q268" s="34"/>
      <c r="R268" s="34"/>
      <c r="S268" s="34"/>
      <c r="T268" s="34"/>
    </row>
    <row r="269" ht="15.75" customHeight="1">
      <c r="B269" s="86"/>
      <c r="C269" s="65"/>
      <c r="D269" s="65"/>
      <c r="E269" s="87"/>
      <c r="F269" s="88"/>
      <c r="G269" s="65"/>
      <c r="H269" s="65"/>
      <c r="I269" s="65"/>
      <c r="J269" s="65"/>
      <c r="K269" s="65"/>
      <c r="L269" s="65"/>
      <c r="M269" s="89"/>
      <c r="N269" s="90"/>
      <c r="O269" s="42" t="b">
        <v>0</v>
      </c>
      <c r="P269" s="44"/>
      <c r="Q269" s="34"/>
      <c r="R269" s="34"/>
      <c r="S269" s="34"/>
      <c r="T269" s="34"/>
    </row>
    <row r="270" ht="15.75" customHeight="1">
      <c r="B270" s="86"/>
      <c r="C270" s="65"/>
      <c r="D270" s="65"/>
      <c r="E270" s="87"/>
      <c r="F270" s="88"/>
      <c r="G270" s="65"/>
      <c r="H270" s="65"/>
      <c r="I270" s="65"/>
      <c r="J270" s="65"/>
      <c r="K270" s="65"/>
      <c r="L270" s="65"/>
      <c r="M270" s="89"/>
      <c r="N270" s="90"/>
      <c r="O270" s="42" t="b">
        <v>0</v>
      </c>
      <c r="P270" s="44"/>
      <c r="Q270" s="34"/>
      <c r="R270" s="34"/>
      <c r="S270" s="34"/>
      <c r="T270" s="34"/>
    </row>
    <row r="271" ht="15.75" customHeight="1">
      <c r="B271" s="86"/>
      <c r="C271" s="65"/>
      <c r="D271" s="65"/>
      <c r="E271" s="87"/>
      <c r="F271" s="88"/>
      <c r="G271" s="65"/>
      <c r="H271" s="65"/>
      <c r="I271" s="65"/>
      <c r="J271" s="65"/>
      <c r="K271" s="65"/>
      <c r="L271" s="65"/>
      <c r="M271" s="89"/>
      <c r="N271" s="90"/>
      <c r="O271" s="42" t="b">
        <v>0</v>
      </c>
      <c r="P271" s="44"/>
      <c r="Q271" s="34"/>
      <c r="R271" s="34"/>
      <c r="S271" s="34"/>
      <c r="T271" s="34"/>
    </row>
    <row r="272" ht="15.75" customHeight="1">
      <c r="B272" s="86"/>
      <c r="C272" s="65"/>
      <c r="D272" s="65"/>
      <c r="E272" s="87"/>
      <c r="F272" s="88"/>
      <c r="G272" s="65"/>
      <c r="H272" s="65"/>
      <c r="I272" s="65"/>
      <c r="J272" s="65"/>
      <c r="K272" s="65"/>
      <c r="L272" s="65"/>
      <c r="M272" s="89"/>
      <c r="N272" s="90"/>
      <c r="O272" s="42" t="b">
        <v>0</v>
      </c>
      <c r="P272" s="44"/>
      <c r="Q272" s="34"/>
      <c r="R272" s="34"/>
      <c r="S272" s="34"/>
      <c r="T272" s="34"/>
    </row>
    <row r="273" ht="15.75" customHeight="1">
      <c r="B273" s="86"/>
      <c r="C273" s="65"/>
      <c r="D273" s="65"/>
      <c r="E273" s="87"/>
      <c r="F273" s="88"/>
      <c r="G273" s="65"/>
      <c r="H273" s="65"/>
      <c r="I273" s="65"/>
      <c r="J273" s="65"/>
      <c r="K273" s="65"/>
      <c r="L273" s="65"/>
      <c r="M273" s="89"/>
      <c r="N273" s="90"/>
      <c r="O273" s="42" t="b">
        <v>0</v>
      </c>
      <c r="P273" s="44"/>
      <c r="Q273" s="34"/>
      <c r="R273" s="34"/>
      <c r="S273" s="34"/>
      <c r="T273" s="34"/>
    </row>
    <row r="274" ht="15.75" customHeight="1">
      <c r="B274" s="86"/>
      <c r="C274" s="65"/>
      <c r="D274" s="65"/>
      <c r="E274" s="87"/>
      <c r="F274" s="88"/>
      <c r="G274" s="65"/>
      <c r="H274" s="65"/>
      <c r="I274" s="65"/>
      <c r="J274" s="65"/>
      <c r="K274" s="65"/>
      <c r="L274" s="65"/>
      <c r="M274" s="89"/>
      <c r="N274" s="90"/>
      <c r="O274" s="42" t="b">
        <v>0</v>
      </c>
      <c r="P274" s="44"/>
      <c r="Q274" s="34"/>
      <c r="R274" s="34"/>
      <c r="S274" s="34"/>
      <c r="T274" s="35"/>
    </row>
    <row r="275" ht="15.75" customHeight="1">
      <c r="B275" s="86"/>
      <c r="C275" s="65"/>
      <c r="D275" s="65"/>
      <c r="E275" s="87"/>
      <c r="F275" s="88"/>
      <c r="G275" s="65"/>
      <c r="H275" s="65"/>
      <c r="I275" s="65"/>
      <c r="J275" s="65"/>
      <c r="K275" s="65"/>
      <c r="L275" s="65"/>
      <c r="M275" s="89"/>
      <c r="N275" s="90"/>
      <c r="O275" s="42" t="b">
        <v>0</v>
      </c>
      <c r="P275" s="44"/>
      <c r="Q275" s="34"/>
      <c r="R275" s="34"/>
      <c r="S275" s="34"/>
      <c r="T275" s="34"/>
    </row>
    <row r="276" ht="15.75" customHeight="1">
      <c r="B276" s="86"/>
      <c r="C276" s="65"/>
      <c r="D276" s="65"/>
      <c r="E276" s="87"/>
      <c r="F276" s="88"/>
      <c r="G276" s="65"/>
      <c r="H276" s="65"/>
      <c r="I276" s="65"/>
      <c r="J276" s="65"/>
      <c r="K276" s="65"/>
      <c r="L276" s="65"/>
      <c r="M276" s="89"/>
      <c r="N276" s="90"/>
      <c r="O276" s="42" t="b">
        <v>0</v>
      </c>
      <c r="P276" s="44"/>
      <c r="Q276" s="34"/>
      <c r="R276" s="34"/>
      <c r="S276" s="34"/>
      <c r="T276" s="34"/>
    </row>
    <row r="277" ht="15.75" customHeight="1">
      <c r="B277" s="86"/>
      <c r="C277" s="65"/>
      <c r="D277" s="65"/>
      <c r="E277" s="87"/>
      <c r="F277" s="88"/>
      <c r="G277" s="65"/>
      <c r="H277" s="65"/>
      <c r="I277" s="65"/>
      <c r="J277" s="65"/>
      <c r="K277" s="65"/>
      <c r="L277" s="65"/>
      <c r="M277" s="89"/>
      <c r="N277" s="90"/>
      <c r="O277" s="42" t="b">
        <v>0</v>
      </c>
      <c r="P277" s="44"/>
      <c r="Q277" s="34"/>
      <c r="R277" s="34"/>
      <c r="S277" s="34"/>
      <c r="T277" s="34"/>
    </row>
    <row r="278" ht="15.75" customHeight="1">
      <c r="B278" s="86"/>
      <c r="C278" s="65"/>
      <c r="D278" s="65"/>
      <c r="E278" s="87"/>
      <c r="F278" s="88"/>
      <c r="G278" s="65"/>
      <c r="H278" s="65"/>
      <c r="I278" s="65"/>
      <c r="J278" s="65"/>
      <c r="K278" s="65"/>
      <c r="L278" s="65"/>
      <c r="M278" s="89"/>
      <c r="N278" s="90"/>
      <c r="O278" s="42" t="b">
        <v>0</v>
      </c>
      <c r="P278" s="44"/>
      <c r="Q278" s="34"/>
      <c r="R278" s="34"/>
      <c r="S278" s="34"/>
      <c r="T278" s="34"/>
    </row>
    <row r="279" ht="15.75" customHeight="1">
      <c r="B279" s="86"/>
      <c r="C279" s="65"/>
      <c r="D279" s="65"/>
      <c r="E279" s="87"/>
      <c r="F279" s="88"/>
      <c r="G279" s="65"/>
      <c r="H279" s="65"/>
      <c r="I279" s="65"/>
      <c r="J279" s="65"/>
      <c r="K279" s="65"/>
      <c r="L279" s="65"/>
      <c r="M279" s="89"/>
      <c r="N279" s="90"/>
      <c r="O279" s="42" t="b">
        <v>0</v>
      </c>
      <c r="P279" s="44"/>
      <c r="Q279" s="34"/>
      <c r="R279" s="34"/>
      <c r="S279" s="34"/>
      <c r="T279" s="34"/>
    </row>
    <row r="280" ht="15.75" customHeight="1">
      <c r="B280" s="86"/>
      <c r="C280" s="65"/>
      <c r="D280" s="65"/>
      <c r="E280" s="87"/>
      <c r="F280" s="88"/>
      <c r="G280" s="65"/>
      <c r="H280" s="65"/>
      <c r="I280" s="65"/>
      <c r="J280" s="65"/>
      <c r="K280" s="65"/>
      <c r="L280" s="65"/>
      <c r="M280" s="89"/>
      <c r="N280" s="90"/>
      <c r="O280" s="42" t="b">
        <v>0</v>
      </c>
      <c r="P280" s="44"/>
      <c r="Q280" s="34"/>
      <c r="R280" s="34"/>
      <c r="S280" s="34"/>
      <c r="T280" s="34"/>
    </row>
    <row r="281" ht="15.75" customHeight="1">
      <c r="B281" s="86"/>
      <c r="C281" s="65"/>
      <c r="D281" s="65"/>
      <c r="E281" s="87"/>
      <c r="F281" s="88"/>
      <c r="G281" s="65"/>
      <c r="H281" s="65"/>
      <c r="I281" s="65"/>
      <c r="J281" s="65"/>
      <c r="K281" s="65"/>
      <c r="L281" s="65"/>
      <c r="M281" s="89"/>
      <c r="N281" s="90"/>
      <c r="O281" s="42" t="b">
        <v>0</v>
      </c>
      <c r="P281" s="44"/>
      <c r="Q281" s="34"/>
      <c r="R281" s="34"/>
      <c r="S281" s="34"/>
      <c r="T281" s="34"/>
    </row>
    <row r="282" ht="15.75" customHeight="1">
      <c r="B282" s="86"/>
      <c r="C282" s="65"/>
      <c r="D282" s="65"/>
      <c r="E282" s="87"/>
      <c r="F282" s="88"/>
      <c r="G282" s="65"/>
      <c r="H282" s="65"/>
      <c r="I282" s="65"/>
      <c r="J282" s="65"/>
      <c r="K282" s="65"/>
      <c r="L282" s="65"/>
      <c r="M282" s="89"/>
      <c r="N282" s="90"/>
      <c r="O282" s="42" t="b">
        <v>0</v>
      </c>
      <c r="P282" s="44"/>
      <c r="Q282" s="34"/>
      <c r="R282" s="34"/>
      <c r="S282" s="34"/>
      <c r="T282" s="34"/>
    </row>
    <row r="283" ht="15.75" customHeight="1">
      <c r="B283" s="86"/>
      <c r="C283" s="65"/>
      <c r="D283" s="65"/>
      <c r="E283" s="87"/>
      <c r="F283" s="88"/>
      <c r="G283" s="65"/>
      <c r="H283" s="65"/>
      <c r="I283" s="65"/>
      <c r="J283" s="65"/>
      <c r="K283" s="65"/>
      <c r="L283" s="65"/>
      <c r="M283" s="89"/>
      <c r="N283" s="90"/>
      <c r="O283" s="42" t="b">
        <v>0</v>
      </c>
      <c r="P283" s="44"/>
      <c r="Q283" s="34"/>
      <c r="R283" s="34"/>
      <c r="S283" s="34"/>
      <c r="T283" s="34"/>
    </row>
    <row r="284" ht="15.75" customHeight="1">
      <c r="B284" s="86"/>
      <c r="C284" s="65"/>
      <c r="D284" s="65"/>
      <c r="E284" s="87"/>
      <c r="F284" s="88"/>
      <c r="G284" s="65"/>
      <c r="H284" s="65"/>
      <c r="I284" s="65"/>
      <c r="J284" s="65"/>
      <c r="K284" s="65"/>
      <c r="L284" s="65"/>
      <c r="M284" s="89"/>
      <c r="N284" s="90"/>
      <c r="O284" s="42" t="b">
        <v>0</v>
      </c>
      <c r="P284" s="44"/>
      <c r="Q284" s="34"/>
      <c r="R284" s="34"/>
      <c r="S284" s="34"/>
      <c r="T284" s="34"/>
    </row>
    <row r="285" ht="15.75" customHeight="1">
      <c r="B285" s="86"/>
      <c r="C285" s="65"/>
      <c r="D285" s="65"/>
      <c r="E285" s="87"/>
      <c r="F285" s="88"/>
      <c r="G285" s="65"/>
      <c r="H285" s="65"/>
      <c r="I285" s="65"/>
      <c r="J285" s="65"/>
      <c r="K285" s="65"/>
      <c r="L285" s="65"/>
      <c r="M285" s="89"/>
      <c r="N285" s="90"/>
      <c r="O285" s="42" t="b">
        <v>0</v>
      </c>
      <c r="P285" s="44"/>
      <c r="Q285" s="34"/>
      <c r="R285" s="34"/>
      <c r="S285" s="34"/>
      <c r="T285" s="34"/>
    </row>
    <row r="286" ht="15.75" customHeight="1">
      <c r="B286" s="86"/>
      <c r="C286" s="65"/>
      <c r="D286" s="65"/>
      <c r="E286" s="87"/>
      <c r="F286" s="88"/>
      <c r="G286" s="65"/>
      <c r="H286" s="65"/>
      <c r="I286" s="65"/>
      <c r="J286" s="65"/>
      <c r="K286" s="65"/>
      <c r="L286" s="65"/>
      <c r="M286" s="89"/>
      <c r="N286" s="90"/>
      <c r="O286" s="42" t="b">
        <v>0</v>
      </c>
      <c r="P286" s="44"/>
      <c r="Q286" s="34"/>
      <c r="R286" s="34"/>
      <c r="S286" s="34"/>
      <c r="T286" s="34"/>
    </row>
    <row r="287" ht="15.75" customHeight="1">
      <c r="B287" s="86"/>
      <c r="C287" s="65"/>
      <c r="D287" s="65"/>
      <c r="E287" s="87"/>
      <c r="F287" s="88"/>
      <c r="G287" s="65"/>
      <c r="H287" s="65"/>
      <c r="I287" s="65"/>
      <c r="J287" s="65"/>
      <c r="K287" s="65"/>
      <c r="L287" s="65"/>
      <c r="M287" s="89"/>
      <c r="N287" s="90"/>
      <c r="O287" s="42" t="b">
        <v>0</v>
      </c>
      <c r="P287" s="44"/>
      <c r="Q287" s="34"/>
      <c r="R287" s="34"/>
      <c r="S287" s="34"/>
      <c r="T287" s="34"/>
    </row>
    <row r="288" ht="15.75" customHeight="1">
      <c r="B288" s="86"/>
      <c r="C288" s="65"/>
      <c r="D288" s="65"/>
      <c r="E288" s="87"/>
      <c r="F288" s="88"/>
      <c r="G288" s="65"/>
      <c r="H288" s="65"/>
      <c r="I288" s="65"/>
      <c r="J288" s="65"/>
      <c r="K288" s="65"/>
      <c r="L288" s="65"/>
      <c r="M288" s="89"/>
      <c r="N288" s="90"/>
      <c r="O288" s="42" t="b">
        <v>0</v>
      </c>
      <c r="P288" s="44"/>
      <c r="Q288" s="34"/>
      <c r="R288" s="33"/>
      <c r="S288" s="34"/>
      <c r="T288" s="34"/>
    </row>
    <row r="289" ht="15.75" customHeight="1">
      <c r="A289" s="68">
        <v>2040.0</v>
      </c>
      <c r="B289" s="86"/>
      <c r="C289" s="65"/>
      <c r="D289" s="65"/>
      <c r="E289" s="87"/>
      <c r="F289" s="88"/>
      <c r="G289" s="65"/>
      <c r="H289" s="65"/>
      <c r="I289" s="65"/>
      <c r="J289" s="65"/>
      <c r="K289" s="65"/>
      <c r="L289" s="65"/>
      <c r="M289" s="89"/>
      <c r="N289" s="90"/>
      <c r="O289" s="42" t="b">
        <v>0</v>
      </c>
      <c r="P289" s="44"/>
      <c r="Q289" s="34"/>
      <c r="R289" s="34"/>
      <c r="S289" s="34"/>
      <c r="T289" s="34"/>
    </row>
    <row r="290" ht="15.75" customHeight="1">
      <c r="B290" s="86"/>
      <c r="C290" s="65"/>
      <c r="D290" s="65"/>
      <c r="E290" s="87"/>
      <c r="F290" s="88"/>
      <c r="G290" s="65"/>
      <c r="H290" s="65"/>
      <c r="I290" s="65"/>
      <c r="J290" s="65"/>
      <c r="K290" s="65"/>
      <c r="L290" s="65"/>
      <c r="M290" s="89"/>
      <c r="N290" s="90"/>
      <c r="O290" s="42" t="b">
        <v>0</v>
      </c>
      <c r="P290" s="44"/>
      <c r="Q290" s="34"/>
      <c r="R290" s="34"/>
      <c r="S290" s="34"/>
      <c r="T290" s="34"/>
    </row>
    <row r="291" ht="15.75" customHeight="1">
      <c r="B291" s="86"/>
      <c r="C291" s="65"/>
      <c r="D291" s="65"/>
      <c r="E291" s="87"/>
      <c r="F291" s="88"/>
      <c r="G291" s="65"/>
      <c r="H291" s="65"/>
      <c r="I291" s="65"/>
      <c r="J291" s="65"/>
      <c r="K291" s="65"/>
      <c r="L291" s="65"/>
      <c r="M291" s="89"/>
      <c r="N291" s="90"/>
      <c r="O291" s="42" t="b">
        <v>0</v>
      </c>
      <c r="P291" s="36"/>
      <c r="Q291" s="34"/>
      <c r="R291" s="34"/>
      <c r="S291" s="34"/>
      <c r="T291" s="35"/>
    </row>
    <row r="292" ht="15.75" customHeight="1">
      <c r="B292" s="86"/>
      <c r="C292" s="65"/>
      <c r="D292" s="65"/>
      <c r="E292" s="87"/>
      <c r="F292" s="88"/>
      <c r="G292" s="65"/>
      <c r="H292" s="65"/>
      <c r="I292" s="65"/>
      <c r="J292" s="65"/>
      <c r="K292" s="65"/>
      <c r="L292" s="65"/>
      <c r="M292" s="89"/>
      <c r="N292" s="90"/>
      <c r="O292" s="42" t="b">
        <v>0</v>
      </c>
      <c r="P292" s="44"/>
      <c r="Q292" s="34"/>
      <c r="R292" s="34"/>
      <c r="S292" s="34"/>
      <c r="T292" s="34"/>
    </row>
    <row r="293" ht="15.75" customHeight="1">
      <c r="B293" s="86"/>
      <c r="C293" s="65"/>
      <c r="D293" s="65"/>
      <c r="E293" s="87"/>
      <c r="F293" s="88"/>
      <c r="G293" s="65"/>
      <c r="H293" s="65"/>
      <c r="I293" s="65"/>
      <c r="J293" s="65"/>
      <c r="K293" s="65"/>
      <c r="L293" s="65"/>
      <c r="M293" s="89"/>
      <c r="N293" s="48"/>
      <c r="O293" s="42" t="b">
        <v>0</v>
      </c>
      <c r="P293" s="44"/>
      <c r="Q293" s="34"/>
      <c r="R293" s="34"/>
      <c r="S293" s="34"/>
      <c r="T293" s="34"/>
    </row>
    <row r="294" ht="15.75" customHeight="1">
      <c r="B294" s="86"/>
      <c r="C294" s="65"/>
      <c r="D294" s="65"/>
      <c r="E294" s="87"/>
      <c r="F294" s="88"/>
      <c r="G294" s="65"/>
      <c r="H294" s="65"/>
      <c r="I294" s="65"/>
      <c r="J294" s="65"/>
      <c r="K294" s="65"/>
      <c r="L294" s="65"/>
      <c r="M294" s="89"/>
      <c r="N294" s="48"/>
      <c r="O294" s="42" t="b">
        <v>0</v>
      </c>
      <c r="P294" s="44"/>
      <c r="Q294" s="34"/>
      <c r="R294" s="34"/>
      <c r="S294" s="34"/>
      <c r="T294" s="34"/>
    </row>
    <row r="295" ht="15.75" customHeight="1">
      <c r="B295" s="86"/>
      <c r="C295" s="65"/>
      <c r="D295" s="65"/>
      <c r="E295" s="87"/>
      <c r="F295" s="88"/>
      <c r="G295" s="65"/>
      <c r="H295" s="65"/>
      <c r="I295" s="65"/>
      <c r="J295" s="65"/>
      <c r="K295" s="65"/>
      <c r="L295" s="65"/>
      <c r="M295" s="89"/>
      <c r="N295" s="90"/>
      <c r="O295" s="42" t="b">
        <v>0</v>
      </c>
      <c r="P295" s="44"/>
      <c r="Q295" s="34"/>
      <c r="R295" s="34"/>
      <c r="S295" s="34"/>
      <c r="T295" s="34"/>
    </row>
    <row r="296" ht="15.75" customHeight="1">
      <c r="B296" s="86"/>
      <c r="C296" s="65"/>
      <c r="D296" s="65"/>
      <c r="E296" s="87"/>
      <c r="F296" s="88"/>
      <c r="G296" s="65"/>
      <c r="H296" s="65"/>
      <c r="I296" s="65"/>
      <c r="J296" s="65"/>
      <c r="K296" s="65"/>
      <c r="L296" s="65"/>
      <c r="M296" s="89"/>
      <c r="N296" s="90"/>
      <c r="O296" s="42" t="b">
        <v>0</v>
      </c>
      <c r="P296" s="44"/>
      <c r="Q296" s="34"/>
      <c r="R296" s="34"/>
      <c r="S296" s="34"/>
      <c r="T296" s="34"/>
    </row>
    <row r="297" ht="15.75" customHeight="1">
      <c r="B297" s="86"/>
      <c r="C297" s="65"/>
      <c r="D297" s="65"/>
      <c r="E297" s="87"/>
      <c r="F297" s="88"/>
      <c r="G297" s="65"/>
      <c r="H297" s="65"/>
      <c r="I297" s="65"/>
      <c r="J297" s="65"/>
      <c r="K297" s="65"/>
      <c r="L297" s="65"/>
      <c r="M297" s="89"/>
      <c r="N297" s="90"/>
      <c r="O297" s="42" t="b">
        <v>0</v>
      </c>
      <c r="P297" s="44"/>
      <c r="Q297" s="34"/>
      <c r="R297" s="34"/>
      <c r="S297" s="34"/>
      <c r="T297" s="34"/>
    </row>
    <row r="298" ht="15.75" customHeight="1">
      <c r="B298" s="86"/>
      <c r="C298" s="65"/>
      <c r="D298" s="65"/>
      <c r="E298" s="87"/>
      <c r="F298" s="88"/>
      <c r="G298" s="65"/>
      <c r="H298" s="65"/>
      <c r="I298" s="65"/>
      <c r="J298" s="65"/>
      <c r="K298" s="65"/>
      <c r="L298" s="65"/>
      <c r="M298" s="89"/>
      <c r="N298" s="90"/>
      <c r="O298" s="42" t="b">
        <v>0</v>
      </c>
      <c r="P298" s="44"/>
      <c r="Q298" s="34"/>
      <c r="R298" s="34"/>
      <c r="S298" s="34"/>
      <c r="T298" s="34"/>
    </row>
    <row r="299" ht="15.75" customHeight="1">
      <c r="B299" s="86"/>
      <c r="C299" s="65"/>
      <c r="D299" s="65"/>
      <c r="E299" s="87"/>
      <c r="F299" s="88"/>
      <c r="G299" s="65"/>
      <c r="H299" s="65"/>
      <c r="I299" s="65"/>
      <c r="J299" s="65"/>
      <c r="K299" s="65"/>
      <c r="L299" s="65"/>
      <c r="M299" s="89"/>
      <c r="N299" s="90"/>
      <c r="O299" s="42" t="b">
        <v>0</v>
      </c>
      <c r="P299" s="44"/>
      <c r="Q299" s="34"/>
      <c r="R299" s="34"/>
      <c r="S299" s="34"/>
      <c r="T299" s="34"/>
    </row>
    <row r="300" ht="15.75" customHeight="1">
      <c r="B300" s="86"/>
      <c r="C300" s="65"/>
      <c r="D300" s="65"/>
      <c r="E300" s="87"/>
      <c r="F300" s="88"/>
      <c r="G300" s="65"/>
      <c r="H300" s="65"/>
      <c r="I300" s="65"/>
      <c r="J300" s="65"/>
      <c r="K300" s="65"/>
      <c r="L300" s="65"/>
      <c r="M300" s="89"/>
      <c r="N300" s="90"/>
      <c r="O300" s="42" t="b">
        <v>0</v>
      </c>
      <c r="P300" s="44"/>
      <c r="Q300" s="34"/>
      <c r="R300" s="34"/>
      <c r="S300" s="34"/>
      <c r="T300" s="34"/>
    </row>
    <row r="301" ht="15.75" customHeight="1">
      <c r="B301" s="86"/>
      <c r="C301" s="65"/>
      <c r="D301" s="65"/>
      <c r="E301" s="87"/>
      <c r="F301" s="88"/>
      <c r="G301" s="65"/>
      <c r="H301" s="65"/>
      <c r="I301" s="65"/>
      <c r="J301" s="65"/>
      <c r="K301" s="65"/>
      <c r="L301" s="65"/>
      <c r="M301" s="89"/>
      <c r="N301" s="90"/>
      <c r="O301" s="42" t="b">
        <v>0</v>
      </c>
      <c r="P301" s="44"/>
      <c r="Q301" s="34"/>
      <c r="R301" s="33"/>
      <c r="S301" s="34"/>
      <c r="T301" s="34"/>
    </row>
    <row r="302" ht="15.75" customHeight="1">
      <c r="B302" s="86"/>
      <c r="C302" s="65"/>
      <c r="D302" s="65"/>
      <c r="E302" s="87"/>
      <c r="F302" s="88"/>
      <c r="G302" s="65"/>
      <c r="H302" s="65"/>
      <c r="I302" s="65"/>
      <c r="J302" s="65"/>
      <c r="K302" s="65"/>
      <c r="L302" s="65"/>
      <c r="M302" s="89"/>
      <c r="N302" s="90"/>
      <c r="O302" s="42" t="b">
        <v>0</v>
      </c>
      <c r="P302" s="44"/>
      <c r="Q302" s="34"/>
      <c r="R302" s="34"/>
      <c r="S302" s="34"/>
      <c r="T302" s="34"/>
    </row>
    <row r="303" ht="15.75" customHeight="1">
      <c r="B303" s="86"/>
      <c r="C303" s="65"/>
      <c r="D303" s="65"/>
      <c r="E303" s="87"/>
      <c r="F303" s="88"/>
      <c r="G303" s="65"/>
      <c r="H303" s="65"/>
      <c r="I303" s="65"/>
      <c r="J303" s="65"/>
      <c r="K303" s="65"/>
      <c r="L303" s="65"/>
      <c r="M303" s="89"/>
      <c r="N303" s="90"/>
      <c r="O303" s="42" t="b">
        <v>0</v>
      </c>
      <c r="P303" s="44"/>
      <c r="Q303" s="34"/>
      <c r="R303" s="34"/>
      <c r="S303" s="34"/>
      <c r="T303" s="34"/>
    </row>
    <row r="304" ht="15.75" customHeight="1">
      <c r="B304" s="86"/>
      <c r="C304" s="65"/>
      <c r="D304" s="65"/>
      <c r="E304" s="87"/>
      <c r="F304" s="88"/>
      <c r="G304" s="65"/>
      <c r="H304" s="65"/>
      <c r="I304" s="65"/>
      <c r="J304" s="65"/>
      <c r="K304" s="65"/>
      <c r="L304" s="65"/>
      <c r="M304" s="89"/>
      <c r="N304" s="90"/>
      <c r="O304" s="42" t="b">
        <v>0</v>
      </c>
      <c r="P304" s="44"/>
      <c r="Q304" s="34"/>
      <c r="R304" s="34"/>
      <c r="S304" s="34"/>
      <c r="T304" s="34"/>
    </row>
    <row r="305" ht="15.75" customHeight="1">
      <c r="B305" s="86"/>
      <c r="C305" s="65"/>
      <c r="D305" s="65"/>
      <c r="E305" s="87"/>
      <c r="F305" s="88"/>
      <c r="G305" s="65"/>
      <c r="H305" s="65"/>
      <c r="I305" s="65"/>
      <c r="J305" s="65"/>
      <c r="K305" s="65"/>
      <c r="L305" s="65"/>
      <c r="M305" s="89"/>
      <c r="N305" s="90"/>
      <c r="O305" s="42" t="b">
        <v>0</v>
      </c>
      <c r="P305" s="44"/>
      <c r="Q305" s="34"/>
      <c r="R305" s="34"/>
      <c r="S305" s="34"/>
      <c r="T305" s="34"/>
    </row>
    <row r="306" ht="15.75" customHeight="1">
      <c r="B306" s="86"/>
      <c r="C306" s="65"/>
      <c r="D306" s="65"/>
      <c r="E306" s="87"/>
      <c r="F306" s="88"/>
      <c r="G306" s="65"/>
      <c r="H306" s="65"/>
      <c r="I306" s="65"/>
      <c r="J306" s="65"/>
      <c r="K306" s="65"/>
      <c r="L306" s="65"/>
      <c r="M306" s="89"/>
      <c r="N306" s="90"/>
      <c r="O306" s="42" t="b">
        <v>0</v>
      </c>
      <c r="P306" s="44"/>
      <c r="Q306" s="34"/>
      <c r="R306" s="34"/>
      <c r="S306" s="34"/>
      <c r="T306" s="34"/>
    </row>
    <row r="307" ht="15.75" customHeight="1">
      <c r="B307" s="86"/>
      <c r="C307" s="65"/>
      <c r="D307" s="65"/>
      <c r="E307" s="87"/>
      <c r="F307" s="88"/>
      <c r="G307" s="65"/>
      <c r="H307" s="65"/>
      <c r="I307" s="65"/>
      <c r="J307" s="65"/>
      <c r="K307" s="65"/>
      <c r="L307" s="65"/>
      <c r="M307" s="89"/>
      <c r="N307" s="90"/>
      <c r="O307" s="42" t="b">
        <v>0</v>
      </c>
      <c r="P307" s="44"/>
      <c r="Q307" s="34"/>
      <c r="R307" s="34"/>
      <c r="S307" s="34"/>
      <c r="T307" s="34"/>
    </row>
    <row r="308" ht="15.75" customHeight="1">
      <c r="B308" s="86"/>
      <c r="C308" s="65"/>
      <c r="D308" s="65"/>
      <c r="E308" s="87"/>
      <c r="F308" s="88"/>
      <c r="G308" s="65"/>
      <c r="H308" s="65"/>
      <c r="I308" s="65"/>
      <c r="J308" s="65"/>
      <c r="K308" s="65"/>
      <c r="L308" s="65"/>
      <c r="M308" s="89"/>
      <c r="N308" s="90"/>
      <c r="O308" s="42" t="b">
        <v>0</v>
      </c>
      <c r="P308" s="44"/>
      <c r="Q308" s="34"/>
      <c r="R308" s="34"/>
      <c r="S308" s="34"/>
      <c r="T308" s="34"/>
    </row>
    <row r="309" ht="15.75" customHeight="1">
      <c r="B309" s="86"/>
      <c r="C309" s="65"/>
      <c r="D309" s="65"/>
      <c r="E309" s="87"/>
      <c r="F309" s="88"/>
      <c r="G309" s="65"/>
      <c r="H309" s="65"/>
      <c r="I309" s="65"/>
      <c r="J309" s="65"/>
      <c r="K309" s="65"/>
      <c r="L309" s="65"/>
      <c r="M309" s="89"/>
      <c r="N309" s="90"/>
      <c r="O309" s="42" t="b">
        <v>0</v>
      </c>
      <c r="P309" s="44"/>
      <c r="Q309" s="34"/>
      <c r="R309" s="34"/>
      <c r="S309" s="34"/>
      <c r="T309" s="34"/>
    </row>
    <row r="310" ht="15.75" customHeight="1">
      <c r="B310" s="86"/>
      <c r="C310" s="65"/>
      <c r="D310" s="65"/>
      <c r="E310" s="87"/>
      <c r="F310" s="88"/>
      <c r="G310" s="65"/>
      <c r="H310" s="65"/>
      <c r="I310" s="65"/>
      <c r="J310" s="65"/>
      <c r="K310" s="65"/>
      <c r="L310" s="65"/>
      <c r="M310" s="89"/>
      <c r="N310" s="90"/>
      <c r="O310" s="42" t="b">
        <v>0</v>
      </c>
      <c r="P310" s="44"/>
      <c r="Q310" s="34"/>
      <c r="R310" s="34"/>
      <c r="S310" s="34"/>
      <c r="T310" s="34"/>
    </row>
    <row r="311" ht="15.75" customHeight="1">
      <c r="B311" s="86"/>
      <c r="C311" s="65"/>
      <c r="D311" s="65"/>
      <c r="E311" s="87"/>
      <c r="F311" s="88"/>
      <c r="G311" s="65"/>
      <c r="H311" s="65"/>
      <c r="I311" s="65"/>
      <c r="J311" s="65"/>
      <c r="K311" s="65"/>
      <c r="L311" s="65"/>
      <c r="M311" s="89"/>
      <c r="N311" s="90"/>
      <c r="O311" s="42" t="b">
        <v>0</v>
      </c>
      <c r="P311" s="44"/>
      <c r="Q311" s="34"/>
      <c r="R311" s="34"/>
      <c r="S311" s="34"/>
      <c r="T311" s="34"/>
    </row>
    <row r="312" ht="15.75" customHeight="1">
      <c r="B312" s="86"/>
      <c r="C312" s="65"/>
      <c r="D312" s="65"/>
      <c r="E312" s="87"/>
      <c r="F312" s="88"/>
      <c r="G312" s="65"/>
      <c r="H312" s="65"/>
      <c r="I312" s="65"/>
      <c r="J312" s="65"/>
      <c r="K312" s="65"/>
      <c r="L312" s="65"/>
      <c r="M312" s="89"/>
      <c r="N312" s="90"/>
      <c r="O312" s="42" t="b">
        <v>0</v>
      </c>
      <c r="P312" s="44"/>
      <c r="Q312" s="34"/>
      <c r="R312" s="34"/>
      <c r="S312" s="34"/>
      <c r="T312" s="34"/>
    </row>
    <row r="313" ht="15.75" customHeight="1">
      <c r="B313" s="86"/>
      <c r="C313" s="65"/>
      <c r="D313" s="65"/>
      <c r="E313" s="87"/>
      <c r="F313" s="88"/>
      <c r="G313" s="65"/>
      <c r="H313" s="65"/>
      <c r="I313" s="65"/>
      <c r="J313" s="65"/>
      <c r="K313" s="65"/>
      <c r="L313" s="65"/>
      <c r="M313" s="89"/>
      <c r="N313" s="90"/>
      <c r="O313" s="42" t="b">
        <v>0</v>
      </c>
      <c r="P313" s="44"/>
      <c r="Q313" s="34"/>
      <c r="R313" s="34"/>
      <c r="S313" s="34"/>
      <c r="T313" s="34"/>
    </row>
    <row r="314" ht="15.75" customHeight="1">
      <c r="B314" s="86"/>
      <c r="C314" s="65"/>
      <c r="D314" s="65"/>
      <c r="E314" s="87"/>
      <c r="F314" s="88"/>
      <c r="G314" s="65"/>
      <c r="H314" s="65"/>
      <c r="I314" s="65"/>
      <c r="J314" s="65"/>
      <c r="K314" s="65"/>
      <c r="L314" s="65"/>
      <c r="M314" s="89"/>
      <c r="N314" s="90"/>
      <c r="O314" s="42" t="b">
        <v>0</v>
      </c>
      <c r="P314" s="44"/>
      <c r="Q314" s="34"/>
      <c r="R314" s="34"/>
      <c r="S314" s="34"/>
      <c r="T314" s="34"/>
    </row>
    <row r="315" ht="15.75" customHeight="1">
      <c r="B315" s="86"/>
      <c r="C315" s="65"/>
      <c r="D315" s="65"/>
      <c r="E315" s="87"/>
      <c r="F315" s="88"/>
      <c r="G315" s="65"/>
      <c r="H315" s="65"/>
      <c r="I315" s="65"/>
      <c r="J315" s="65"/>
      <c r="K315" s="65"/>
      <c r="L315" s="65"/>
      <c r="M315" s="89"/>
      <c r="N315" s="90"/>
      <c r="O315" s="42" t="b">
        <v>0</v>
      </c>
      <c r="P315" s="44"/>
      <c r="Q315" s="34"/>
      <c r="R315" s="34"/>
      <c r="S315" s="34"/>
      <c r="T315" s="34"/>
    </row>
    <row r="316" ht="15.75" customHeight="1">
      <c r="B316" s="86"/>
      <c r="C316" s="65"/>
      <c r="D316" s="65"/>
      <c r="E316" s="87"/>
      <c r="F316" s="88"/>
      <c r="G316" s="65"/>
      <c r="H316" s="65"/>
      <c r="I316" s="65"/>
      <c r="J316" s="65"/>
      <c r="K316" s="65"/>
      <c r="L316" s="65"/>
      <c r="M316" s="89"/>
      <c r="N316" s="90"/>
      <c r="O316" s="42" t="b">
        <v>0</v>
      </c>
      <c r="P316" s="44"/>
      <c r="Q316" s="34"/>
      <c r="R316" s="34"/>
      <c r="S316" s="34"/>
      <c r="T316" s="34"/>
    </row>
    <row r="317" ht="15.75" customHeight="1">
      <c r="B317" s="86"/>
      <c r="C317" s="65"/>
      <c r="D317" s="65"/>
      <c r="E317" s="87"/>
      <c r="F317" s="88"/>
      <c r="G317" s="65"/>
      <c r="H317" s="65"/>
      <c r="I317" s="65"/>
      <c r="J317" s="65"/>
      <c r="K317" s="65"/>
      <c r="L317" s="65"/>
      <c r="M317" s="89"/>
      <c r="N317" s="90"/>
      <c r="O317" s="42" t="b">
        <v>0</v>
      </c>
      <c r="P317" s="44"/>
      <c r="Q317" s="34"/>
      <c r="R317" s="34"/>
      <c r="S317" s="34"/>
      <c r="T317" s="34"/>
    </row>
    <row r="318" ht="15.75" customHeight="1">
      <c r="B318" s="86"/>
      <c r="C318" s="65"/>
      <c r="D318" s="65"/>
      <c r="E318" s="87"/>
      <c r="F318" s="88"/>
      <c r="G318" s="65"/>
      <c r="H318" s="65"/>
      <c r="I318" s="65"/>
      <c r="J318" s="65"/>
      <c r="K318" s="65"/>
      <c r="L318" s="65"/>
      <c r="M318" s="89"/>
      <c r="N318" s="90"/>
      <c r="O318" s="42" t="b">
        <v>0</v>
      </c>
      <c r="P318" s="44"/>
      <c r="Q318" s="34"/>
      <c r="R318" s="34"/>
      <c r="S318" s="34"/>
      <c r="T318" s="34"/>
    </row>
    <row r="319" ht="15.75" customHeight="1">
      <c r="B319" s="86"/>
      <c r="C319" s="65"/>
      <c r="D319" s="65"/>
      <c r="E319" s="87"/>
      <c r="F319" s="88"/>
      <c r="G319" s="65"/>
      <c r="H319" s="65"/>
      <c r="I319" s="65"/>
      <c r="J319" s="65"/>
      <c r="K319" s="65"/>
      <c r="L319" s="65"/>
      <c r="M319" s="89"/>
      <c r="N319" s="90"/>
      <c r="O319" s="42" t="b">
        <v>0</v>
      </c>
      <c r="P319" s="44"/>
      <c r="Q319" s="34"/>
      <c r="R319" s="34"/>
      <c r="S319" s="34"/>
      <c r="T319" s="34"/>
    </row>
    <row r="320" ht="15.75" customHeight="1">
      <c r="B320" s="86"/>
      <c r="C320" s="65"/>
      <c r="D320" s="65"/>
      <c r="E320" s="87"/>
      <c r="F320" s="88"/>
      <c r="G320" s="65"/>
      <c r="H320" s="65"/>
      <c r="I320" s="65"/>
      <c r="J320" s="65"/>
      <c r="K320" s="65"/>
      <c r="L320" s="65"/>
      <c r="M320" s="89"/>
      <c r="N320" s="90"/>
      <c r="O320" s="42" t="b">
        <v>0</v>
      </c>
      <c r="P320" s="44"/>
      <c r="Q320" s="34"/>
      <c r="R320" s="34"/>
      <c r="S320" s="34"/>
      <c r="T320" s="34"/>
    </row>
    <row r="321" ht="15.75" customHeight="1">
      <c r="B321" s="86"/>
      <c r="C321" s="65"/>
      <c r="D321" s="65"/>
      <c r="E321" s="87"/>
      <c r="F321" s="88"/>
      <c r="G321" s="65"/>
      <c r="H321" s="65"/>
      <c r="I321" s="65"/>
      <c r="J321" s="65"/>
      <c r="K321" s="65"/>
      <c r="L321" s="65"/>
      <c r="M321" s="89"/>
      <c r="N321" s="90"/>
      <c r="O321" s="42" t="b">
        <v>0</v>
      </c>
      <c r="P321" s="44"/>
      <c r="Q321" s="34"/>
      <c r="R321" s="34"/>
      <c r="S321" s="34"/>
      <c r="T321" s="34"/>
    </row>
    <row r="322" ht="15.75" customHeight="1">
      <c r="B322" s="86"/>
      <c r="C322" s="65"/>
      <c r="D322" s="65"/>
      <c r="E322" s="87"/>
      <c r="F322" s="88"/>
      <c r="G322" s="65"/>
      <c r="H322" s="65"/>
      <c r="I322" s="65"/>
      <c r="J322" s="65"/>
      <c r="K322" s="65"/>
      <c r="L322" s="65"/>
      <c r="M322" s="89"/>
      <c r="N322" s="90"/>
      <c r="O322" s="42" t="b">
        <v>0</v>
      </c>
      <c r="P322" s="44"/>
      <c r="Q322" s="34"/>
      <c r="R322" s="34"/>
      <c r="S322" s="34"/>
      <c r="T322" s="34"/>
    </row>
    <row r="323" ht="15.75" customHeight="1">
      <c r="B323" s="86"/>
      <c r="C323" s="65"/>
      <c r="D323" s="65"/>
      <c r="E323" s="87"/>
      <c r="F323" s="88"/>
      <c r="G323" s="65"/>
      <c r="H323" s="65"/>
      <c r="I323" s="65"/>
      <c r="J323" s="65"/>
      <c r="K323" s="65"/>
      <c r="L323" s="65"/>
      <c r="M323" s="89"/>
      <c r="N323" s="90"/>
      <c r="O323" s="42" t="b">
        <v>0</v>
      </c>
      <c r="P323" s="44"/>
      <c r="Q323" s="34"/>
      <c r="R323" s="34"/>
      <c r="S323" s="34"/>
      <c r="T323" s="34"/>
    </row>
    <row r="324" ht="15.75" customHeight="1">
      <c r="B324" s="86"/>
      <c r="C324" s="65"/>
      <c r="D324" s="65"/>
      <c r="E324" s="87"/>
      <c r="F324" s="88"/>
      <c r="G324" s="65"/>
      <c r="H324" s="65"/>
      <c r="I324" s="65"/>
      <c r="J324" s="65"/>
      <c r="K324" s="65"/>
      <c r="L324" s="65"/>
      <c r="M324" s="89"/>
      <c r="N324" s="90"/>
      <c r="O324" s="42" t="b">
        <v>0</v>
      </c>
      <c r="P324" s="44"/>
      <c r="Q324" s="34"/>
      <c r="R324" s="34"/>
      <c r="S324" s="34"/>
      <c r="T324" s="34"/>
    </row>
    <row r="325" ht="15.75" customHeight="1">
      <c r="B325" s="86"/>
      <c r="C325" s="65"/>
      <c r="D325" s="65"/>
      <c r="E325" s="87"/>
      <c r="F325" s="88"/>
      <c r="G325" s="65"/>
      <c r="H325" s="65"/>
      <c r="I325" s="65"/>
      <c r="J325" s="65"/>
      <c r="K325" s="65"/>
      <c r="L325" s="65"/>
      <c r="M325" s="89"/>
      <c r="N325" s="90"/>
      <c r="O325" s="42" t="b">
        <v>0</v>
      </c>
      <c r="P325" s="44"/>
      <c r="Q325" s="34"/>
      <c r="R325" s="34"/>
      <c r="S325" s="34"/>
      <c r="T325" s="34"/>
    </row>
    <row r="326" ht="15.75" customHeight="1">
      <c r="B326" s="86"/>
      <c r="C326" s="65"/>
      <c r="D326" s="65"/>
      <c r="E326" s="87"/>
      <c r="F326" s="88"/>
      <c r="G326" s="65"/>
      <c r="H326" s="65"/>
      <c r="I326" s="65"/>
      <c r="J326" s="65"/>
      <c r="K326" s="65"/>
      <c r="L326" s="65"/>
      <c r="M326" s="89"/>
      <c r="N326" s="90"/>
      <c r="O326" s="42" t="b">
        <v>0</v>
      </c>
      <c r="P326" s="44"/>
      <c r="Q326" s="34"/>
      <c r="R326" s="34"/>
      <c r="S326" s="34"/>
      <c r="T326" s="34"/>
    </row>
    <row r="327" ht="15.75" customHeight="1">
      <c r="B327" s="86"/>
      <c r="C327" s="65"/>
      <c r="D327" s="65"/>
      <c r="E327" s="87"/>
      <c r="F327" s="88"/>
      <c r="G327" s="65"/>
      <c r="H327" s="65"/>
      <c r="I327" s="65"/>
      <c r="J327" s="65"/>
      <c r="K327" s="65"/>
      <c r="L327" s="65"/>
      <c r="M327" s="89"/>
      <c r="N327" s="90"/>
      <c r="O327" s="42" t="b">
        <v>0</v>
      </c>
      <c r="P327" s="44"/>
      <c r="Q327" s="34"/>
      <c r="R327" s="34"/>
      <c r="S327" s="34"/>
      <c r="T327" s="34"/>
    </row>
    <row r="328" ht="15.75" customHeight="1">
      <c r="B328" s="86"/>
      <c r="C328" s="65"/>
      <c r="D328" s="65"/>
      <c r="E328" s="87"/>
      <c r="F328" s="88"/>
      <c r="G328" s="65"/>
      <c r="H328" s="65"/>
      <c r="I328" s="65"/>
      <c r="J328" s="65"/>
      <c r="K328" s="65"/>
      <c r="L328" s="65"/>
      <c r="M328" s="89"/>
      <c r="N328" s="90"/>
      <c r="O328" s="42" t="b">
        <v>0</v>
      </c>
      <c r="P328" s="44"/>
      <c r="Q328" s="34"/>
      <c r="R328" s="34"/>
      <c r="S328" s="34"/>
      <c r="T328" s="34"/>
    </row>
    <row r="329" ht="15.75" customHeight="1">
      <c r="B329" s="86"/>
      <c r="C329" s="65"/>
      <c r="D329" s="65"/>
      <c r="E329" s="87"/>
      <c r="F329" s="88"/>
      <c r="G329" s="65"/>
      <c r="H329" s="65"/>
      <c r="I329" s="65"/>
      <c r="J329" s="65"/>
      <c r="K329" s="65"/>
      <c r="L329" s="65"/>
      <c r="M329" s="89"/>
      <c r="N329" s="90"/>
      <c r="O329" s="42" t="b">
        <v>0</v>
      </c>
      <c r="P329" s="44"/>
      <c r="Q329" s="34"/>
      <c r="R329" s="34"/>
      <c r="S329" s="34"/>
      <c r="T329" s="34"/>
    </row>
    <row r="330" ht="15.75" customHeight="1">
      <c r="B330" s="86"/>
      <c r="C330" s="65"/>
      <c r="D330" s="65"/>
      <c r="E330" s="87"/>
      <c r="F330" s="88"/>
      <c r="G330" s="65"/>
      <c r="H330" s="65"/>
      <c r="I330" s="65"/>
      <c r="J330" s="65"/>
      <c r="K330" s="65"/>
      <c r="L330" s="65"/>
      <c r="M330" s="89"/>
      <c r="N330" s="90"/>
      <c r="O330" s="42" t="b">
        <v>0</v>
      </c>
      <c r="P330" s="44"/>
      <c r="Q330" s="34"/>
      <c r="R330" s="34"/>
      <c r="S330" s="34"/>
      <c r="T330" s="34"/>
    </row>
    <row r="331" ht="15.75" customHeight="1">
      <c r="B331" s="86"/>
      <c r="C331" s="65"/>
      <c r="D331" s="65"/>
      <c r="E331" s="87"/>
      <c r="F331" s="88"/>
      <c r="G331" s="65"/>
      <c r="H331" s="65"/>
      <c r="I331" s="65"/>
      <c r="J331" s="65"/>
      <c r="K331" s="65"/>
      <c r="L331" s="65"/>
      <c r="M331" s="89"/>
      <c r="N331" s="90"/>
      <c r="O331" s="42" t="b">
        <v>0</v>
      </c>
      <c r="P331" s="44"/>
      <c r="Q331" s="34"/>
      <c r="R331" s="34"/>
      <c r="S331" s="34"/>
      <c r="T331" s="34"/>
    </row>
    <row r="332" ht="15.75" customHeight="1">
      <c r="B332" s="86"/>
      <c r="C332" s="65"/>
      <c r="D332" s="65"/>
      <c r="E332" s="87"/>
      <c r="F332" s="88"/>
      <c r="G332" s="65"/>
      <c r="H332" s="65"/>
      <c r="I332" s="65"/>
      <c r="J332" s="65"/>
      <c r="K332" s="65"/>
      <c r="L332" s="65"/>
      <c r="M332" s="89"/>
      <c r="N332" s="90"/>
      <c r="O332" s="42" t="b">
        <v>0</v>
      </c>
      <c r="P332" s="44"/>
      <c r="Q332" s="34"/>
      <c r="R332" s="34"/>
      <c r="S332" s="34"/>
      <c r="T332" s="34"/>
    </row>
    <row r="333" ht="15.75" customHeight="1">
      <c r="B333" s="86"/>
      <c r="C333" s="65"/>
      <c r="D333" s="65"/>
      <c r="E333" s="87"/>
      <c r="F333" s="88"/>
      <c r="G333" s="65"/>
      <c r="H333" s="65"/>
      <c r="I333" s="65"/>
      <c r="J333" s="65"/>
      <c r="K333" s="65"/>
      <c r="L333" s="65"/>
      <c r="M333" s="89"/>
      <c r="N333" s="90"/>
      <c r="O333" s="42" t="b">
        <v>0</v>
      </c>
      <c r="P333" s="44"/>
      <c r="Q333" s="34"/>
      <c r="R333" s="34"/>
      <c r="S333" s="34"/>
      <c r="T333" s="34"/>
    </row>
    <row r="334" ht="15.75" customHeight="1">
      <c r="B334" s="86"/>
      <c r="C334" s="65"/>
      <c r="D334" s="65"/>
      <c r="E334" s="87"/>
      <c r="F334" s="88"/>
      <c r="G334" s="65"/>
      <c r="H334" s="65"/>
      <c r="I334" s="65"/>
      <c r="J334" s="65"/>
      <c r="K334" s="65"/>
      <c r="L334" s="65"/>
      <c r="M334" s="89"/>
      <c r="N334" s="90"/>
      <c r="O334" s="42" t="b">
        <v>0</v>
      </c>
      <c r="P334" s="44"/>
      <c r="Q334" s="34"/>
      <c r="R334" s="34"/>
      <c r="S334" s="34"/>
      <c r="T334" s="34"/>
    </row>
    <row r="335" ht="15.75" customHeight="1">
      <c r="B335" s="86"/>
      <c r="C335" s="65"/>
      <c r="D335" s="65"/>
      <c r="E335" s="87"/>
      <c r="F335" s="88"/>
      <c r="G335" s="65"/>
      <c r="H335" s="65"/>
      <c r="I335" s="65"/>
      <c r="J335" s="65"/>
      <c r="K335" s="65"/>
      <c r="L335" s="65"/>
      <c r="M335" s="89"/>
      <c r="N335" s="90"/>
      <c r="O335" s="42" t="b">
        <v>0</v>
      </c>
      <c r="P335" s="44"/>
      <c r="Q335" s="34"/>
      <c r="R335" s="34"/>
      <c r="S335" s="34"/>
      <c r="T335" s="34"/>
    </row>
    <row r="336" ht="15.75" customHeight="1">
      <c r="B336" s="86"/>
      <c r="C336" s="65"/>
      <c r="D336" s="65"/>
      <c r="E336" s="87"/>
      <c r="F336" s="88"/>
      <c r="G336" s="65"/>
      <c r="H336" s="65"/>
      <c r="I336" s="65"/>
      <c r="J336" s="65"/>
      <c r="K336" s="65"/>
      <c r="L336" s="65"/>
      <c r="M336" s="89"/>
      <c r="N336" s="90"/>
      <c r="O336" s="42" t="b">
        <v>0</v>
      </c>
      <c r="P336" s="44"/>
      <c r="Q336" s="34"/>
      <c r="R336" s="34"/>
      <c r="S336" s="34"/>
      <c r="T336" s="34"/>
    </row>
    <row r="337" ht="15.75" customHeight="1">
      <c r="B337" s="86"/>
      <c r="C337" s="65"/>
      <c r="D337" s="65"/>
      <c r="E337" s="87"/>
      <c r="F337" s="88"/>
      <c r="G337" s="65"/>
      <c r="H337" s="65"/>
      <c r="I337" s="65"/>
      <c r="J337" s="65"/>
      <c r="K337" s="65"/>
      <c r="L337" s="65"/>
      <c r="M337" s="89"/>
      <c r="N337" s="90"/>
      <c r="O337" s="42" t="b">
        <v>0</v>
      </c>
      <c r="P337" s="44"/>
      <c r="Q337" s="34"/>
      <c r="R337" s="34"/>
      <c r="S337" s="34"/>
      <c r="T337" s="34"/>
    </row>
    <row r="338" ht="15.75" customHeight="1">
      <c r="B338" s="86"/>
      <c r="C338" s="65"/>
      <c r="D338" s="65"/>
      <c r="E338" s="87"/>
      <c r="F338" s="88"/>
      <c r="G338" s="65"/>
      <c r="H338" s="65"/>
      <c r="I338" s="65"/>
      <c r="J338" s="65"/>
      <c r="K338" s="65"/>
      <c r="L338" s="65"/>
      <c r="M338" s="89"/>
      <c r="N338" s="90"/>
      <c r="O338" s="42" t="b">
        <v>0</v>
      </c>
      <c r="P338" s="44"/>
      <c r="Q338" s="34"/>
      <c r="R338" s="34"/>
      <c r="S338" s="34"/>
      <c r="T338" s="34"/>
    </row>
    <row r="339" ht="15.75" customHeight="1">
      <c r="B339" s="86"/>
      <c r="C339" s="65"/>
      <c r="D339" s="65"/>
      <c r="E339" s="87"/>
      <c r="F339" s="88"/>
      <c r="G339" s="65"/>
      <c r="H339" s="65"/>
      <c r="I339" s="65"/>
      <c r="J339" s="65"/>
      <c r="K339" s="65"/>
      <c r="L339" s="65"/>
      <c r="M339" s="89"/>
      <c r="N339" s="90"/>
      <c r="O339" s="42" t="b">
        <v>0</v>
      </c>
      <c r="P339" s="44"/>
      <c r="Q339" s="34"/>
      <c r="R339" s="34"/>
      <c r="S339" s="34"/>
      <c r="T339" s="34"/>
    </row>
    <row r="340" ht="15.75" customHeight="1">
      <c r="B340" s="86"/>
      <c r="C340" s="65"/>
      <c r="D340" s="65"/>
      <c r="E340" s="87"/>
      <c r="F340" s="88"/>
      <c r="G340" s="65"/>
      <c r="H340" s="65"/>
      <c r="I340" s="65"/>
      <c r="J340" s="65"/>
      <c r="K340" s="65"/>
      <c r="L340" s="65"/>
      <c r="M340" s="89"/>
      <c r="N340" s="90"/>
      <c r="O340" s="42" t="b">
        <v>0</v>
      </c>
      <c r="P340" s="44"/>
      <c r="Q340" s="34"/>
      <c r="R340" s="34"/>
      <c r="S340" s="34"/>
      <c r="T340" s="34"/>
    </row>
    <row r="341" ht="15.75" customHeight="1">
      <c r="B341" s="86"/>
      <c r="C341" s="65"/>
      <c r="D341" s="65"/>
      <c r="E341" s="87"/>
      <c r="F341" s="88"/>
      <c r="G341" s="65"/>
      <c r="H341" s="65"/>
      <c r="I341" s="65"/>
      <c r="J341" s="65"/>
      <c r="K341" s="65"/>
      <c r="L341" s="65"/>
      <c r="M341" s="89"/>
      <c r="N341" s="90"/>
      <c r="O341" s="42" t="b">
        <v>0</v>
      </c>
      <c r="P341" s="44"/>
      <c r="Q341" s="34"/>
      <c r="R341" s="34"/>
      <c r="S341" s="34"/>
      <c r="T341" s="34"/>
    </row>
    <row r="342" ht="15.75" customHeight="1">
      <c r="B342" s="86"/>
      <c r="C342" s="65"/>
      <c r="D342" s="65"/>
      <c r="E342" s="87"/>
      <c r="F342" s="88"/>
      <c r="G342" s="65"/>
      <c r="H342" s="65"/>
      <c r="I342" s="65"/>
      <c r="J342" s="65"/>
      <c r="K342" s="65"/>
      <c r="L342" s="65"/>
      <c r="M342" s="89"/>
      <c r="N342" s="90"/>
      <c r="O342" s="42" t="b">
        <v>0</v>
      </c>
      <c r="P342" s="45"/>
      <c r="Q342" s="34"/>
      <c r="R342" s="33"/>
      <c r="S342" s="34"/>
      <c r="T342" s="34"/>
    </row>
    <row r="343" ht="15.75" customHeight="1">
      <c r="B343" s="86"/>
      <c r="C343" s="65"/>
      <c r="D343" s="65"/>
      <c r="E343" s="87"/>
      <c r="F343" s="88"/>
      <c r="G343" s="65"/>
      <c r="H343" s="65"/>
      <c r="I343" s="65"/>
      <c r="J343" s="65"/>
      <c r="K343" s="65"/>
      <c r="L343" s="65"/>
      <c r="M343" s="89"/>
      <c r="N343" s="90"/>
      <c r="O343" s="42" t="b">
        <v>0</v>
      </c>
      <c r="P343" s="45"/>
      <c r="Q343" s="34"/>
      <c r="R343" s="33"/>
      <c r="S343" s="34"/>
      <c r="T343" s="34"/>
    </row>
    <row r="344" ht="15.75" customHeight="1">
      <c r="B344" s="86"/>
      <c r="C344" s="65"/>
      <c r="D344" s="65"/>
      <c r="E344" s="87"/>
      <c r="F344" s="88"/>
      <c r="G344" s="65"/>
      <c r="H344" s="65"/>
      <c r="I344" s="65"/>
      <c r="J344" s="65"/>
      <c r="K344" s="65"/>
      <c r="L344" s="65"/>
      <c r="M344" s="89"/>
      <c r="N344" s="90"/>
      <c r="O344" s="42" t="b">
        <v>0</v>
      </c>
      <c r="P344" s="44"/>
      <c r="Q344" s="34"/>
      <c r="R344" s="33"/>
      <c r="S344" s="34"/>
      <c r="T344" s="34"/>
    </row>
    <row r="345" ht="15.75" customHeight="1">
      <c r="B345" s="86"/>
      <c r="C345" s="65"/>
      <c r="D345" s="65"/>
      <c r="E345" s="87"/>
      <c r="F345" s="88"/>
      <c r="G345" s="65"/>
      <c r="H345" s="65"/>
      <c r="I345" s="65"/>
      <c r="J345" s="65"/>
      <c r="K345" s="65"/>
      <c r="L345" s="65"/>
      <c r="M345" s="89"/>
      <c r="N345" s="90"/>
      <c r="O345" s="42" t="b">
        <v>0</v>
      </c>
      <c r="P345" s="44"/>
      <c r="Q345" s="34"/>
      <c r="R345" s="33"/>
      <c r="S345" s="34"/>
      <c r="T345" s="34"/>
    </row>
    <row r="346" ht="15.75" customHeight="1">
      <c r="B346" s="86"/>
      <c r="C346" s="65"/>
      <c r="D346" s="65"/>
      <c r="E346" s="87"/>
      <c r="F346" s="88"/>
      <c r="G346" s="65"/>
      <c r="H346" s="65"/>
      <c r="I346" s="65"/>
      <c r="J346" s="65"/>
      <c r="K346" s="65"/>
      <c r="L346" s="65"/>
      <c r="M346" s="89"/>
      <c r="N346" s="90"/>
      <c r="O346" s="42" t="b">
        <v>0</v>
      </c>
      <c r="P346" s="36"/>
      <c r="Q346" s="34"/>
      <c r="R346" s="33"/>
      <c r="S346" s="34"/>
      <c r="T346" s="34"/>
    </row>
    <row r="347" ht="15.75" customHeight="1">
      <c r="B347" s="86"/>
      <c r="C347" s="65"/>
      <c r="D347" s="65"/>
      <c r="E347" s="87"/>
      <c r="F347" s="88"/>
      <c r="G347" s="65"/>
      <c r="H347" s="65"/>
      <c r="I347" s="65"/>
      <c r="J347" s="65"/>
      <c r="K347" s="65"/>
      <c r="L347" s="65"/>
      <c r="M347" s="89"/>
      <c r="N347" s="90"/>
      <c r="O347" s="42" t="b">
        <v>0</v>
      </c>
      <c r="P347" s="44"/>
      <c r="Q347" s="34"/>
      <c r="R347" s="34"/>
      <c r="S347" s="34"/>
      <c r="T347" s="34"/>
    </row>
    <row r="348" ht="15.75" customHeight="1">
      <c r="B348" s="86"/>
      <c r="C348" s="65"/>
      <c r="D348" s="65"/>
      <c r="E348" s="87"/>
      <c r="F348" s="88"/>
      <c r="G348" s="65"/>
      <c r="H348" s="65"/>
      <c r="I348" s="65"/>
      <c r="J348" s="65"/>
      <c r="K348" s="65"/>
      <c r="L348" s="65"/>
      <c r="M348" s="89"/>
      <c r="N348" s="90"/>
      <c r="O348" s="42" t="b">
        <v>0</v>
      </c>
      <c r="P348" s="44"/>
      <c r="Q348" s="34"/>
      <c r="R348" s="34"/>
      <c r="S348" s="34"/>
      <c r="T348" s="34"/>
    </row>
    <row r="349" ht="15.75" customHeight="1">
      <c r="B349" s="86"/>
      <c r="C349" s="65"/>
      <c r="D349" s="65"/>
      <c r="E349" s="87"/>
      <c r="F349" s="88"/>
      <c r="G349" s="65"/>
      <c r="H349" s="65"/>
      <c r="I349" s="65"/>
      <c r="J349" s="65"/>
      <c r="K349" s="65"/>
      <c r="L349" s="65"/>
      <c r="M349" s="89"/>
      <c r="N349" s="90"/>
      <c r="O349" s="42" t="b">
        <v>0</v>
      </c>
      <c r="P349" s="44"/>
      <c r="Q349" s="34"/>
      <c r="R349" s="34"/>
      <c r="S349" s="34"/>
      <c r="T349" s="34"/>
    </row>
    <row r="350" ht="15.75" customHeight="1">
      <c r="B350" s="86"/>
      <c r="C350" s="65"/>
      <c r="D350" s="65"/>
      <c r="E350" s="87"/>
      <c r="F350" s="88"/>
      <c r="G350" s="65"/>
      <c r="H350" s="65"/>
      <c r="I350" s="65"/>
      <c r="J350" s="65"/>
      <c r="K350" s="65"/>
      <c r="L350" s="65"/>
      <c r="M350" s="89"/>
      <c r="N350" s="90"/>
      <c r="O350" s="42" t="b">
        <v>0</v>
      </c>
      <c r="P350" s="44"/>
      <c r="Q350" s="34"/>
      <c r="R350" s="34"/>
      <c r="S350" s="34"/>
      <c r="T350" s="34"/>
    </row>
    <row r="351" ht="15.75" customHeight="1">
      <c r="B351" s="86"/>
      <c r="C351" s="65"/>
      <c r="D351" s="65"/>
      <c r="E351" s="87"/>
      <c r="F351" s="88"/>
      <c r="G351" s="65"/>
      <c r="H351" s="65"/>
      <c r="I351" s="65"/>
      <c r="J351" s="65"/>
      <c r="K351" s="65"/>
      <c r="L351" s="65"/>
      <c r="M351" s="89"/>
      <c r="N351" s="90"/>
      <c r="O351" s="42" t="b">
        <v>0</v>
      </c>
      <c r="P351" s="44"/>
      <c r="Q351" s="34"/>
      <c r="R351" s="34"/>
      <c r="S351" s="34"/>
      <c r="T351" s="34"/>
    </row>
    <row r="352" ht="15.75" customHeight="1">
      <c r="B352" s="86"/>
      <c r="C352" s="65"/>
      <c r="D352" s="65"/>
      <c r="E352" s="87"/>
      <c r="F352" s="88"/>
      <c r="G352" s="65"/>
      <c r="H352" s="65"/>
      <c r="I352" s="65"/>
      <c r="J352" s="65"/>
      <c r="K352" s="65"/>
      <c r="L352" s="65"/>
      <c r="M352" s="89"/>
      <c r="N352" s="90"/>
      <c r="O352" s="42" t="b">
        <v>0</v>
      </c>
      <c r="P352" s="44"/>
      <c r="Q352" s="34"/>
      <c r="R352" s="34"/>
      <c r="S352" s="34"/>
      <c r="T352" s="34"/>
    </row>
    <row r="353" ht="15.75" customHeight="1">
      <c r="B353" s="86"/>
      <c r="C353" s="65"/>
      <c r="D353" s="65"/>
      <c r="E353" s="87"/>
      <c r="F353" s="88"/>
      <c r="G353" s="65"/>
      <c r="H353" s="65"/>
      <c r="I353" s="65"/>
      <c r="J353" s="65"/>
      <c r="K353" s="65"/>
      <c r="L353" s="65"/>
      <c r="M353" s="89"/>
      <c r="N353" s="90"/>
      <c r="O353" s="42" t="b">
        <v>0</v>
      </c>
      <c r="P353" s="44"/>
      <c r="Q353" s="34"/>
      <c r="R353" s="34"/>
      <c r="S353" s="34"/>
      <c r="T353" s="34"/>
    </row>
    <row r="354" ht="15.75" customHeight="1">
      <c r="B354" s="86"/>
      <c r="C354" s="65"/>
      <c r="D354" s="65"/>
      <c r="E354" s="87"/>
      <c r="F354" s="88"/>
      <c r="G354" s="65"/>
      <c r="H354" s="65"/>
      <c r="I354" s="65"/>
      <c r="J354" s="65"/>
      <c r="K354" s="65"/>
      <c r="L354" s="65"/>
      <c r="M354" s="89"/>
      <c r="N354" s="90"/>
      <c r="O354" s="42" t="b">
        <v>0</v>
      </c>
      <c r="P354" s="44"/>
      <c r="Q354" s="34"/>
      <c r="R354" s="34"/>
      <c r="S354" s="34"/>
      <c r="T354" s="34"/>
    </row>
    <row r="355" ht="15.75" customHeight="1">
      <c r="B355" s="86"/>
      <c r="C355" s="65"/>
      <c r="D355" s="65"/>
      <c r="E355" s="87"/>
      <c r="F355" s="88"/>
      <c r="G355" s="65"/>
      <c r="H355" s="65"/>
      <c r="I355" s="65"/>
      <c r="J355" s="65"/>
      <c r="K355" s="65"/>
      <c r="L355" s="65"/>
      <c r="M355" s="89"/>
      <c r="N355" s="90"/>
      <c r="O355" s="42" t="b">
        <v>0</v>
      </c>
      <c r="P355" s="44"/>
      <c r="Q355" s="34"/>
      <c r="R355" s="34"/>
      <c r="S355" s="34"/>
      <c r="T355" s="34"/>
    </row>
    <row r="356" ht="15.75" customHeight="1">
      <c r="B356" s="86"/>
      <c r="C356" s="65"/>
      <c r="D356" s="65"/>
      <c r="E356" s="87"/>
      <c r="F356" s="88"/>
      <c r="G356" s="65"/>
      <c r="H356" s="65"/>
      <c r="I356" s="65"/>
      <c r="J356" s="65"/>
      <c r="K356" s="65"/>
      <c r="L356" s="65"/>
      <c r="M356" s="89"/>
      <c r="N356" s="90"/>
      <c r="O356" s="42" t="b">
        <v>0</v>
      </c>
      <c r="P356" s="44"/>
      <c r="Q356" s="34"/>
      <c r="R356" s="34"/>
      <c r="S356" s="34"/>
      <c r="T356" s="34"/>
    </row>
    <row r="357" ht="15.75" customHeight="1">
      <c r="B357" s="86"/>
      <c r="C357" s="65"/>
      <c r="D357" s="65"/>
      <c r="E357" s="87"/>
      <c r="F357" s="88"/>
      <c r="G357" s="65"/>
      <c r="H357" s="65"/>
      <c r="I357" s="65"/>
      <c r="J357" s="65"/>
      <c r="K357" s="65"/>
      <c r="L357" s="65"/>
      <c r="M357" s="89"/>
      <c r="N357" s="90"/>
      <c r="O357" s="42" t="b">
        <v>0</v>
      </c>
      <c r="P357" s="44"/>
      <c r="Q357" s="34"/>
      <c r="R357" s="34"/>
      <c r="S357" s="34"/>
      <c r="T357" s="34"/>
    </row>
    <row r="358" ht="15.75" customHeight="1">
      <c r="B358" s="86"/>
      <c r="C358" s="65"/>
      <c r="D358" s="65"/>
      <c r="E358" s="87"/>
      <c r="F358" s="88"/>
      <c r="G358" s="65"/>
      <c r="H358" s="65"/>
      <c r="I358" s="65"/>
      <c r="J358" s="65"/>
      <c r="K358" s="65"/>
      <c r="L358" s="65"/>
      <c r="M358" s="89"/>
      <c r="N358" s="90"/>
      <c r="O358" s="42" t="b">
        <v>0</v>
      </c>
      <c r="P358" s="44"/>
      <c r="Q358" s="34"/>
      <c r="R358" s="34"/>
      <c r="S358" s="34"/>
      <c r="T358" s="34"/>
    </row>
    <row r="359" ht="15.75" customHeight="1">
      <c r="B359" s="86"/>
      <c r="C359" s="65"/>
      <c r="D359" s="65"/>
      <c r="E359" s="87"/>
      <c r="F359" s="88"/>
      <c r="G359" s="65"/>
      <c r="H359" s="65"/>
      <c r="I359" s="65"/>
      <c r="J359" s="65"/>
      <c r="K359" s="65"/>
      <c r="L359" s="65"/>
      <c r="M359" s="89"/>
      <c r="N359" s="90"/>
      <c r="O359" s="42" t="b">
        <v>0</v>
      </c>
      <c r="P359" s="44"/>
      <c r="Q359" s="34"/>
      <c r="R359" s="34"/>
      <c r="S359" s="34"/>
      <c r="T359" s="34"/>
    </row>
    <row r="360" ht="15.75" customHeight="1">
      <c r="B360" s="86"/>
      <c r="C360" s="65"/>
      <c r="D360" s="65"/>
      <c r="E360" s="87"/>
      <c r="F360" s="88"/>
      <c r="G360" s="65"/>
      <c r="H360" s="65"/>
      <c r="I360" s="65"/>
      <c r="J360" s="65"/>
      <c r="K360" s="65"/>
      <c r="L360" s="65"/>
      <c r="M360" s="89"/>
      <c r="N360" s="90"/>
      <c r="O360" s="42" t="b">
        <v>0</v>
      </c>
      <c r="P360" s="44"/>
      <c r="Q360" s="34"/>
      <c r="R360" s="34"/>
      <c r="S360" s="34"/>
      <c r="T360" s="34"/>
    </row>
    <row r="361" ht="15.75" customHeight="1">
      <c r="B361" s="86"/>
      <c r="C361" s="65"/>
      <c r="D361" s="65"/>
      <c r="E361" s="87"/>
      <c r="F361" s="88"/>
      <c r="G361" s="65"/>
      <c r="H361" s="65"/>
      <c r="I361" s="65"/>
      <c r="J361" s="65"/>
      <c r="K361" s="65"/>
      <c r="L361" s="65"/>
      <c r="M361" s="89"/>
      <c r="N361" s="90"/>
      <c r="O361" s="42" t="b">
        <v>0</v>
      </c>
      <c r="P361" s="44"/>
      <c r="Q361" s="34"/>
      <c r="R361" s="34"/>
      <c r="S361" s="34"/>
      <c r="T361" s="34"/>
    </row>
    <row r="362" ht="15.75" customHeight="1">
      <c r="B362" s="86"/>
      <c r="C362" s="65"/>
      <c r="D362" s="65"/>
      <c r="E362" s="87"/>
      <c r="F362" s="88"/>
      <c r="G362" s="65"/>
      <c r="H362" s="65"/>
      <c r="I362" s="65"/>
      <c r="J362" s="65"/>
      <c r="K362" s="65"/>
      <c r="L362" s="65"/>
      <c r="M362" s="89"/>
      <c r="N362" s="90"/>
      <c r="O362" s="42" t="b">
        <v>0</v>
      </c>
      <c r="P362" s="44"/>
      <c r="Q362" s="34"/>
      <c r="R362" s="34"/>
      <c r="S362" s="34"/>
      <c r="T362" s="34"/>
    </row>
    <row r="363" ht="15.75" customHeight="1">
      <c r="B363" s="86"/>
      <c r="C363" s="65"/>
      <c r="D363" s="65"/>
      <c r="E363" s="87"/>
      <c r="F363" s="88"/>
      <c r="G363" s="65"/>
      <c r="H363" s="65"/>
      <c r="I363" s="65"/>
      <c r="J363" s="65"/>
      <c r="K363" s="65"/>
      <c r="L363" s="65"/>
      <c r="M363" s="89"/>
      <c r="N363" s="90"/>
      <c r="O363" s="42" t="b">
        <v>0</v>
      </c>
      <c r="P363" s="44"/>
      <c r="Q363" s="34"/>
      <c r="R363" s="34"/>
      <c r="S363" s="34"/>
      <c r="T363" s="34"/>
    </row>
    <row r="364" ht="15.75" customHeight="1">
      <c r="B364" s="86"/>
      <c r="C364" s="65"/>
      <c r="D364" s="65"/>
      <c r="E364" s="87"/>
      <c r="F364" s="88"/>
      <c r="G364" s="65"/>
      <c r="H364" s="65"/>
      <c r="I364" s="65"/>
      <c r="J364" s="65"/>
      <c r="K364" s="65"/>
      <c r="L364" s="65"/>
      <c r="M364" s="89"/>
      <c r="N364" s="90"/>
      <c r="O364" s="42" t="b">
        <v>0</v>
      </c>
      <c r="P364" s="44"/>
      <c r="Q364" s="34"/>
      <c r="R364" s="34"/>
      <c r="S364" s="34"/>
      <c r="T364" s="34"/>
    </row>
    <row r="365" ht="15.75" customHeight="1">
      <c r="B365" s="86"/>
      <c r="C365" s="65"/>
      <c r="D365" s="65"/>
      <c r="E365" s="87"/>
      <c r="F365" s="88"/>
      <c r="G365" s="65"/>
      <c r="H365" s="65"/>
      <c r="I365" s="65"/>
      <c r="J365" s="65"/>
      <c r="K365" s="65"/>
      <c r="L365" s="65"/>
      <c r="M365" s="89"/>
      <c r="N365" s="90"/>
      <c r="O365" s="42" t="b">
        <v>0</v>
      </c>
      <c r="P365" s="44"/>
      <c r="Q365" s="34"/>
      <c r="R365" s="34"/>
      <c r="S365" s="34"/>
      <c r="T365" s="34"/>
    </row>
    <row r="366" ht="15.75" customHeight="1">
      <c r="B366" s="86"/>
      <c r="C366" s="65"/>
      <c r="D366" s="65"/>
      <c r="E366" s="87"/>
      <c r="F366" s="88"/>
      <c r="G366" s="65"/>
      <c r="H366" s="65"/>
      <c r="I366" s="65"/>
      <c r="J366" s="65"/>
      <c r="K366" s="65"/>
      <c r="L366" s="65"/>
      <c r="M366" s="89"/>
      <c r="N366" s="90"/>
      <c r="O366" s="42" t="b">
        <v>0</v>
      </c>
      <c r="P366" s="44"/>
      <c r="Q366" s="34"/>
      <c r="R366" s="34"/>
      <c r="S366" s="34"/>
      <c r="T366" s="34"/>
    </row>
    <row r="367" ht="15.75" customHeight="1">
      <c r="B367" s="86"/>
      <c r="C367" s="65"/>
      <c r="D367" s="65"/>
      <c r="E367" s="87"/>
      <c r="F367" s="88"/>
      <c r="G367" s="65"/>
      <c r="H367" s="65"/>
      <c r="I367" s="65"/>
      <c r="J367" s="65"/>
      <c r="K367" s="65"/>
      <c r="L367" s="65"/>
      <c r="M367" s="89"/>
      <c r="N367" s="90"/>
      <c r="O367" s="42" t="b">
        <v>0</v>
      </c>
      <c r="P367" s="44"/>
      <c r="Q367" s="34"/>
      <c r="R367" s="34"/>
      <c r="S367" s="34"/>
      <c r="T367" s="34"/>
    </row>
    <row r="368" ht="15.75" customHeight="1">
      <c r="B368" s="86"/>
      <c r="C368" s="65"/>
      <c r="D368" s="65"/>
      <c r="E368" s="87"/>
      <c r="F368" s="88"/>
      <c r="G368" s="65"/>
      <c r="H368" s="65"/>
      <c r="I368" s="65"/>
      <c r="J368" s="65"/>
      <c r="K368" s="65"/>
      <c r="L368" s="65"/>
      <c r="M368" s="89"/>
      <c r="N368" s="90"/>
      <c r="O368" s="42" t="b">
        <v>0</v>
      </c>
      <c r="P368" s="44"/>
      <c r="Q368" s="34"/>
      <c r="R368" s="34"/>
      <c r="S368" s="34"/>
      <c r="T368" s="34"/>
    </row>
    <row r="369" ht="15.75" customHeight="1">
      <c r="B369" s="86"/>
      <c r="C369" s="65"/>
      <c r="D369" s="65"/>
      <c r="E369" s="87"/>
      <c r="F369" s="88"/>
      <c r="G369" s="65"/>
      <c r="H369" s="65"/>
      <c r="I369" s="65"/>
      <c r="J369" s="65"/>
      <c r="K369" s="65"/>
      <c r="L369" s="65"/>
      <c r="M369" s="89"/>
      <c r="N369" s="90"/>
      <c r="O369" s="42" t="b">
        <v>0</v>
      </c>
      <c r="P369" s="44"/>
      <c r="Q369" s="34"/>
      <c r="R369" s="34"/>
      <c r="S369" s="34"/>
      <c r="T369" s="34"/>
    </row>
    <row r="370" ht="15.75" customHeight="1">
      <c r="B370" s="86"/>
      <c r="C370" s="65"/>
      <c r="D370" s="65"/>
      <c r="E370" s="87"/>
      <c r="F370" s="88"/>
      <c r="G370" s="65"/>
      <c r="H370" s="65"/>
      <c r="I370" s="65"/>
      <c r="J370" s="65"/>
      <c r="K370" s="65"/>
      <c r="L370" s="65"/>
      <c r="M370" s="89"/>
      <c r="N370" s="90"/>
      <c r="O370" s="42" t="b">
        <v>0</v>
      </c>
      <c r="P370" s="44"/>
      <c r="Q370" s="34"/>
      <c r="R370" s="34"/>
      <c r="S370" s="34"/>
      <c r="T370" s="34"/>
    </row>
    <row r="371" ht="15.75" customHeight="1">
      <c r="B371" s="86"/>
      <c r="C371" s="65"/>
      <c r="D371" s="65"/>
      <c r="E371" s="87"/>
      <c r="F371" s="88"/>
      <c r="G371" s="65"/>
      <c r="H371" s="65"/>
      <c r="I371" s="65"/>
      <c r="J371" s="65"/>
      <c r="K371" s="65"/>
      <c r="L371" s="65"/>
      <c r="M371" s="89"/>
      <c r="N371" s="90"/>
      <c r="O371" s="42" t="b">
        <v>0</v>
      </c>
      <c r="P371" s="44"/>
      <c r="Q371" s="34"/>
      <c r="R371" s="34"/>
      <c r="S371" s="34"/>
      <c r="T371" s="34"/>
    </row>
    <row r="372" ht="15.75" customHeight="1">
      <c r="B372" s="86"/>
      <c r="C372" s="65"/>
      <c r="D372" s="65"/>
      <c r="E372" s="87"/>
      <c r="F372" s="88"/>
      <c r="G372" s="65"/>
      <c r="H372" s="65"/>
      <c r="I372" s="65"/>
      <c r="J372" s="65"/>
      <c r="K372" s="65"/>
      <c r="L372" s="65"/>
      <c r="M372" s="89"/>
      <c r="N372" s="90"/>
      <c r="O372" s="42" t="b">
        <v>0</v>
      </c>
      <c r="P372" s="44"/>
      <c r="Q372" s="34"/>
      <c r="R372" s="34"/>
      <c r="S372" s="34"/>
      <c r="T372" s="34"/>
    </row>
    <row r="373" ht="15.75" customHeight="1">
      <c r="B373" s="86"/>
      <c r="C373" s="65"/>
      <c r="D373" s="65"/>
      <c r="E373" s="87"/>
      <c r="F373" s="88"/>
      <c r="G373" s="65"/>
      <c r="H373" s="65"/>
      <c r="I373" s="65"/>
      <c r="J373" s="65"/>
      <c r="K373" s="65"/>
      <c r="L373" s="65"/>
      <c r="M373" s="89"/>
      <c r="N373" s="90"/>
      <c r="O373" s="42" t="b">
        <v>0</v>
      </c>
      <c r="P373" s="44"/>
      <c r="Q373" s="34"/>
      <c r="R373" s="34"/>
      <c r="S373" s="34"/>
      <c r="T373" s="34"/>
    </row>
    <row r="374" ht="15.75" customHeight="1">
      <c r="B374" s="86"/>
      <c r="C374" s="65"/>
      <c r="D374" s="65"/>
      <c r="E374" s="87"/>
      <c r="F374" s="88"/>
      <c r="G374" s="65"/>
      <c r="H374" s="65"/>
      <c r="I374" s="65"/>
      <c r="J374" s="65"/>
      <c r="K374" s="65"/>
      <c r="L374" s="65"/>
      <c r="M374" s="89"/>
      <c r="N374" s="90"/>
      <c r="O374" s="42" t="b">
        <v>0</v>
      </c>
      <c r="P374" s="44"/>
      <c r="Q374" s="34"/>
      <c r="R374" s="34"/>
      <c r="S374" s="34"/>
      <c r="T374" s="34"/>
    </row>
    <row r="375" ht="15.75" customHeight="1">
      <c r="B375" s="86"/>
      <c r="C375" s="65"/>
      <c r="D375" s="65"/>
      <c r="E375" s="87"/>
      <c r="F375" s="88"/>
      <c r="G375" s="65"/>
      <c r="H375" s="65"/>
      <c r="I375" s="65"/>
      <c r="J375" s="65"/>
      <c r="K375" s="65"/>
      <c r="L375" s="65"/>
      <c r="M375" s="89"/>
      <c r="N375" s="90"/>
      <c r="O375" s="42" t="b">
        <v>0</v>
      </c>
      <c r="P375" s="44"/>
      <c r="Q375" s="34"/>
      <c r="R375" s="34"/>
      <c r="S375" s="34"/>
      <c r="T375" s="35"/>
    </row>
    <row r="376" ht="15.75" customHeight="1">
      <c r="B376" s="86"/>
      <c r="C376" s="65"/>
      <c r="D376" s="65"/>
      <c r="E376" s="87"/>
      <c r="F376" s="88"/>
      <c r="G376" s="65"/>
      <c r="H376" s="65"/>
      <c r="I376" s="65"/>
      <c r="J376" s="65"/>
      <c r="K376" s="65"/>
      <c r="L376" s="65"/>
      <c r="M376" s="89"/>
      <c r="N376" s="90"/>
      <c r="O376" s="42" t="b">
        <v>0</v>
      </c>
      <c r="P376" s="44"/>
      <c r="Q376" s="34"/>
      <c r="R376" s="34"/>
      <c r="S376" s="34"/>
      <c r="T376" s="34"/>
    </row>
    <row r="377" ht="15.75" customHeight="1">
      <c r="B377" s="86"/>
      <c r="C377" s="65"/>
      <c r="D377" s="65"/>
      <c r="E377" s="87"/>
      <c r="F377" s="88"/>
      <c r="G377" s="65"/>
      <c r="H377" s="65"/>
      <c r="I377" s="65"/>
      <c r="J377" s="65"/>
      <c r="K377" s="65"/>
      <c r="L377" s="65"/>
      <c r="M377" s="89"/>
      <c r="N377" s="90"/>
      <c r="O377" s="42" t="b">
        <v>0</v>
      </c>
      <c r="P377" s="44"/>
      <c r="Q377" s="34"/>
      <c r="R377" s="34"/>
      <c r="S377" s="34"/>
      <c r="T377" s="34"/>
    </row>
    <row r="378" ht="15.75" customHeight="1">
      <c r="B378" s="86"/>
      <c r="C378" s="65"/>
      <c r="D378" s="65"/>
      <c r="E378" s="87"/>
      <c r="F378" s="88"/>
      <c r="G378" s="65"/>
      <c r="H378" s="65"/>
      <c r="I378" s="65"/>
      <c r="J378" s="65"/>
      <c r="K378" s="65"/>
      <c r="L378" s="65"/>
      <c r="M378" s="89"/>
      <c r="N378" s="90"/>
      <c r="O378" s="42" t="b">
        <v>0</v>
      </c>
      <c r="P378" s="44"/>
      <c r="Q378" s="34"/>
      <c r="R378" s="34"/>
      <c r="S378" s="34"/>
      <c r="T378" s="34"/>
    </row>
    <row r="379" ht="15.75" customHeight="1">
      <c r="B379" s="86"/>
      <c r="C379" s="65"/>
      <c r="D379" s="65"/>
      <c r="E379" s="87"/>
      <c r="F379" s="88"/>
      <c r="G379" s="65"/>
      <c r="H379" s="65"/>
      <c r="I379" s="65"/>
      <c r="J379" s="65"/>
      <c r="K379" s="65"/>
      <c r="L379" s="65"/>
      <c r="M379" s="89"/>
      <c r="N379" s="90"/>
      <c r="O379" s="42" t="b">
        <v>0</v>
      </c>
      <c r="P379" s="44"/>
      <c r="Q379" s="34"/>
      <c r="R379" s="34"/>
      <c r="S379" s="34"/>
      <c r="T379" s="34"/>
    </row>
    <row r="380" ht="15.75" customHeight="1">
      <c r="B380" s="86"/>
      <c r="C380" s="98"/>
      <c r="D380" s="65"/>
      <c r="E380" s="87"/>
      <c r="F380" s="88"/>
      <c r="G380" s="65"/>
      <c r="H380" s="65"/>
      <c r="I380" s="65"/>
      <c r="J380" s="65"/>
      <c r="K380" s="65"/>
      <c r="L380" s="65"/>
      <c r="M380" s="89"/>
      <c r="N380" s="90"/>
      <c r="O380" s="42" t="b">
        <v>0</v>
      </c>
      <c r="P380" s="44"/>
      <c r="Q380" s="34"/>
      <c r="R380" s="33"/>
      <c r="S380" s="34"/>
      <c r="T380" s="34"/>
    </row>
    <row r="381" ht="15.75" customHeight="1">
      <c r="B381" s="86"/>
      <c r="C381" s="65"/>
      <c r="D381" s="65"/>
      <c r="E381" s="87"/>
      <c r="F381" s="88"/>
      <c r="G381" s="65"/>
      <c r="H381" s="65"/>
      <c r="I381" s="65"/>
      <c r="J381" s="65"/>
      <c r="K381" s="65"/>
      <c r="L381" s="65"/>
      <c r="M381" s="89"/>
      <c r="N381" s="90"/>
      <c r="O381" s="42" t="b">
        <v>0</v>
      </c>
      <c r="P381" s="44"/>
      <c r="Q381" s="34"/>
      <c r="R381" s="34"/>
      <c r="S381" s="34"/>
      <c r="T381" s="34"/>
    </row>
    <row r="382" ht="15.75" customHeight="1">
      <c r="B382" s="86"/>
      <c r="C382" s="65"/>
      <c r="D382" s="65"/>
      <c r="E382" s="87"/>
      <c r="F382" s="88"/>
      <c r="G382" s="65"/>
      <c r="H382" s="65"/>
      <c r="I382" s="65"/>
      <c r="J382" s="65"/>
      <c r="K382" s="65"/>
      <c r="L382" s="65"/>
      <c r="M382" s="89"/>
      <c r="N382" s="90"/>
      <c r="O382" s="42" t="b">
        <v>0</v>
      </c>
      <c r="P382" s="44"/>
      <c r="Q382" s="34"/>
      <c r="R382" s="34"/>
      <c r="S382" s="34"/>
      <c r="T382" s="34"/>
    </row>
    <row r="383" ht="15.75" customHeight="1">
      <c r="B383" s="86"/>
      <c r="C383" s="65"/>
      <c r="D383" s="65"/>
      <c r="E383" s="87"/>
      <c r="F383" s="88"/>
      <c r="G383" s="65"/>
      <c r="H383" s="65"/>
      <c r="I383" s="65"/>
      <c r="J383" s="65"/>
      <c r="K383" s="65"/>
      <c r="L383" s="65"/>
      <c r="M383" s="89"/>
      <c r="N383" s="90"/>
      <c r="O383" s="42" t="b">
        <v>0</v>
      </c>
      <c r="P383" s="44"/>
      <c r="Q383" s="34"/>
      <c r="R383" s="34"/>
      <c r="S383" s="34"/>
      <c r="T383" s="34"/>
    </row>
    <row r="384" ht="15.75" customHeight="1">
      <c r="B384" s="86"/>
      <c r="C384" s="65"/>
      <c r="D384" s="65"/>
      <c r="E384" s="87"/>
      <c r="F384" s="88"/>
      <c r="G384" s="65"/>
      <c r="H384" s="65"/>
      <c r="I384" s="65"/>
      <c r="J384" s="65"/>
      <c r="K384" s="65"/>
      <c r="L384" s="65"/>
      <c r="M384" s="89"/>
      <c r="N384" s="90"/>
      <c r="O384" s="42" t="b">
        <v>0</v>
      </c>
      <c r="P384" s="44"/>
      <c r="Q384" s="34"/>
      <c r="R384" s="34"/>
      <c r="S384" s="34"/>
      <c r="T384" s="34"/>
    </row>
    <row r="385" ht="15.75" customHeight="1">
      <c r="B385" s="86"/>
      <c r="C385" s="65"/>
      <c r="D385" s="65"/>
      <c r="E385" s="87"/>
      <c r="F385" s="88"/>
      <c r="G385" s="65"/>
      <c r="H385" s="65"/>
      <c r="I385" s="65"/>
      <c r="J385" s="65"/>
      <c r="K385" s="65"/>
      <c r="L385" s="65"/>
      <c r="M385" s="89"/>
      <c r="N385" s="90"/>
      <c r="O385" s="42" t="b">
        <v>0</v>
      </c>
      <c r="P385" s="44"/>
      <c r="Q385" s="34"/>
      <c r="R385" s="34"/>
      <c r="S385" s="34"/>
      <c r="T385" s="34"/>
    </row>
    <row r="386" ht="15.75" customHeight="1">
      <c r="B386" s="86"/>
      <c r="C386" s="65"/>
      <c r="D386" s="65"/>
      <c r="E386" s="87"/>
      <c r="F386" s="88"/>
      <c r="G386" s="65"/>
      <c r="H386" s="65"/>
      <c r="I386" s="65"/>
      <c r="J386" s="65"/>
      <c r="K386" s="65"/>
      <c r="L386" s="65"/>
      <c r="M386" s="89"/>
      <c r="N386" s="128"/>
      <c r="O386" s="42" t="b">
        <v>0</v>
      </c>
      <c r="P386" s="44"/>
      <c r="Q386" s="34"/>
      <c r="R386" s="34"/>
      <c r="S386" s="34"/>
      <c r="T386" s="34"/>
    </row>
    <row r="387" ht="15.75" customHeight="1">
      <c r="B387" s="86"/>
      <c r="C387" s="65"/>
      <c r="D387" s="65"/>
      <c r="E387" s="87"/>
      <c r="F387" s="88"/>
      <c r="G387" s="65"/>
      <c r="H387" s="65"/>
      <c r="I387" s="65"/>
      <c r="J387" s="65"/>
      <c r="K387" s="65"/>
      <c r="L387" s="65"/>
      <c r="M387" s="89"/>
      <c r="N387" s="90"/>
      <c r="O387" s="42" t="b">
        <v>0</v>
      </c>
      <c r="P387" s="44"/>
      <c r="Q387" s="34"/>
      <c r="R387" s="34"/>
      <c r="S387" s="34"/>
      <c r="T387" s="34"/>
    </row>
    <row r="388" ht="15.75" customHeight="1">
      <c r="B388" s="86"/>
      <c r="C388" s="65"/>
      <c r="D388" s="65"/>
      <c r="E388" s="87"/>
      <c r="F388" s="88"/>
      <c r="G388" s="65"/>
      <c r="H388" s="65"/>
      <c r="I388" s="65"/>
      <c r="J388" s="65"/>
      <c r="K388" s="65"/>
      <c r="L388" s="65"/>
      <c r="M388" s="89"/>
      <c r="N388" s="90"/>
      <c r="O388" s="42" t="b">
        <v>0</v>
      </c>
      <c r="P388" s="44"/>
      <c r="Q388" s="34"/>
      <c r="R388" s="34"/>
      <c r="S388" s="34"/>
      <c r="T388" s="34"/>
    </row>
    <row r="389" ht="15.75" customHeight="1">
      <c r="B389" s="86"/>
      <c r="C389" s="65"/>
      <c r="D389" s="65"/>
      <c r="E389" s="87"/>
      <c r="F389" s="88"/>
      <c r="G389" s="65"/>
      <c r="H389" s="65"/>
      <c r="I389" s="65"/>
      <c r="J389" s="65"/>
      <c r="K389" s="65"/>
      <c r="L389" s="65"/>
      <c r="M389" s="89"/>
      <c r="N389" s="90"/>
      <c r="O389" s="42" t="b">
        <v>0</v>
      </c>
      <c r="P389" s="44"/>
      <c r="Q389" s="34"/>
      <c r="R389" s="34"/>
      <c r="S389" s="34"/>
      <c r="T389" s="34"/>
    </row>
    <row r="390" ht="15.75" customHeight="1">
      <c r="B390" s="86"/>
      <c r="C390" s="65"/>
      <c r="D390" s="65"/>
      <c r="E390" s="87"/>
      <c r="F390" s="88"/>
      <c r="G390" s="65"/>
      <c r="H390" s="65"/>
      <c r="I390" s="65"/>
      <c r="J390" s="65"/>
      <c r="K390" s="65"/>
      <c r="L390" s="65"/>
      <c r="M390" s="89"/>
      <c r="N390" s="90"/>
      <c r="O390" s="42" t="b">
        <v>0</v>
      </c>
      <c r="P390" s="44"/>
      <c r="Q390" s="34"/>
      <c r="R390" s="34"/>
      <c r="S390" s="34"/>
      <c r="T390" s="34"/>
    </row>
    <row r="391" ht="15.75" customHeight="1">
      <c r="B391" s="86"/>
      <c r="C391" s="65"/>
      <c r="D391" s="65"/>
      <c r="E391" s="87"/>
      <c r="F391" s="88"/>
      <c r="G391" s="65"/>
      <c r="H391" s="65"/>
      <c r="I391" s="65"/>
      <c r="J391" s="65"/>
      <c r="K391" s="65"/>
      <c r="L391" s="65"/>
      <c r="M391" s="89"/>
      <c r="N391" s="90"/>
      <c r="O391" s="42" t="b">
        <v>0</v>
      </c>
      <c r="P391" s="44"/>
      <c r="Q391" s="34"/>
      <c r="R391" s="34"/>
      <c r="S391" s="34"/>
      <c r="T391" s="34"/>
    </row>
    <row r="392" ht="15.75" customHeight="1">
      <c r="B392" s="86"/>
      <c r="C392" s="65"/>
      <c r="D392" s="65"/>
      <c r="E392" s="87"/>
      <c r="F392" s="88"/>
      <c r="G392" s="65"/>
      <c r="H392" s="65"/>
      <c r="I392" s="65"/>
      <c r="J392" s="65"/>
      <c r="K392" s="65"/>
      <c r="L392" s="65"/>
      <c r="M392" s="89"/>
      <c r="N392" s="90"/>
      <c r="O392" s="42" t="b">
        <v>0</v>
      </c>
      <c r="P392" s="44"/>
      <c r="Q392" s="34"/>
      <c r="R392" s="34"/>
      <c r="S392" s="34"/>
      <c r="T392" s="34"/>
    </row>
    <row r="393" ht="15.75" customHeight="1">
      <c r="B393" s="86"/>
      <c r="C393" s="65"/>
      <c r="D393" s="65"/>
      <c r="E393" s="87"/>
      <c r="F393" s="88"/>
      <c r="G393" s="65"/>
      <c r="H393" s="65"/>
      <c r="I393" s="65"/>
      <c r="J393" s="65"/>
      <c r="K393" s="65"/>
      <c r="L393" s="65"/>
      <c r="M393" s="89"/>
      <c r="N393" s="90"/>
      <c r="O393" s="42" t="b">
        <v>0</v>
      </c>
      <c r="P393" s="44"/>
      <c r="Q393" s="34"/>
      <c r="R393" s="34"/>
      <c r="S393" s="34"/>
      <c r="T393" s="34"/>
    </row>
    <row r="394" ht="15.75" customHeight="1">
      <c r="B394" s="86"/>
      <c r="C394" s="65"/>
      <c r="D394" s="65"/>
      <c r="E394" s="87"/>
      <c r="F394" s="88"/>
      <c r="G394" s="65"/>
      <c r="H394" s="65"/>
      <c r="I394" s="65"/>
      <c r="J394" s="65"/>
      <c r="K394" s="65"/>
      <c r="L394" s="65"/>
      <c r="M394" s="89"/>
      <c r="N394" s="48"/>
      <c r="O394" s="42" t="b">
        <v>0</v>
      </c>
      <c r="P394" s="44"/>
      <c r="Q394" s="34"/>
      <c r="R394" s="34"/>
      <c r="S394" s="34"/>
      <c r="T394" s="34"/>
    </row>
    <row r="395" ht="15.75" customHeight="1">
      <c r="B395" s="86"/>
      <c r="C395" s="65"/>
      <c r="D395" s="65"/>
      <c r="E395" s="87"/>
      <c r="F395" s="88"/>
      <c r="G395" s="65"/>
      <c r="H395" s="65"/>
      <c r="I395" s="65"/>
      <c r="J395" s="65"/>
      <c r="K395" s="65"/>
      <c r="L395" s="65"/>
      <c r="M395" s="89"/>
      <c r="N395" s="90"/>
      <c r="O395" s="42" t="b">
        <v>0</v>
      </c>
      <c r="P395" s="44"/>
      <c r="Q395" s="34"/>
      <c r="R395" s="34"/>
      <c r="S395" s="34"/>
      <c r="T395" s="34"/>
    </row>
    <row r="396" ht="15.75" customHeight="1">
      <c r="B396" s="86"/>
      <c r="C396" s="65"/>
      <c r="D396" s="65"/>
      <c r="E396" s="87"/>
      <c r="F396" s="88"/>
      <c r="G396" s="65"/>
      <c r="H396" s="65"/>
      <c r="I396" s="65"/>
      <c r="J396" s="65"/>
      <c r="K396" s="65"/>
      <c r="L396" s="65"/>
      <c r="M396" s="89"/>
      <c r="N396" s="90"/>
      <c r="O396" s="42" t="b">
        <v>0</v>
      </c>
      <c r="P396" s="44"/>
      <c r="Q396" s="34"/>
      <c r="R396" s="34"/>
      <c r="S396" s="34"/>
      <c r="T396" s="34"/>
    </row>
    <row r="397" ht="15.75" customHeight="1">
      <c r="B397" s="86"/>
      <c r="C397" s="65"/>
      <c r="D397" s="65"/>
      <c r="E397" s="87"/>
      <c r="F397" s="88"/>
      <c r="G397" s="65"/>
      <c r="H397" s="65"/>
      <c r="I397" s="65"/>
      <c r="J397" s="65"/>
      <c r="K397" s="65"/>
      <c r="L397" s="65"/>
      <c r="M397" s="89"/>
      <c r="N397" s="90"/>
      <c r="O397" s="42" t="b">
        <v>0</v>
      </c>
      <c r="P397" s="44"/>
      <c r="Q397" s="34"/>
      <c r="R397" s="34"/>
      <c r="S397" s="34"/>
      <c r="T397" s="34"/>
    </row>
    <row r="398" ht="15.75" customHeight="1">
      <c r="B398" s="86"/>
      <c r="C398" s="65"/>
      <c r="D398" s="65"/>
      <c r="E398" s="87"/>
      <c r="F398" s="88"/>
      <c r="G398" s="65"/>
      <c r="H398" s="65"/>
      <c r="I398" s="65"/>
      <c r="J398" s="65"/>
      <c r="K398" s="65"/>
      <c r="L398" s="65"/>
      <c r="M398" s="89"/>
      <c r="N398" s="90"/>
      <c r="O398" s="42" t="b">
        <v>0</v>
      </c>
      <c r="P398" s="44"/>
      <c r="Q398" s="34"/>
      <c r="R398" s="34"/>
      <c r="S398" s="34"/>
      <c r="T398" s="34"/>
    </row>
    <row r="399" ht="15.75" customHeight="1">
      <c r="B399" s="86"/>
      <c r="C399" s="65"/>
      <c r="D399" s="65"/>
      <c r="E399" s="87"/>
      <c r="F399" s="88"/>
      <c r="G399" s="65"/>
      <c r="H399" s="65"/>
      <c r="I399" s="65"/>
      <c r="J399" s="65"/>
      <c r="K399" s="65"/>
      <c r="L399" s="65"/>
      <c r="M399" s="89"/>
      <c r="N399" s="90"/>
      <c r="O399" s="42" t="b">
        <v>0</v>
      </c>
      <c r="P399" s="44"/>
      <c r="Q399" s="34"/>
      <c r="R399" s="34"/>
      <c r="S399" s="34"/>
      <c r="T399" s="34"/>
    </row>
    <row r="400" ht="15.75" customHeight="1">
      <c r="B400" s="86"/>
      <c r="C400" s="65"/>
      <c r="D400" s="65"/>
      <c r="E400" s="87"/>
      <c r="F400" s="88"/>
      <c r="G400" s="65"/>
      <c r="H400" s="65"/>
      <c r="I400" s="65"/>
      <c r="J400" s="65"/>
      <c r="K400" s="65"/>
      <c r="L400" s="65"/>
      <c r="M400" s="89"/>
      <c r="N400" s="90"/>
      <c r="O400" s="42" t="b">
        <v>0</v>
      </c>
      <c r="P400" s="36"/>
      <c r="Q400" s="34"/>
      <c r="R400" s="34"/>
      <c r="S400" s="34"/>
      <c r="T400" s="34"/>
    </row>
    <row r="401" ht="15.75" customHeight="1">
      <c r="B401" s="86"/>
      <c r="C401" s="65"/>
      <c r="D401" s="65"/>
      <c r="E401" s="87"/>
      <c r="F401" s="88"/>
      <c r="G401" s="65"/>
      <c r="H401" s="65"/>
      <c r="I401" s="65"/>
      <c r="J401" s="65"/>
      <c r="K401" s="65"/>
      <c r="L401" s="65"/>
      <c r="M401" s="89"/>
      <c r="N401" s="90"/>
      <c r="O401" s="42" t="b">
        <v>0</v>
      </c>
      <c r="P401" s="36"/>
      <c r="Q401" s="34"/>
      <c r="R401" s="33"/>
      <c r="S401" s="34"/>
      <c r="T401" s="35"/>
    </row>
    <row r="402" ht="15.0" customHeight="1">
      <c r="B402" s="86"/>
      <c r="C402" s="65"/>
      <c r="D402" s="65"/>
      <c r="E402" s="87"/>
      <c r="F402" s="88"/>
      <c r="G402" s="65"/>
      <c r="H402" s="65"/>
      <c r="I402" s="65"/>
      <c r="J402" s="65"/>
      <c r="K402" s="65"/>
      <c r="L402" s="65"/>
      <c r="M402" s="89"/>
      <c r="N402" s="90"/>
      <c r="O402" s="42" t="b">
        <v>0</v>
      </c>
      <c r="P402" s="44"/>
      <c r="Q402" s="34"/>
      <c r="R402" s="33"/>
      <c r="S402" s="34"/>
      <c r="T402" s="34"/>
    </row>
    <row r="403" ht="15.75" customHeight="1">
      <c r="B403" s="86"/>
      <c r="C403" s="65"/>
      <c r="D403" s="65"/>
      <c r="E403" s="87"/>
      <c r="F403" s="88"/>
      <c r="G403" s="65"/>
      <c r="H403" s="65"/>
      <c r="I403" s="65"/>
      <c r="J403" s="65"/>
      <c r="K403" s="65"/>
      <c r="L403" s="65"/>
      <c r="M403" s="89"/>
      <c r="N403" s="90"/>
      <c r="O403" s="42" t="b">
        <v>0</v>
      </c>
      <c r="P403" s="44"/>
      <c r="Q403" s="34"/>
      <c r="R403" s="34"/>
      <c r="S403" s="34"/>
      <c r="T403" s="34"/>
    </row>
    <row r="404" ht="15.75" customHeight="1">
      <c r="B404" s="86"/>
      <c r="C404" s="65"/>
      <c r="D404" s="65"/>
      <c r="E404" s="87"/>
      <c r="F404" s="88"/>
      <c r="G404" s="65"/>
      <c r="H404" s="65"/>
      <c r="I404" s="65"/>
      <c r="J404" s="65"/>
      <c r="K404" s="65"/>
      <c r="L404" s="65"/>
      <c r="M404" s="89"/>
      <c r="N404" s="90"/>
      <c r="O404" s="42" t="b">
        <v>0</v>
      </c>
      <c r="P404" s="44"/>
      <c r="Q404" s="34"/>
      <c r="R404" s="34"/>
      <c r="S404" s="34"/>
      <c r="T404" s="34"/>
    </row>
    <row r="405" ht="15.75" customHeight="1">
      <c r="B405" s="86"/>
      <c r="C405" s="65"/>
      <c r="D405" s="65"/>
      <c r="E405" s="87"/>
      <c r="F405" s="88"/>
      <c r="G405" s="65"/>
      <c r="H405" s="65"/>
      <c r="I405" s="65"/>
      <c r="J405" s="65"/>
      <c r="K405" s="65"/>
      <c r="L405" s="65"/>
      <c r="M405" s="89"/>
      <c r="N405" s="90"/>
      <c r="O405" s="42" t="b">
        <v>0</v>
      </c>
      <c r="P405" s="44"/>
      <c r="Q405" s="34"/>
      <c r="R405" s="34"/>
      <c r="S405" s="34"/>
      <c r="T405" s="35"/>
    </row>
    <row r="406" ht="15.75" customHeight="1">
      <c r="B406" s="86"/>
      <c r="C406" s="65"/>
      <c r="D406" s="65"/>
      <c r="E406" s="87"/>
      <c r="F406" s="88"/>
      <c r="G406" s="65"/>
      <c r="H406" s="65"/>
      <c r="I406" s="65"/>
      <c r="J406" s="65"/>
      <c r="K406" s="65"/>
      <c r="L406" s="65"/>
      <c r="M406" s="89"/>
      <c r="N406" s="90"/>
      <c r="O406" s="42" t="b">
        <v>0</v>
      </c>
      <c r="P406" s="44"/>
      <c r="Q406" s="34"/>
      <c r="R406" s="34"/>
      <c r="S406" s="34"/>
      <c r="T406" s="34"/>
    </row>
    <row r="407" ht="15.75" customHeight="1">
      <c r="B407" s="86"/>
      <c r="C407" s="65"/>
      <c r="D407" s="65"/>
      <c r="E407" s="87"/>
      <c r="F407" s="88"/>
      <c r="G407" s="65"/>
      <c r="H407" s="65"/>
      <c r="I407" s="65"/>
      <c r="J407" s="65"/>
      <c r="K407" s="65"/>
      <c r="L407" s="65"/>
      <c r="M407" s="89"/>
      <c r="N407" s="90"/>
      <c r="O407" s="42" t="b">
        <v>0</v>
      </c>
      <c r="P407" s="44"/>
      <c r="Q407" s="34"/>
      <c r="R407" s="34"/>
      <c r="S407" s="34"/>
      <c r="T407" s="34"/>
    </row>
    <row r="408" ht="15.75" customHeight="1">
      <c r="B408" s="86"/>
      <c r="C408" s="65"/>
      <c r="D408" s="65"/>
      <c r="E408" s="87"/>
      <c r="F408" s="88"/>
      <c r="G408" s="65"/>
      <c r="H408" s="65"/>
      <c r="I408" s="65"/>
      <c r="J408" s="65"/>
      <c r="K408" s="65"/>
      <c r="L408" s="65"/>
      <c r="M408" s="89"/>
      <c r="N408" s="90"/>
      <c r="O408" s="42" t="b">
        <v>0</v>
      </c>
      <c r="P408" s="44"/>
      <c r="Q408" s="34"/>
      <c r="R408" s="34"/>
      <c r="S408" s="34"/>
      <c r="T408" s="34"/>
    </row>
    <row r="409" ht="15.75" customHeight="1">
      <c r="B409" s="86"/>
      <c r="C409" s="65"/>
      <c r="D409" s="65"/>
      <c r="E409" s="87"/>
      <c r="F409" s="88"/>
      <c r="G409" s="65"/>
      <c r="H409" s="65"/>
      <c r="I409" s="65"/>
      <c r="J409" s="65"/>
      <c r="K409" s="65"/>
      <c r="L409" s="65"/>
      <c r="M409" s="89"/>
      <c r="N409" s="90"/>
      <c r="O409" s="42" t="b">
        <v>0</v>
      </c>
      <c r="P409" s="44"/>
      <c r="Q409" s="34"/>
      <c r="R409" s="34"/>
      <c r="S409" s="34"/>
      <c r="T409" s="35"/>
    </row>
    <row r="410" ht="15.75" customHeight="1">
      <c r="B410" s="86"/>
      <c r="C410" s="65"/>
      <c r="D410" s="65"/>
      <c r="E410" s="87"/>
      <c r="F410" s="88"/>
      <c r="G410" s="65"/>
      <c r="H410" s="65"/>
      <c r="I410" s="65"/>
      <c r="J410" s="65"/>
      <c r="K410" s="65"/>
      <c r="L410" s="65"/>
      <c r="M410" s="89"/>
      <c r="N410" s="90"/>
      <c r="O410" s="42" t="b">
        <v>0</v>
      </c>
      <c r="P410" s="44"/>
      <c r="Q410" s="34"/>
      <c r="R410" s="34"/>
      <c r="S410" s="34"/>
      <c r="T410" s="34"/>
    </row>
    <row r="411" ht="15.75" customHeight="1">
      <c r="B411" s="86"/>
      <c r="C411" s="65"/>
      <c r="D411" s="65"/>
      <c r="E411" s="87"/>
      <c r="F411" s="88"/>
      <c r="G411" s="65"/>
      <c r="H411" s="65"/>
      <c r="I411" s="65"/>
      <c r="J411" s="65"/>
      <c r="K411" s="65"/>
      <c r="L411" s="65"/>
      <c r="M411" s="89"/>
      <c r="N411" s="90"/>
      <c r="O411" s="42" t="b">
        <v>0</v>
      </c>
      <c r="P411" s="44"/>
      <c r="Q411" s="34"/>
      <c r="R411" s="34"/>
      <c r="S411" s="34"/>
      <c r="T411" s="34"/>
    </row>
    <row r="412" ht="15.75" customHeight="1">
      <c r="B412" s="86"/>
      <c r="C412" s="65"/>
      <c r="D412" s="65"/>
      <c r="E412" s="87"/>
      <c r="F412" s="88"/>
      <c r="G412" s="65"/>
      <c r="H412" s="65"/>
      <c r="I412" s="65"/>
      <c r="J412" s="65"/>
      <c r="K412" s="65"/>
      <c r="L412" s="65"/>
      <c r="M412" s="89"/>
      <c r="N412" s="90"/>
      <c r="O412" s="42" t="b">
        <v>0</v>
      </c>
      <c r="P412" s="44"/>
      <c r="Q412" s="34"/>
      <c r="R412" s="34"/>
      <c r="S412" s="34"/>
      <c r="T412" s="34"/>
    </row>
    <row r="413" ht="15.75" customHeight="1">
      <c r="B413" s="86"/>
      <c r="C413" s="65"/>
      <c r="D413" s="65"/>
      <c r="E413" s="87"/>
      <c r="F413" s="88"/>
      <c r="G413" s="65"/>
      <c r="H413" s="65"/>
      <c r="I413" s="65"/>
      <c r="J413" s="65"/>
      <c r="K413" s="65"/>
      <c r="L413" s="65"/>
      <c r="M413" s="89"/>
      <c r="N413" s="90"/>
      <c r="O413" s="42" t="b">
        <v>0</v>
      </c>
      <c r="P413" s="44"/>
      <c r="Q413" s="34"/>
      <c r="R413" s="34"/>
      <c r="S413" s="34"/>
      <c r="T413" s="34"/>
    </row>
    <row r="414" ht="15.75" customHeight="1">
      <c r="B414" s="86"/>
      <c r="C414" s="65"/>
      <c r="D414" s="65"/>
      <c r="E414" s="87"/>
      <c r="F414" s="88"/>
      <c r="G414" s="65"/>
      <c r="H414" s="65"/>
      <c r="I414" s="65"/>
      <c r="J414" s="65"/>
      <c r="K414" s="65"/>
      <c r="L414" s="65"/>
      <c r="M414" s="89"/>
      <c r="N414" s="90"/>
      <c r="O414" s="42" t="b">
        <v>0</v>
      </c>
      <c r="P414" s="44"/>
      <c r="Q414" s="34"/>
      <c r="R414" s="34"/>
      <c r="S414" s="34"/>
      <c r="T414" s="34"/>
    </row>
    <row r="415" ht="15.75" customHeight="1">
      <c r="B415" s="86"/>
      <c r="C415" s="65"/>
      <c r="D415" s="65"/>
      <c r="E415" s="87"/>
      <c r="F415" s="88"/>
      <c r="G415" s="65"/>
      <c r="H415" s="65"/>
      <c r="I415" s="65"/>
      <c r="J415" s="65"/>
      <c r="K415" s="65"/>
      <c r="L415" s="65"/>
      <c r="M415" s="89"/>
      <c r="N415" s="90"/>
      <c r="O415" s="42" t="b">
        <v>0</v>
      </c>
      <c r="P415" s="44"/>
      <c r="Q415" s="34"/>
      <c r="R415" s="34"/>
      <c r="S415" s="34"/>
      <c r="T415" s="34"/>
    </row>
    <row r="416" ht="15.75" customHeight="1">
      <c r="B416" s="86"/>
      <c r="C416" s="65"/>
      <c r="D416" s="65"/>
      <c r="E416" s="87"/>
      <c r="F416" s="88"/>
      <c r="G416" s="65"/>
      <c r="H416" s="65"/>
      <c r="I416" s="65"/>
      <c r="J416" s="65"/>
      <c r="K416" s="65"/>
      <c r="L416" s="65"/>
      <c r="M416" s="89"/>
      <c r="N416" s="90"/>
      <c r="O416" s="42" t="b">
        <v>0</v>
      </c>
      <c r="P416" s="44"/>
      <c r="Q416" s="34"/>
      <c r="R416" s="34"/>
      <c r="S416" s="34"/>
      <c r="T416" s="34"/>
    </row>
    <row r="417" ht="15.75" customHeight="1">
      <c r="B417" s="86"/>
      <c r="C417" s="65"/>
      <c r="D417" s="65"/>
      <c r="E417" s="87"/>
      <c r="F417" s="88"/>
      <c r="G417" s="65"/>
      <c r="H417" s="65"/>
      <c r="I417" s="65"/>
      <c r="J417" s="65"/>
      <c r="K417" s="65"/>
      <c r="L417" s="65"/>
      <c r="M417" s="89"/>
      <c r="N417" s="90"/>
      <c r="O417" s="42" t="b">
        <v>0</v>
      </c>
      <c r="P417" s="44"/>
      <c r="Q417" s="34"/>
      <c r="R417" s="34"/>
      <c r="S417" s="34"/>
      <c r="T417" s="34"/>
    </row>
    <row r="418" ht="15.75" customHeight="1">
      <c r="B418" s="86"/>
      <c r="C418" s="65"/>
      <c r="D418" s="65"/>
      <c r="E418" s="87"/>
      <c r="F418" s="88"/>
      <c r="G418" s="65"/>
      <c r="H418" s="65"/>
      <c r="I418" s="65"/>
      <c r="J418" s="65"/>
      <c r="K418" s="65"/>
      <c r="L418" s="65"/>
      <c r="M418" s="89"/>
      <c r="N418" s="90"/>
      <c r="O418" s="42" t="b">
        <v>0</v>
      </c>
      <c r="P418" s="44"/>
      <c r="Q418" s="34"/>
      <c r="R418" s="34"/>
      <c r="S418" s="34"/>
      <c r="T418" s="34"/>
    </row>
    <row r="419" ht="15.75" customHeight="1">
      <c r="B419" s="86"/>
      <c r="C419" s="65"/>
      <c r="D419" s="65"/>
      <c r="E419" s="87"/>
      <c r="F419" s="88"/>
      <c r="G419" s="65"/>
      <c r="H419" s="65"/>
      <c r="I419" s="65"/>
      <c r="J419" s="65"/>
      <c r="K419" s="65"/>
      <c r="L419" s="65"/>
      <c r="M419" s="89"/>
      <c r="N419" s="90"/>
      <c r="O419" s="42" t="b">
        <v>0</v>
      </c>
      <c r="P419" s="44"/>
      <c r="Q419" s="34"/>
      <c r="R419" s="34"/>
      <c r="S419" s="34"/>
      <c r="T419" s="34"/>
    </row>
    <row r="420" ht="15.75" customHeight="1">
      <c r="B420" s="86"/>
      <c r="C420" s="65"/>
      <c r="D420" s="65"/>
      <c r="E420" s="87"/>
      <c r="F420" s="88"/>
      <c r="G420" s="65"/>
      <c r="H420" s="65"/>
      <c r="I420" s="65"/>
      <c r="J420" s="65"/>
      <c r="K420" s="65"/>
      <c r="L420" s="65"/>
      <c r="M420" s="89"/>
      <c r="N420" s="90"/>
      <c r="O420" s="42" t="b">
        <v>0</v>
      </c>
      <c r="P420" s="44"/>
      <c r="Q420" s="34"/>
      <c r="R420" s="34"/>
      <c r="S420" s="34"/>
      <c r="T420" s="34"/>
    </row>
    <row r="421" ht="15.75" customHeight="1">
      <c r="B421" s="86"/>
      <c r="C421" s="65"/>
      <c r="D421" s="65"/>
      <c r="E421" s="87"/>
      <c r="F421" s="88"/>
      <c r="G421" s="65"/>
      <c r="H421" s="65"/>
      <c r="I421" s="65"/>
      <c r="J421" s="65"/>
      <c r="K421" s="65"/>
      <c r="L421" s="65"/>
      <c r="M421" s="89"/>
      <c r="N421" s="90"/>
      <c r="O421" s="42" t="b">
        <v>0</v>
      </c>
      <c r="P421" s="44"/>
      <c r="Q421" s="34"/>
      <c r="R421" s="34"/>
      <c r="S421" s="34"/>
      <c r="T421" s="34"/>
    </row>
    <row r="422" ht="15.75" customHeight="1">
      <c r="B422" s="86"/>
      <c r="C422" s="65"/>
      <c r="D422" s="65"/>
      <c r="E422" s="87"/>
      <c r="F422" s="88"/>
      <c r="G422" s="65"/>
      <c r="H422" s="65"/>
      <c r="I422" s="65"/>
      <c r="J422" s="65"/>
      <c r="K422" s="65"/>
      <c r="L422" s="65"/>
      <c r="M422" s="89"/>
      <c r="N422" s="90"/>
      <c r="O422" s="42" t="b">
        <v>0</v>
      </c>
      <c r="P422" s="44"/>
      <c r="Q422" s="34"/>
      <c r="R422" s="34"/>
      <c r="S422" s="34"/>
      <c r="T422" s="34"/>
    </row>
    <row r="423" ht="15.75" customHeight="1">
      <c r="B423" s="86"/>
      <c r="C423" s="65"/>
      <c r="D423" s="65"/>
      <c r="E423" s="87"/>
      <c r="F423" s="88"/>
      <c r="G423" s="65"/>
      <c r="H423" s="65"/>
      <c r="I423" s="65"/>
      <c r="J423" s="65"/>
      <c r="K423" s="65"/>
      <c r="L423" s="65"/>
      <c r="M423" s="89"/>
      <c r="N423" s="90"/>
      <c r="O423" s="42" t="b">
        <v>0</v>
      </c>
      <c r="P423" s="44"/>
      <c r="Q423" s="34"/>
      <c r="R423" s="34"/>
      <c r="S423" s="34"/>
      <c r="T423" s="34"/>
    </row>
    <row r="424" ht="15.75" customHeight="1">
      <c r="B424" s="86"/>
      <c r="C424" s="65"/>
      <c r="D424" s="65"/>
      <c r="E424" s="87"/>
      <c r="F424" s="88"/>
      <c r="G424" s="65"/>
      <c r="H424" s="65"/>
      <c r="I424" s="65"/>
      <c r="J424" s="65"/>
      <c r="K424" s="65"/>
      <c r="L424" s="65"/>
      <c r="M424" s="89"/>
      <c r="N424" s="90"/>
      <c r="O424" s="42" t="b">
        <v>0</v>
      </c>
      <c r="P424" s="44"/>
      <c r="Q424" s="34"/>
      <c r="R424" s="34"/>
      <c r="S424" s="34"/>
      <c r="T424" s="35"/>
    </row>
    <row r="425" ht="15.75" customHeight="1">
      <c r="B425" s="86"/>
      <c r="C425" s="65"/>
      <c r="D425" s="65"/>
      <c r="E425" s="87"/>
      <c r="F425" s="88"/>
      <c r="G425" s="65"/>
      <c r="H425" s="65"/>
      <c r="I425" s="65"/>
      <c r="J425" s="65"/>
      <c r="K425" s="65"/>
      <c r="L425" s="65"/>
      <c r="M425" s="89"/>
      <c r="N425" s="90"/>
      <c r="O425" s="42" t="b">
        <v>0</v>
      </c>
      <c r="P425" s="44"/>
      <c r="Q425" s="34"/>
      <c r="R425" s="34"/>
      <c r="S425" s="34"/>
      <c r="T425" s="34"/>
    </row>
    <row r="426" ht="15.75" customHeight="1">
      <c r="B426" s="86"/>
      <c r="C426" s="65"/>
      <c r="D426" s="65"/>
      <c r="E426" s="87"/>
      <c r="F426" s="88"/>
      <c r="G426" s="65"/>
      <c r="H426" s="65"/>
      <c r="I426" s="65"/>
      <c r="J426" s="65"/>
      <c r="K426" s="65"/>
      <c r="L426" s="65"/>
      <c r="M426" s="89"/>
      <c r="N426" s="90"/>
      <c r="O426" s="42" t="b">
        <v>0</v>
      </c>
      <c r="P426" s="44"/>
      <c r="Q426" s="34"/>
      <c r="R426" s="34"/>
      <c r="S426" s="34"/>
      <c r="T426" s="34"/>
    </row>
    <row r="427" ht="15.75" customHeight="1">
      <c r="B427" s="86"/>
      <c r="C427" s="65"/>
      <c r="D427" s="65"/>
      <c r="E427" s="87"/>
      <c r="F427" s="88"/>
      <c r="G427" s="65"/>
      <c r="H427" s="65"/>
      <c r="I427" s="65"/>
      <c r="J427" s="65"/>
      <c r="K427" s="65"/>
      <c r="L427" s="65"/>
      <c r="M427" s="89"/>
      <c r="N427" s="128"/>
      <c r="O427" s="42" t="b">
        <v>0</v>
      </c>
      <c r="P427" s="36"/>
      <c r="Q427" s="34"/>
      <c r="R427" s="34"/>
      <c r="S427" s="34"/>
      <c r="T427" s="34"/>
    </row>
    <row r="428" ht="15.75" customHeight="1">
      <c r="B428" s="86"/>
      <c r="C428" s="65"/>
      <c r="D428" s="65"/>
      <c r="E428" s="87"/>
      <c r="F428" s="88"/>
      <c r="G428" s="65"/>
      <c r="H428" s="65"/>
      <c r="I428" s="65"/>
      <c r="J428" s="65"/>
      <c r="K428" s="65"/>
      <c r="L428" s="65"/>
      <c r="M428" s="89"/>
      <c r="N428" s="128"/>
      <c r="O428" s="42" t="b">
        <v>0</v>
      </c>
      <c r="P428" s="44"/>
      <c r="Q428" s="34"/>
      <c r="R428" s="34"/>
      <c r="S428" s="34"/>
      <c r="T428" s="34"/>
    </row>
    <row r="429" ht="15.75" customHeight="1">
      <c r="B429" s="86"/>
      <c r="C429" s="65"/>
      <c r="D429" s="65"/>
      <c r="E429" s="87"/>
      <c r="F429" s="88"/>
      <c r="G429" s="65"/>
      <c r="H429" s="65"/>
      <c r="I429" s="65"/>
      <c r="J429" s="65"/>
      <c r="K429" s="65"/>
      <c r="L429" s="65"/>
      <c r="M429" s="89"/>
      <c r="N429" s="128"/>
      <c r="O429" s="42" t="b">
        <v>0</v>
      </c>
      <c r="P429" s="44"/>
      <c r="Q429" s="34"/>
      <c r="R429" s="34"/>
      <c r="S429" s="34"/>
      <c r="T429" s="34"/>
    </row>
    <row r="430" ht="15.75" customHeight="1">
      <c r="B430" s="86"/>
      <c r="C430" s="65"/>
      <c r="D430" s="65"/>
      <c r="E430" s="87"/>
      <c r="F430" s="88"/>
      <c r="G430" s="65"/>
      <c r="H430" s="65"/>
      <c r="I430" s="65"/>
      <c r="J430" s="65"/>
      <c r="K430" s="65"/>
      <c r="L430" s="65"/>
      <c r="M430" s="89"/>
      <c r="N430" s="128"/>
      <c r="O430" s="42" t="b">
        <v>0</v>
      </c>
      <c r="P430" s="44"/>
      <c r="Q430" s="34"/>
      <c r="R430" s="34"/>
      <c r="S430" s="34"/>
      <c r="T430" s="34"/>
    </row>
    <row r="431" ht="15.75" customHeight="1">
      <c r="B431" s="86"/>
      <c r="C431" s="65"/>
      <c r="D431" s="65"/>
      <c r="E431" s="87"/>
      <c r="F431" s="88"/>
      <c r="G431" s="65"/>
      <c r="H431" s="65"/>
      <c r="I431" s="65"/>
      <c r="J431" s="65"/>
      <c r="K431" s="65"/>
      <c r="L431" s="65"/>
      <c r="M431" s="89"/>
      <c r="N431" s="128"/>
      <c r="O431" s="42" t="b">
        <v>0</v>
      </c>
      <c r="P431" s="44"/>
      <c r="Q431" s="34"/>
      <c r="R431" s="34"/>
      <c r="S431" s="34"/>
      <c r="T431" s="34"/>
    </row>
    <row r="432" ht="15.75" customHeight="1">
      <c r="B432" s="86"/>
      <c r="C432" s="65"/>
      <c r="D432" s="65"/>
      <c r="E432" s="87"/>
      <c r="F432" s="88"/>
      <c r="G432" s="65"/>
      <c r="H432" s="65"/>
      <c r="I432" s="65"/>
      <c r="J432" s="65"/>
      <c r="K432" s="65"/>
      <c r="L432" s="65"/>
      <c r="M432" s="89"/>
      <c r="N432" s="128"/>
      <c r="O432" s="42" t="b">
        <v>0</v>
      </c>
      <c r="P432" s="45"/>
      <c r="Q432" s="34"/>
      <c r="R432" s="34"/>
      <c r="S432" s="34"/>
      <c r="T432" s="34"/>
    </row>
    <row r="433" ht="15.75" customHeight="1">
      <c r="B433" s="86"/>
      <c r="C433" s="65"/>
      <c r="D433" s="65"/>
      <c r="E433" s="87"/>
      <c r="F433" s="88"/>
      <c r="G433" s="65"/>
      <c r="H433" s="65"/>
      <c r="I433" s="65"/>
      <c r="J433" s="65"/>
      <c r="K433" s="65"/>
      <c r="L433" s="65"/>
      <c r="M433" s="89"/>
      <c r="N433" s="128"/>
      <c r="O433" s="42" t="b">
        <v>0</v>
      </c>
      <c r="P433" s="45"/>
      <c r="Q433" s="34"/>
      <c r="R433" s="34"/>
      <c r="S433" s="34"/>
      <c r="T433" s="34"/>
    </row>
    <row r="434" ht="15.75" customHeight="1">
      <c r="B434" s="86"/>
      <c r="C434" s="65"/>
      <c r="D434" s="65"/>
      <c r="E434" s="87"/>
      <c r="F434" s="88"/>
      <c r="G434" s="65"/>
      <c r="H434" s="65"/>
      <c r="I434" s="65"/>
      <c r="J434" s="65"/>
      <c r="K434" s="65"/>
      <c r="L434" s="65"/>
      <c r="M434" s="89"/>
      <c r="N434" s="128"/>
      <c r="O434" s="42" t="b">
        <v>0</v>
      </c>
      <c r="P434" s="44"/>
      <c r="Q434" s="34"/>
      <c r="R434" s="34"/>
      <c r="S434" s="34"/>
      <c r="T434" s="34"/>
    </row>
    <row r="435" ht="15.75" customHeight="1">
      <c r="B435" s="48"/>
      <c r="C435" s="98"/>
      <c r="D435" s="65"/>
      <c r="E435" s="87"/>
      <c r="F435" s="88"/>
      <c r="G435" s="65"/>
      <c r="H435" s="65"/>
      <c r="I435" s="65"/>
      <c r="J435" s="65"/>
      <c r="K435" s="65"/>
      <c r="L435" s="65"/>
      <c r="M435" s="89"/>
      <c r="N435" s="90"/>
      <c r="O435" s="42" t="b">
        <v>0</v>
      </c>
      <c r="P435" s="44"/>
      <c r="Q435" s="34"/>
      <c r="R435" s="33"/>
      <c r="S435" s="34"/>
      <c r="T435" s="34"/>
    </row>
    <row r="436" ht="15.75" customHeight="1">
      <c r="B436" s="86"/>
      <c r="C436" s="65"/>
      <c r="D436" s="65"/>
      <c r="E436" s="87"/>
      <c r="F436" s="88"/>
      <c r="G436" s="65"/>
      <c r="H436" s="65"/>
      <c r="I436" s="65"/>
      <c r="J436" s="65"/>
      <c r="K436" s="65"/>
      <c r="L436" s="65"/>
      <c r="M436" s="89"/>
      <c r="N436" s="90"/>
      <c r="O436" s="42" t="b">
        <v>0</v>
      </c>
      <c r="P436" s="44"/>
      <c r="Q436" s="34"/>
      <c r="R436" s="34"/>
      <c r="S436" s="34"/>
      <c r="T436" s="34"/>
    </row>
    <row r="437" ht="15.75" customHeight="1">
      <c r="B437" s="86"/>
      <c r="C437" s="65"/>
      <c r="D437" s="65"/>
      <c r="E437" s="87"/>
      <c r="F437" s="88"/>
      <c r="G437" s="65"/>
      <c r="H437" s="65"/>
      <c r="I437" s="65"/>
      <c r="J437" s="65"/>
      <c r="K437" s="65"/>
      <c r="L437" s="65"/>
      <c r="M437" s="89"/>
      <c r="N437" s="90"/>
      <c r="O437" s="42" t="b">
        <v>0</v>
      </c>
      <c r="P437" s="44"/>
      <c r="Q437" s="34"/>
      <c r="R437" s="34"/>
      <c r="S437" s="34"/>
      <c r="T437" s="34"/>
    </row>
    <row r="438" ht="15.75" customHeight="1">
      <c r="B438" s="86"/>
      <c r="C438" s="65"/>
      <c r="D438" s="65"/>
      <c r="E438" s="87"/>
      <c r="F438" s="88"/>
      <c r="G438" s="65"/>
      <c r="H438" s="65"/>
      <c r="I438" s="65"/>
      <c r="J438" s="65"/>
      <c r="K438" s="65"/>
      <c r="L438" s="65"/>
      <c r="M438" s="89"/>
      <c r="N438" s="90"/>
      <c r="O438" s="42" t="b">
        <v>0</v>
      </c>
      <c r="P438" s="44"/>
      <c r="Q438" s="34"/>
      <c r="R438" s="34"/>
      <c r="S438" s="34"/>
      <c r="T438" s="34"/>
    </row>
    <row r="439" ht="15.75" customHeight="1">
      <c r="B439" s="86"/>
      <c r="C439" s="65"/>
      <c r="D439" s="65"/>
      <c r="E439" s="87"/>
      <c r="F439" s="88"/>
      <c r="G439" s="65"/>
      <c r="H439" s="65"/>
      <c r="I439" s="65"/>
      <c r="J439" s="65"/>
      <c r="K439" s="65"/>
      <c r="L439" s="65"/>
      <c r="M439" s="89"/>
      <c r="N439" s="90"/>
      <c r="O439" s="42" t="b">
        <v>0</v>
      </c>
      <c r="P439" s="44"/>
      <c r="Q439" s="34"/>
      <c r="R439" s="34"/>
      <c r="S439" s="34"/>
      <c r="T439" s="34"/>
    </row>
    <row r="440" ht="15.75" customHeight="1">
      <c r="B440" s="86"/>
      <c r="C440" s="65"/>
      <c r="D440" s="65"/>
      <c r="E440" s="87"/>
      <c r="F440" s="88"/>
      <c r="G440" s="65"/>
      <c r="H440" s="65"/>
      <c r="I440" s="65"/>
      <c r="J440" s="65"/>
      <c r="K440" s="65"/>
      <c r="L440" s="65"/>
      <c r="M440" s="89"/>
      <c r="N440" s="90"/>
      <c r="O440" s="42" t="b">
        <v>0</v>
      </c>
      <c r="P440" s="44"/>
      <c r="Q440" s="34"/>
      <c r="R440" s="34"/>
      <c r="S440" s="34"/>
      <c r="T440" s="34"/>
    </row>
    <row r="441" ht="15.75" customHeight="1">
      <c r="B441" s="86"/>
      <c r="C441" s="65"/>
      <c r="D441" s="65"/>
      <c r="E441" s="87"/>
      <c r="F441" s="88"/>
      <c r="G441" s="65"/>
      <c r="H441" s="65"/>
      <c r="I441" s="65"/>
      <c r="J441" s="65"/>
      <c r="K441" s="65"/>
      <c r="L441" s="65"/>
      <c r="M441" s="89"/>
      <c r="N441" s="90"/>
      <c r="O441" s="42" t="b">
        <v>0</v>
      </c>
      <c r="P441" s="44"/>
      <c r="Q441" s="34"/>
      <c r="R441" s="34"/>
      <c r="S441" s="34"/>
      <c r="T441" s="34"/>
    </row>
    <row r="442" ht="15.75" customHeight="1">
      <c r="B442" s="86"/>
      <c r="C442" s="65"/>
      <c r="D442" s="65"/>
      <c r="E442" s="87"/>
      <c r="F442" s="88"/>
      <c r="G442" s="65"/>
      <c r="H442" s="65"/>
      <c r="I442" s="65"/>
      <c r="J442" s="65"/>
      <c r="K442" s="65"/>
      <c r="L442" s="65"/>
      <c r="M442" s="89"/>
      <c r="N442" s="90"/>
      <c r="O442" s="42" t="b">
        <v>0</v>
      </c>
      <c r="P442" s="44"/>
      <c r="Q442" s="34"/>
      <c r="R442" s="34"/>
      <c r="S442" s="34"/>
      <c r="T442" s="34"/>
    </row>
    <row r="443" ht="15.75" customHeight="1">
      <c r="B443" s="86"/>
      <c r="C443" s="65"/>
      <c r="D443" s="65"/>
      <c r="E443" s="87"/>
      <c r="F443" s="88"/>
      <c r="G443" s="65"/>
      <c r="H443" s="65"/>
      <c r="I443" s="65"/>
      <c r="J443" s="65"/>
      <c r="K443" s="65"/>
      <c r="L443" s="65"/>
      <c r="M443" s="89"/>
      <c r="N443" s="90"/>
      <c r="O443" s="42" t="b">
        <v>0</v>
      </c>
      <c r="P443" s="44"/>
      <c r="Q443" s="34"/>
      <c r="R443" s="34"/>
      <c r="S443" s="34"/>
      <c r="T443" s="34"/>
    </row>
    <row r="444" ht="15.75" customHeight="1">
      <c r="B444" s="86"/>
      <c r="C444" s="65"/>
      <c r="D444" s="65"/>
      <c r="E444" s="87"/>
      <c r="F444" s="88"/>
      <c r="G444" s="65"/>
      <c r="H444" s="65"/>
      <c r="I444" s="65"/>
      <c r="J444" s="65"/>
      <c r="K444" s="65"/>
      <c r="L444" s="65"/>
      <c r="M444" s="89"/>
      <c r="N444" s="90"/>
      <c r="O444" s="42" t="b">
        <v>0</v>
      </c>
      <c r="P444" s="44"/>
      <c r="Q444" s="34"/>
      <c r="R444" s="34"/>
      <c r="S444" s="34"/>
      <c r="T444" s="34"/>
    </row>
    <row r="445" ht="15.75" customHeight="1">
      <c r="B445" s="86"/>
      <c r="C445" s="65"/>
      <c r="D445" s="65"/>
      <c r="E445" s="87"/>
      <c r="F445" s="88"/>
      <c r="G445" s="65"/>
      <c r="H445" s="65"/>
      <c r="I445" s="65"/>
      <c r="J445" s="65"/>
      <c r="K445" s="65"/>
      <c r="L445" s="65"/>
      <c r="M445" s="89"/>
      <c r="N445" s="90"/>
      <c r="O445" s="42" t="b">
        <v>0</v>
      </c>
      <c r="P445" s="44"/>
      <c r="Q445" s="34"/>
      <c r="R445" s="34"/>
      <c r="S445" s="34"/>
      <c r="T445" s="34"/>
    </row>
    <row r="446" ht="15.75" customHeight="1">
      <c r="B446" s="86"/>
      <c r="C446" s="65"/>
      <c r="D446" s="65"/>
      <c r="E446" s="87"/>
      <c r="F446" s="88"/>
      <c r="G446" s="65"/>
      <c r="H446" s="65"/>
      <c r="I446" s="65"/>
      <c r="J446" s="65"/>
      <c r="K446" s="65"/>
      <c r="L446" s="65"/>
      <c r="M446" s="89"/>
      <c r="N446" s="90"/>
      <c r="O446" s="42" t="b">
        <v>0</v>
      </c>
      <c r="P446" s="44"/>
      <c r="Q446" s="34"/>
      <c r="R446" s="34"/>
      <c r="S446" s="34"/>
      <c r="T446" s="34"/>
    </row>
    <row r="447" ht="15.75" customHeight="1">
      <c r="B447" s="86"/>
      <c r="C447" s="65"/>
      <c r="D447" s="65"/>
      <c r="E447" s="87"/>
      <c r="F447" s="88"/>
      <c r="G447" s="65"/>
      <c r="H447" s="65"/>
      <c r="I447" s="65"/>
      <c r="J447" s="65"/>
      <c r="K447" s="65"/>
      <c r="L447" s="65"/>
      <c r="M447" s="89"/>
      <c r="N447" s="90"/>
      <c r="O447" s="42" t="b">
        <v>0</v>
      </c>
      <c r="P447" s="44"/>
      <c r="Q447" s="34"/>
      <c r="R447" s="33"/>
      <c r="S447" s="34"/>
      <c r="T447" s="34"/>
    </row>
    <row r="448" ht="15.75" customHeight="1">
      <c r="B448" s="86"/>
      <c r="C448" s="65"/>
      <c r="D448" s="65"/>
      <c r="E448" s="87"/>
      <c r="F448" s="88"/>
      <c r="G448" s="65"/>
      <c r="H448" s="65"/>
      <c r="I448" s="65"/>
      <c r="J448" s="65"/>
      <c r="K448" s="65"/>
      <c r="L448" s="65"/>
      <c r="M448" s="89"/>
      <c r="N448" s="90"/>
      <c r="O448" s="42" t="b">
        <v>0</v>
      </c>
      <c r="P448" s="44"/>
      <c r="Q448" s="34"/>
      <c r="R448" s="34"/>
      <c r="S448" s="34"/>
      <c r="T448" s="34"/>
    </row>
    <row r="449" ht="15.75" customHeight="1">
      <c r="B449" s="86"/>
      <c r="C449" s="65"/>
      <c r="D449" s="65"/>
      <c r="E449" s="87"/>
      <c r="F449" s="88"/>
      <c r="G449" s="65"/>
      <c r="H449" s="65"/>
      <c r="I449" s="65"/>
      <c r="J449" s="65"/>
      <c r="K449" s="65"/>
      <c r="L449" s="65"/>
      <c r="M449" s="89"/>
      <c r="N449" s="90"/>
      <c r="O449" s="42" t="b">
        <v>0</v>
      </c>
      <c r="P449" s="44"/>
      <c r="Q449" s="34"/>
      <c r="R449" s="34"/>
      <c r="S449" s="34"/>
      <c r="T449" s="34"/>
    </row>
    <row r="450" ht="15.75" customHeight="1">
      <c r="B450" s="86"/>
      <c r="C450" s="65"/>
      <c r="D450" s="65"/>
      <c r="E450" s="87"/>
      <c r="F450" s="88"/>
      <c r="G450" s="65"/>
      <c r="H450" s="65"/>
      <c r="I450" s="65"/>
      <c r="J450" s="65"/>
      <c r="K450" s="65"/>
      <c r="L450" s="65"/>
      <c r="M450" s="89"/>
      <c r="N450" s="90"/>
      <c r="O450" s="42" t="b">
        <v>0</v>
      </c>
      <c r="P450" s="44"/>
      <c r="Q450" s="34"/>
      <c r="R450" s="34"/>
      <c r="S450" s="34"/>
      <c r="T450" s="34"/>
    </row>
    <row r="451" ht="15.75" customHeight="1">
      <c r="B451" s="86"/>
      <c r="C451" s="65"/>
      <c r="D451" s="65"/>
      <c r="E451" s="87"/>
      <c r="F451" s="88"/>
      <c r="G451" s="65"/>
      <c r="H451" s="65"/>
      <c r="I451" s="65"/>
      <c r="J451" s="65"/>
      <c r="K451" s="65"/>
      <c r="L451" s="65"/>
      <c r="M451" s="89"/>
      <c r="N451" s="90"/>
      <c r="O451" s="42" t="b">
        <v>0</v>
      </c>
      <c r="P451" s="44"/>
      <c r="Q451" s="34"/>
      <c r="R451" s="34"/>
      <c r="S451" s="34"/>
      <c r="T451" s="34"/>
    </row>
    <row r="452" ht="15.75" customHeight="1">
      <c r="B452" s="86"/>
      <c r="C452" s="65"/>
      <c r="D452" s="65"/>
      <c r="E452" s="87"/>
      <c r="F452" s="88"/>
      <c r="G452" s="65"/>
      <c r="H452" s="65"/>
      <c r="I452" s="65"/>
      <c r="J452" s="65"/>
      <c r="K452" s="65"/>
      <c r="L452" s="65"/>
      <c r="M452" s="89"/>
      <c r="N452" s="90"/>
      <c r="O452" s="42" t="b">
        <v>0</v>
      </c>
      <c r="P452" s="44"/>
      <c r="Q452" s="34"/>
      <c r="R452" s="34"/>
      <c r="S452" s="34"/>
      <c r="T452" s="34"/>
    </row>
    <row r="453" ht="15.75" customHeight="1">
      <c r="B453" s="86"/>
      <c r="C453" s="65"/>
      <c r="D453" s="65"/>
      <c r="E453" s="87"/>
      <c r="F453" s="88"/>
      <c r="G453" s="65"/>
      <c r="H453" s="65"/>
      <c r="I453" s="65"/>
      <c r="J453" s="65"/>
      <c r="K453" s="65"/>
      <c r="L453" s="65"/>
      <c r="M453" s="89"/>
      <c r="N453" s="90"/>
      <c r="O453" s="42" t="b">
        <v>0</v>
      </c>
      <c r="P453" s="44"/>
      <c r="Q453" s="34"/>
      <c r="R453" s="34"/>
      <c r="S453" s="34"/>
      <c r="T453" s="34"/>
    </row>
    <row r="454" ht="15.75" customHeight="1">
      <c r="B454" s="86"/>
      <c r="C454" s="65"/>
      <c r="D454" s="65"/>
      <c r="E454" s="87"/>
      <c r="F454" s="88"/>
      <c r="G454" s="65"/>
      <c r="H454" s="65"/>
      <c r="I454" s="65"/>
      <c r="J454" s="65"/>
      <c r="K454" s="65"/>
      <c r="L454" s="65"/>
      <c r="M454" s="89"/>
      <c r="N454" s="90"/>
      <c r="O454" s="42" t="b">
        <v>0</v>
      </c>
      <c r="P454" s="44"/>
      <c r="Q454" s="34"/>
      <c r="R454" s="34"/>
      <c r="S454" s="34"/>
      <c r="T454" s="34"/>
    </row>
    <row r="455" ht="15.75" customHeight="1">
      <c r="B455" s="86"/>
      <c r="C455" s="65"/>
      <c r="D455" s="65"/>
      <c r="E455" s="87"/>
      <c r="F455" s="88"/>
      <c r="G455" s="65"/>
      <c r="H455" s="65"/>
      <c r="I455" s="65"/>
      <c r="J455" s="65"/>
      <c r="K455" s="65"/>
      <c r="L455" s="65"/>
      <c r="M455" s="89"/>
      <c r="N455" s="90"/>
      <c r="O455" s="42" t="b">
        <v>0</v>
      </c>
      <c r="P455" s="44"/>
      <c r="Q455" s="34"/>
      <c r="R455" s="34"/>
      <c r="S455" s="34"/>
      <c r="T455" s="34"/>
    </row>
    <row r="456" ht="15.75" customHeight="1">
      <c r="B456" s="86"/>
      <c r="C456" s="65"/>
      <c r="D456" s="65"/>
      <c r="E456" s="87"/>
      <c r="F456" s="88"/>
      <c r="G456" s="65"/>
      <c r="H456" s="65"/>
      <c r="I456" s="65"/>
      <c r="J456" s="65"/>
      <c r="K456" s="65"/>
      <c r="L456" s="65"/>
      <c r="M456" s="89"/>
      <c r="N456" s="90"/>
      <c r="O456" s="42" t="b">
        <v>0</v>
      </c>
      <c r="P456" s="44"/>
      <c r="Q456" s="34"/>
      <c r="R456" s="34"/>
      <c r="S456" s="34"/>
      <c r="T456" s="34"/>
    </row>
    <row r="457" ht="15.75" customHeight="1">
      <c r="B457" s="86"/>
      <c r="C457" s="65"/>
      <c r="D457" s="65"/>
      <c r="E457" s="87"/>
      <c r="F457" s="88"/>
      <c r="G457" s="65"/>
      <c r="H457" s="65"/>
      <c r="I457" s="65"/>
      <c r="J457" s="65"/>
      <c r="K457" s="65"/>
      <c r="L457" s="65"/>
      <c r="M457" s="89"/>
      <c r="N457" s="90"/>
      <c r="O457" s="42" t="b">
        <v>0</v>
      </c>
      <c r="P457" s="44"/>
      <c r="Q457" s="34"/>
      <c r="R457" s="34"/>
      <c r="S457" s="34"/>
      <c r="T457" s="34"/>
    </row>
    <row r="458" ht="15.75" customHeight="1">
      <c r="B458" s="86"/>
      <c r="C458" s="65"/>
      <c r="D458" s="65"/>
      <c r="E458" s="87"/>
      <c r="F458" s="88"/>
      <c r="G458" s="65"/>
      <c r="H458" s="65"/>
      <c r="I458" s="65"/>
      <c r="J458" s="65"/>
      <c r="K458" s="65"/>
      <c r="L458" s="65"/>
      <c r="M458" s="89"/>
      <c r="N458" s="90"/>
      <c r="O458" s="42" t="b">
        <v>0</v>
      </c>
      <c r="P458" s="44"/>
      <c r="Q458" s="34"/>
      <c r="R458" s="34"/>
      <c r="S458" s="34"/>
      <c r="T458" s="34"/>
    </row>
    <row r="459" ht="15.75" customHeight="1">
      <c r="B459" s="86"/>
      <c r="C459" s="65"/>
      <c r="D459" s="65"/>
      <c r="E459" s="87"/>
      <c r="F459" s="88"/>
      <c r="G459" s="65"/>
      <c r="H459" s="65"/>
      <c r="I459" s="65"/>
      <c r="J459" s="65"/>
      <c r="K459" s="65"/>
      <c r="L459" s="65"/>
      <c r="M459" s="89"/>
      <c r="N459" s="90"/>
      <c r="O459" s="42" t="b">
        <v>0</v>
      </c>
      <c r="P459" s="44"/>
      <c r="Q459" s="34"/>
      <c r="R459" s="34"/>
      <c r="S459" s="34"/>
      <c r="T459" s="34"/>
    </row>
    <row r="460" ht="15.75" customHeight="1">
      <c r="B460" s="86"/>
      <c r="C460" s="65"/>
      <c r="D460" s="65"/>
      <c r="E460" s="87"/>
      <c r="F460" s="88"/>
      <c r="G460" s="65"/>
      <c r="H460" s="65"/>
      <c r="I460" s="65"/>
      <c r="J460" s="65"/>
      <c r="K460" s="65"/>
      <c r="L460" s="65"/>
      <c r="M460" s="89"/>
      <c r="N460" s="90"/>
      <c r="O460" s="42" t="b">
        <v>0</v>
      </c>
      <c r="P460" s="44"/>
      <c r="Q460" s="34"/>
      <c r="R460" s="34"/>
      <c r="S460" s="34"/>
      <c r="T460" s="34"/>
    </row>
    <row r="461" ht="15.75" customHeight="1">
      <c r="B461" s="86"/>
      <c r="C461" s="65"/>
      <c r="D461" s="65"/>
      <c r="E461" s="87"/>
      <c r="F461" s="88"/>
      <c r="G461" s="65"/>
      <c r="H461" s="65"/>
      <c r="I461" s="65"/>
      <c r="J461" s="65"/>
      <c r="K461" s="65"/>
      <c r="L461" s="65"/>
      <c r="M461" s="89"/>
      <c r="N461" s="48"/>
      <c r="O461" s="42" t="b">
        <v>0</v>
      </c>
      <c r="P461" s="44"/>
      <c r="Q461" s="34"/>
      <c r="R461" s="34"/>
      <c r="S461" s="34"/>
      <c r="T461" s="34"/>
    </row>
    <row r="462" ht="15.75" customHeight="1">
      <c r="B462" s="86"/>
      <c r="C462" s="65"/>
      <c r="D462" s="65"/>
      <c r="E462" s="87"/>
      <c r="F462" s="88"/>
      <c r="G462" s="65"/>
      <c r="H462" s="65"/>
      <c r="I462" s="65"/>
      <c r="J462" s="65"/>
      <c r="K462" s="65"/>
      <c r="L462" s="65"/>
      <c r="M462" s="89"/>
      <c r="N462" s="48"/>
      <c r="O462" s="42" t="b">
        <v>0</v>
      </c>
      <c r="P462" s="44"/>
      <c r="Q462" s="34"/>
      <c r="R462" s="34"/>
      <c r="S462" s="70"/>
      <c r="T462" s="34"/>
    </row>
    <row r="463" ht="15.75" customHeight="1">
      <c r="B463" s="86"/>
      <c r="C463" s="65"/>
      <c r="D463" s="65"/>
      <c r="E463" s="87"/>
      <c r="F463" s="88"/>
      <c r="G463" s="65"/>
      <c r="H463" s="65"/>
      <c r="I463" s="65"/>
      <c r="J463" s="65"/>
      <c r="K463" s="65"/>
      <c r="L463" s="65"/>
      <c r="M463" s="89"/>
      <c r="N463" s="48"/>
      <c r="O463" s="42" t="b">
        <v>0</v>
      </c>
      <c r="P463" s="44"/>
      <c r="Q463" s="34"/>
      <c r="R463" s="34"/>
      <c r="S463" s="34"/>
      <c r="T463" s="34"/>
    </row>
    <row r="464" ht="15.75" customHeight="1">
      <c r="B464" s="86"/>
      <c r="C464" s="65"/>
      <c r="D464" s="65"/>
      <c r="E464" s="87"/>
      <c r="F464" s="88"/>
      <c r="G464" s="65"/>
      <c r="H464" s="65"/>
      <c r="I464" s="65"/>
      <c r="J464" s="65"/>
      <c r="K464" s="65"/>
      <c r="L464" s="65"/>
      <c r="M464" s="89"/>
      <c r="N464" s="48"/>
      <c r="O464" s="42" t="b">
        <v>0</v>
      </c>
      <c r="P464" s="44"/>
      <c r="Q464" s="34"/>
      <c r="R464" s="34"/>
      <c r="S464" s="34"/>
      <c r="T464" s="35"/>
    </row>
    <row r="465" ht="15.75" customHeight="1">
      <c r="B465" s="86"/>
      <c r="C465" s="65"/>
      <c r="D465" s="65"/>
      <c r="E465" s="87"/>
      <c r="F465" s="88"/>
      <c r="G465" s="65"/>
      <c r="H465" s="65"/>
      <c r="I465" s="65"/>
      <c r="J465" s="65"/>
      <c r="K465" s="65"/>
      <c r="L465" s="65"/>
      <c r="M465" s="89"/>
      <c r="N465" s="48"/>
      <c r="O465" s="42" t="b">
        <v>0</v>
      </c>
      <c r="P465" s="44"/>
      <c r="Q465" s="34"/>
      <c r="R465" s="34"/>
      <c r="S465" s="34"/>
      <c r="T465" s="34"/>
    </row>
    <row r="466" ht="15.75" customHeight="1">
      <c r="B466" s="86"/>
      <c r="C466" s="65"/>
      <c r="D466" s="65"/>
      <c r="E466" s="87"/>
      <c r="F466" s="88"/>
      <c r="G466" s="65"/>
      <c r="H466" s="65"/>
      <c r="I466" s="65"/>
      <c r="J466" s="65"/>
      <c r="K466" s="65"/>
      <c r="L466" s="65"/>
      <c r="M466" s="89"/>
      <c r="N466" s="48"/>
      <c r="O466" s="42" t="b">
        <v>0</v>
      </c>
      <c r="P466" s="44"/>
      <c r="Q466" s="34"/>
      <c r="R466" s="34"/>
      <c r="S466" s="34"/>
      <c r="T466" s="34"/>
    </row>
    <row r="467" ht="15.75" customHeight="1">
      <c r="B467" s="86"/>
      <c r="C467" s="65"/>
      <c r="D467" s="65"/>
      <c r="E467" s="87"/>
      <c r="F467" s="88"/>
      <c r="G467" s="65"/>
      <c r="H467" s="65"/>
      <c r="I467" s="65"/>
      <c r="J467" s="65"/>
      <c r="K467" s="65"/>
      <c r="L467" s="65"/>
      <c r="M467" s="89"/>
      <c r="N467" s="48"/>
      <c r="O467" s="42" t="b">
        <v>0</v>
      </c>
      <c r="P467" s="44"/>
      <c r="Q467" s="34"/>
      <c r="R467" s="34"/>
      <c r="S467" s="34"/>
      <c r="T467" s="34"/>
    </row>
    <row r="468" ht="15.75" customHeight="1">
      <c r="B468" s="86"/>
      <c r="C468" s="65"/>
      <c r="D468" s="65"/>
      <c r="E468" s="87"/>
      <c r="F468" s="88"/>
      <c r="G468" s="65"/>
      <c r="H468" s="65"/>
      <c r="I468" s="65"/>
      <c r="J468" s="65"/>
      <c r="K468" s="65"/>
      <c r="L468" s="65"/>
      <c r="M468" s="89"/>
      <c r="N468" s="48"/>
      <c r="O468" s="42" t="b">
        <v>0</v>
      </c>
      <c r="P468" s="44"/>
      <c r="Q468" s="34"/>
      <c r="R468" s="34"/>
      <c r="S468" s="34"/>
      <c r="T468" s="34"/>
    </row>
    <row r="469" ht="15.0" customHeight="1">
      <c r="B469" s="86"/>
      <c r="C469" s="65"/>
      <c r="D469" s="65"/>
      <c r="E469" s="87"/>
      <c r="F469" s="88"/>
      <c r="G469" s="65"/>
      <c r="H469" s="65"/>
      <c r="I469" s="65"/>
      <c r="J469" s="65"/>
      <c r="K469" s="65"/>
      <c r="L469" s="65"/>
      <c r="M469" s="89"/>
      <c r="N469" s="48"/>
      <c r="O469" s="42" t="b">
        <v>0</v>
      </c>
      <c r="P469" s="44"/>
      <c r="Q469" s="34"/>
      <c r="R469" s="34"/>
      <c r="S469" s="34"/>
      <c r="T469" s="34"/>
    </row>
    <row r="470" ht="15.75" customHeight="1">
      <c r="B470" s="48"/>
      <c r="C470" s="65"/>
      <c r="D470" s="65"/>
      <c r="E470" s="87"/>
      <c r="F470" s="88"/>
      <c r="G470" s="65"/>
      <c r="H470" s="65"/>
      <c r="I470" s="65"/>
      <c r="J470" s="65"/>
      <c r="K470" s="65"/>
      <c r="L470" s="65"/>
      <c r="M470" s="89"/>
      <c r="N470" s="128"/>
      <c r="O470" s="42" t="b">
        <v>0</v>
      </c>
      <c r="P470" s="44"/>
      <c r="Q470" s="34"/>
      <c r="R470" s="34"/>
      <c r="S470" s="34"/>
      <c r="T470" s="34"/>
    </row>
    <row r="471" ht="15.75" customHeight="1">
      <c r="B471" s="48"/>
      <c r="C471" s="65"/>
      <c r="D471" s="65"/>
      <c r="E471" s="87"/>
      <c r="F471" s="88"/>
      <c r="G471" s="65"/>
      <c r="H471" s="65"/>
      <c r="I471" s="65"/>
      <c r="J471" s="65"/>
      <c r="K471" s="65"/>
      <c r="L471" s="65"/>
      <c r="M471" s="89"/>
      <c r="N471" s="128"/>
      <c r="O471" s="42" t="b">
        <v>0</v>
      </c>
      <c r="P471" s="44"/>
      <c r="Q471" s="34"/>
      <c r="R471" s="34"/>
      <c r="S471" s="34"/>
      <c r="T471" s="34"/>
    </row>
    <row r="472" ht="15.75" customHeight="1">
      <c r="B472" s="48"/>
      <c r="C472" s="65"/>
      <c r="D472" s="65"/>
      <c r="E472" s="87"/>
      <c r="F472" s="88"/>
      <c r="G472" s="65"/>
      <c r="H472" s="65"/>
      <c r="I472" s="65"/>
      <c r="J472" s="65"/>
      <c r="K472" s="65"/>
      <c r="L472" s="65"/>
      <c r="M472" s="89"/>
      <c r="N472" s="90"/>
      <c r="O472" s="42" t="b">
        <v>0</v>
      </c>
      <c r="P472" s="44"/>
      <c r="Q472" s="34"/>
      <c r="R472" s="34"/>
      <c r="S472" s="34"/>
      <c r="T472" s="34"/>
    </row>
    <row r="473" ht="15.75" customHeight="1">
      <c r="B473" s="48"/>
      <c r="C473" s="65"/>
      <c r="D473" s="65"/>
      <c r="E473" s="87"/>
      <c r="F473" s="88"/>
      <c r="G473" s="65"/>
      <c r="H473" s="65"/>
      <c r="I473" s="65"/>
      <c r="J473" s="65"/>
      <c r="K473" s="65"/>
      <c r="L473" s="65"/>
      <c r="M473" s="89"/>
      <c r="N473" s="90"/>
      <c r="O473" s="42" t="b">
        <v>0</v>
      </c>
      <c r="P473" s="44"/>
      <c r="Q473" s="34"/>
      <c r="R473" s="35"/>
      <c r="S473" s="71"/>
      <c r="T473" s="34"/>
    </row>
    <row r="474" ht="15.75" customHeight="1">
      <c r="B474" s="48"/>
      <c r="C474" s="65"/>
      <c r="D474" s="65"/>
      <c r="E474" s="87"/>
      <c r="F474" s="88"/>
      <c r="G474" s="65"/>
      <c r="H474" s="65"/>
      <c r="I474" s="65"/>
      <c r="J474" s="65"/>
      <c r="K474" s="65"/>
      <c r="L474" s="65"/>
      <c r="M474" s="89"/>
      <c r="N474" s="90"/>
      <c r="O474" s="42" t="b">
        <v>0</v>
      </c>
      <c r="P474" s="44"/>
      <c r="Q474" s="34"/>
      <c r="R474" s="34"/>
      <c r="S474" s="34"/>
      <c r="T474" s="34"/>
    </row>
    <row r="475" ht="15.75" customHeight="1">
      <c r="B475" s="48"/>
      <c r="C475" s="65"/>
      <c r="D475" s="65"/>
      <c r="E475" s="87"/>
      <c r="F475" s="88"/>
      <c r="G475" s="65"/>
      <c r="H475" s="65"/>
      <c r="I475" s="65"/>
      <c r="J475" s="65"/>
      <c r="K475" s="65"/>
      <c r="L475" s="65"/>
      <c r="M475" s="89"/>
      <c r="N475" s="90"/>
      <c r="O475" s="42" t="b">
        <v>0</v>
      </c>
      <c r="P475" s="44"/>
      <c r="Q475" s="34"/>
      <c r="R475" s="34"/>
      <c r="S475" s="34"/>
      <c r="T475" s="34"/>
    </row>
    <row r="476" ht="15.75" customHeight="1">
      <c r="B476" s="48"/>
      <c r="C476" s="65"/>
      <c r="D476" s="65"/>
      <c r="E476" s="87"/>
      <c r="F476" s="88"/>
      <c r="G476" s="65"/>
      <c r="H476" s="65"/>
      <c r="I476" s="65"/>
      <c r="J476" s="65"/>
      <c r="K476" s="65"/>
      <c r="L476" s="65"/>
      <c r="M476" s="89"/>
      <c r="N476" s="90"/>
      <c r="O476" s="42" t="b">
        <v>0</v>
      </c>
      <c r="P476" s="44"/>
      <c r="Q476" s="34"/>
      <c r="R476" s="34"/>
      <c r="S476" s="34"/>
      <c r="T476" s="34"/>
    </row>
    <row r="477" ht="15.75" customHeight="1">
      <c r="B477" s="48"/>
      <c r="C477" s="65"/>
      <c r="D477" s="65"/>
      <c r="E477" s="87"/>
      <c r="F477" s="88"/>
      <c r="G477" s="65"/>
      <c r="H477" s="65"/>
      <c r="I477" s="65"/>
      <c r="J477" s="65"/>
      <c r="K477" s="65"/>
      <c r="L477" s="65"/>
      <c r="M477" s="89"/>
      <c r="N477" s="90"/>
      <c r="O477" s="42" t="b">
        <v>0</v>
      </c>
      <c r="P477" s="44"/>
      <c r="Q477" s="34"/>
      <c r="R477" s="34"/>
      <c r="S477" s="34"/>
      <c r="T477" s="34"/>
    </row>
    <row r="478" ht="15.75" customHeight="1">
      <c r="B478" s="48"/>
      <c r="C478" s="65"/>
      <c r="D478" s="65"/>
      <c r="E478" s="87"/>
      <c r="F478" s="88"/>
      <c r="G478" s="65"/>
      <c r="H478" s="65"/>
      <c r="I478" s="65"/>
      <c r="J478" s="65"/>
      <c r="K478" s="65"/>
      <c r="L478" s="65"/>
      <c r="M478" s="89"/>
      <c r="N478" s="90"/>
      <c r="O478" s="42" t="b">
        <v>0</v>
      </c>
      <c r="P478" s="44"/>
      <c r="Q478" s="34"/>
      <c r="R478" s="33"/>
      <c r="S478" s="34"/>
      <c r="T478" s="34"/>
    </row>
    <row r="479" ht="15.75" customHeight="1">
      <c r="B479" s="86"/>
      <c r="C479" s="65"/>
      <c r="D479" s="65"/>
      <c r="E479" s="87"/>
      <c r="F479" s="88"/>
      <c r="G479" s="65"/>
      <c r="H479" s="65"/>
      <c r="I479" s="65"/>
      <c r="J479" s="65"/>
      <c r="K479" s="65"/>
      <c r="L479" s="65"/>
      <c r="M479" s="89"/>
      <c r="N479" s="90"/>
      <c r="O479" s="42" t="b">
        <v>0</v>
      </c>
      <c r="P479" s="45"/>
      <c r="Q479" s="34"/>
      <c r="R479" s="33"/>
      <c r="S479" s="34"/>
      <c r="T479" s="34"/>
    </row>
    <row r="480" ht="15.75" customHeight="1">
      <c r="B480" s="86"/>
      <c r="C480" s="65"/>
      <c r="D480" s="65"/>
      <c r="E480" s="87"/>
      <c r="F480" s="88"/>
      <c r="G480" s="65"/>
      <c r="H480" s="65"/>
      <c r="I480" s="65"/>
      <c r="J480" s="65"/>
      <c r="K480" s="65"/>
      <c r="L480" s="65"/>
      <c r="M480" s="89"/>
      <c r="N480" s="90"/>
      <c r="O480" s="42" t="b">
        <v>0</v>
      </c>
      <c r="P480" s="44"/>
      <c r="Q480" s="34"/>
      <c r="R480" s="34"/>
      <c r="S480" s="34"/>
      <c r="T480" s="34"/>
    </row>
    <row r="481" ht="15.75" customHeight="1">
      <c r="B481" s="86"/>
      <c r="C481" s="65"/>
      <c r="D481" s="65"/>
      <c r="E481" s="87"/>
      <c r="F481" s="88"/>
      <c r="G481" s="65"/>
      <c r="H481" s="65"/>
      <c r="I481" s="65"/>
      <c r="J481" s="65"/>
      <c r="K481" s="65"/>
      <c r="L481" s="65"/>
      <c r="M481" s="89"/>
      <c r="N481" s="90"/>
      <c r="O481" s="42" t="b">
        <v>0</v>
      </c>
      <c r="P481" s="44"/>
      <c r="Q481" s="34"/>
      <c r="R481" s="34"/>
      <c r="S481" s="34"/>
      <c r="T481" s="34"/>
    </row>
    <row r="482" ht="15.75" customHeight="1">
      <c r="B482" s="86"/>
      <c r="C482" s="65"/>
      <c r="D482" s="65"/>
      <c r="E482" s="87"/>
      <c r="F482" s="88"/>
      <c r="G482" s="65"/>
      <c r="H482" s="65"/>
      <c r="I482" s="65"/>
      <c r="J482" s="65"/>
      <c r="K482" s="65"/>
      <c r="L482" s="65"/>
      <c r="M482" s="89"/>
      <c r="N482" s="90"/>
      <c r="O482" s="42" t="b">
        <v>0</v>
      </c>
      <c r="P482" s="44"/>
      <c r="Q482" s="34"/>
      <c r="R482" s="33"/>
      <c r="S482" s="34"/>
      <c r="T482" s="34"/>
    </row>
    <row r="483" ht="15.75" customHeight="1">
      <c r="B483" s="86"/>
      <c r="C483" s="65"/>
      <c r="D483" s="65"/>
      <c r="E483" s="87"/>
      <c r="F483" s="88"/>
      <c r="G483" s="65"/>
      <c r="H483" s="65"/>
      <c r="I483" s="65"/>
      <c r="J483" s="65"/>
      <c r="K483" s="65"/>
      <c r="L483" s="65"/>
      <c r="M483" s="89"/>
      <c r="N483" s="90"/>
      <c r="O483" s="42" t="b">
        <v>0</v>
      </c>
      <c r="P483" s="44"/>
      <c r="Q483" s="34"/>
      <c r="R483" s="33"/>
      <c r="S483" s="34"/>
      <c r="T483" s="34"/>
    </row>
    <row r="484" ht="15.75" customHeight="1">
      <c r="B484" s="86"/>
      <c r="C484" s="65"/>
      <c r="D484" s="65"/>
      <c r="E484" s="87"/>
      <c r="F484" s="88"/>
      <c r="G484" s="65"/>
      <c r="H484" s="65"/>
      <c r="I484" s="65"/>
      <c r="J484" s="65"/>
      <c r="K484" s="65"/>
      <c r="L484" s="65"/>
      <c r="M484" s="89"/>
      <c r="N484" s="128"/>
      <c r="O484" s="42" t="b">
        <v>0</v>
      </c>
      <c r="P484" s="45"/>
      <c r="Q484" s="34"/>
      <c r="R484" s="33"/>
      <c r="S484" s="34"/>
      <c r="T484" s="34"/>
    </row>
    <row r="485" ht="15.75" customHeight="1">
      <c r="B485" s="86"/>
      <c r="C485" s="98"/>
      <c r="D485" s="65"/>
      <c r="E485" s="87"/>
      <c r="F485" s="88"/>
      <c r="G485" s="65"/>
      <c r="H485" s="65"/>
      <c r="I485" s="65"/>
      <c r="J485" s="65"/>
      <c r="K485" s="65"/>
      <c r="L485" s="65"/>
      <c r="M485" s="89"/>
      <c r="N485" s="48"/>
      <c r="O485" s="42" t="b">
        <v>0</v>
      </c>
      <c r="P485" s="44"/>
      <c r="Q485" s="34"/>
      <c r="R485" s="34"/>
      <c r="S485" s="34"/>
      <c r="T485" s="34"/>
    </row>
    <row r="486" ht="15.75" customHeight="1">
      <c r="B486" s="86"/>
      <c r="C486" s="98"/>
      <c r="D486" s="65"/>
      <c r="E486" s="87"/>
      <c r="F486" s="88"/>
      <c r="G486" s="65"/>
      <c r="H486" s="65"/>
      <c r="I486" s="65"/>
      <c r="J486" s="65"/>
      <c r="K486" s="65"/>
      <c r="L486" s="65"/>
      <c r="M486" s="89"/>
      <c r="N486" s="48"/>
      <c r="O486" s="42" t="b">
        <v>0</v>
      </c>
      <c r="P486" s="44"/>
      <c r="Q486" s="34"/>
      <c r="R486" s="34"/>
      <c r="S486" s="34"/>
      <c r="T486" s="34"/>
    </row>
    <row r="487" ht="15.75" customHeight="1">
      <c r="B487" s="86"/>
      <c r="C487" s="65"/>
      <c r="D487" s="65"/>
      <c r="E487" s="87"/>
      <c r="F487" s="88"/>
      <c r="G487" s="65"/>
      <c r="H487" s="65"/>
      <c r="I487" s="65"/>
      <c r="J487" s="65"/>
      <c r="K487" s="65"/>
      <c r="L487" s="65"/>
      <c r="M487" s="89"/>
      <c r="N487" s="48"/>
      <c r="O487" s="42" t="b">
        <v>0</v>
      </c>
      <c r="P487" s="44"/>
      <c r="Q487" s="34"/>
      <c r="R487" s="34"/>
      <c r="S487" s="34"/>
      <c r="T487" s="34"/>
    </row>
    <row r="488" ht="15.75" customHeight="1">
      <c r="B488" s="86"/>
      <c r="C488" s="65"/>
      <c r="D488" s="65"/>
      <c r="E488" s="87"/>
      <c r="F488" s="88"/>
      <c r="G488" s="65"/>
      <c r="H488" s="65"/>
      <c r="I488" s="65"/>
      <c r="J488" s="65"/>
      <c r="K488" s="65"/>
      <c r="L488" s="65"/>
      <c r="M488" s="89"/>
      <c r="N488" s="90"/>
      <c r="O488" s="42" t="b">
        <v>0</v>
      </c>
      <c r="P488" s="44"/>
      <c r="Q488" s="34"/>
      <c r="R488" s="34"/>
      <c r="S488" s="34"/>
      <c r="T488" s="34"/>
    </row>
    <row r="489" ht="15.75" customHeight="1">
      <c r="B489" s="86"/>
      <c r="C489" s="65"/>
      <c r="D489" s="65"/>
      <c r="E489" s="87"/>
      <c r="F489" s="88"/>
      <c r="G489" s="65"/>
      <c r="H489" s="65"/>
      <c r="I489" s="65"/>
      <c r="J489" s="65"/>
      <c r="K489" s="65"/>
      <c r="L489" s="65"/>
      <c r="M489" s="89"/>
      <c r="N489" s="90"/>
      <c r="O489" s="42" t="b">
        <v>0</v>
      </c>
      <c r="P489" s="44"/>
      <c r="Q489" s="34"/>
      <c r="R489" s="34"/>
      <c r="S489" s="34"/>
      <c r="T489" s="34"/>
    </row>
    <row r="490" ht="15.75" customHeight="1">
      <c r="B490" s="86"/>
      <c r="C490" s="65"/>
      <c r="D490" s="65"/>
      <c r="E490" s="87"/>
      <c r="F490" s="88"/>
      <c r="G490" s="65"/>
      <c r="H490" s="65"/>
      <c r="I490" s="65"/>
      <c r="J490" s="65"/>
      <c r="K490" s="65"/>
      <c r="L490" s="65"/>
      <c r="M490" s="89"/>
      <c r="N490" s="90"/>
      <c r="O490" s="42" t="b">
        <v>0</v>
      </c>
      <c r="P490" s="121"/>
      <c r="Q490" s="34"/>
      <c r="R490" s="33"/>
      <c r="S490" s="34"/>
      <c r="T490" s="34"/>
    </row>
    <row r="491" ht="15.75" customHeight="1">
      <c r="B491" s="86"/>
      <c r="C491" s="65"/>
      <c r="D491" s="65"/>
      <c r="E491" s="87"/>
      <c r="F491" s="88"/>
      <c r="G491" s="65"/>
      <c r="H491" s="65"/>
      <c r="I491" s="65"/>
      <c r="J491" s="65"/>
      <c r="K491" s="65"/>
      <c r="L491" s="65"/>
      <c r="M491" s="89"/>
      <c r="N491" s="90"/>
      <c r="O491" s="42" t="b">
        <v>0</v>
      </c>
      <c r="P491" s="44"/>
      <c r="Q491" s="34"/>
      <c r="R491" s="34"/>
      <c r="S491" s="34"/>
      <c r="T491" s="34"/>
    </row>
    <row r="492" ht="15.75" customHeight="1">
      <c r="B492" s="86"/>
      <c r="C492" s="65"/>
      <c r="D492" s="65"/>
      <c r="E492" s="87"/>
      <c r="F492" s="88"/>
      <c r="G492" s="65"/>
      <c r="H492" s="65"/>
      <c r="I492" s="65"/>
      <c r="J492" s="65"/>
      <c r="K492" s="65"/>
      <c r="L492" s="65"/>
      <c r="M492" s="89"/>
      <c r="N492" s="48"/>
      <c r="O492" s="42" t="b">
        <v>0</v>
      </c>
      <c r="P492" s="44"/>
      <c r="Q492" s="34"/>
      <c r="R492" s="35"/>
      <c r="S492" s="34"/>
      <c r="T492" s="34"/>
    </row>
    <row r="493" ht="15.75" customHeight="1">
      <c r="B493" s="86"/>
      <c r="C493" s="65"/>
      <c r="D493" s="65"/>
      <c r="E493" s="87"/>
      <c r="F493" s="88"/>
      <c r="G493" s="65"/>
      <c r="H493" s="65"/>
      <c r="I493" s="65"/>
      <c r="J493" s="65"/>
      <c r="K493" s="65"/>
      <c r="L493" s="65"/>
      <c r="M493" s="89"/>
      <c r="N493" s="48"/>
      <c r="O493" s="42" t="b">
        <v>0</v>
      </c>
      <c r="P493" s="44"/>
      <c r="Q493" s="34"/>
      <c r="R493" s="34"/>
      <c r="S493" s="34"/>
      <c r="T493" s="34"/>
    </row>
    <row r="494" ht="15.75" customHeight="1">
      <c r="B494" s="86"/>
      <c r="C494" s="65"/>
      <c r="D494" s="65"/>
      <c r="E494" s="87"/>
      <c r="F494" s="88"/>
      <c r="G494" s="65"/>
      <c r="H494" s="65"/>
      <c r="I494" s="65"/>
      <c r="J494" s="65"/>
      <c r="K494" s="65"/>
      <c r="L494" s="65"/>
      <c r="M494" s="89"/>
      <c r="N494" s="90"/>
      <c r="O494" s="42" t="b">
        <v>0</v>
      </c>
      <c r="P494" s="44"/>
      <c r="Q494" s="34"/>
      <c r="R494" s="34"/>
      <c r="S494" s="34"/>
      <c r="T494" s="34"/>
    </row>
    <row r="495" ht="15.75" customHeight="1">
      <c r="B495" s="86"/>
      <c r="C495" s="65"/>
      <c r="D495" s="65"/>
      <c r="E495" s="87"/>
      <c r="F495" s="88"/>
      <c r="G495" s="65"/>
      <c r="H495" s="65"/>
      <c r="I495" s="65"/>
      <c r="J495" s="65"/>
      <c r="K495" s="65"/>
      <c r="L495" s="65"/>
      <c r="M495" s="89"/>
      <c r="N495" s="90"/>
      <c r="O495" s="42" t="b">
        <v>0</v>
      </c>
      <c r="P495" s="44"/>
      <c r="Q495" s="34"/>
      <c r="R495" s="35"/>
      <c r="S495" s="34"/>
      <c r="T495" s="34"/>
    </row>
    <row r="496" ht="15.75" customHeight="1">
      <c r="B496" s="86"/>
      <c r="C496" s="65"/>
      <c r="D496" s="65"/>
      <c r="E496" s="87"/>
      <c r="F496" s="88"/>
      <c r="G496" s="65"/>
      <c r="H496" s="65"/>
      <c r="I496" s="65"/>
      <c r="J496" s="65"/>
      <c r="K496" s="65"/>
      <c r="L496" s="65"/>
      <c r="M496" s="89"/>
      <c r="N496" s="90"/>
      <c r="O496" s="42" t="b">
        <v>0</v>
      </c>
      <c r="P496" s="36"/>
      <c r="Q496" s="34"/>
      <c r="R496" s="34"/>
      <c r="S496" s="34"/>
      <c r="T496" s="34"/>
    </row>
    <row r="497" ht="15.75" customHeight="1">
      <c r="B497" s="86"/>
      <c r="C497" s="65"/>
      <c r="D497" s="65"/>
      <c r="E497" s="87"/>
      <c r="F497" s="88"/>
      <c r="G497" s="65"/>
      <c r="H497" s="65"/>
      <c r="I497" s="65"/>
      <c r="J497" s="65"/>
      <c r="K497" s="65"/>
      <c r="L497" s="65"/>
      <c r="M497" s="89"/>
      <c r="N497" s="90"/>
      <c r="O497" s="42" t="b">
        <v>0</v>
      </c>
      <c r="P497" s="44"/>
      <c r="Q497" s="34"/>
      <c r="R497" s="34"/>
      <c r="S497" s="34"/>
      <c r="T497" s="34"/>
    </row>
    <row r="498" ht="15.75" customHeight="1">
      <c r="B498" s="86"/>
      <c r="C498" s="65"/>
      <c r="D498" s="65"/>
      <c r="E498" s="87"/>
      <c r="F498" s="88"/>
      <c r="G498" s="65"/>
      <c r="H498" s="65"/>
      <c r="I498" s="65"/>
      <c r="J498" s="65"/>
      <c r="K498" s="65"/>
      <c r="L498" s="65"/>
      <c r="M498" s="89"/>
      <c r="N498" s="90"/>
      <c r="O498" s="42" t="b">
        <v>0</v>
      </c>
      <c r="P498" s="44"/>
      <c r="Q498" s="34"/>
      <c r="R498" s="34"/>
      <c r="S498" s="34"/>
      <c r="T498" s="34"/>
    </row>
    <row r="499" ht="15.75" customHeight="1">
      <c r="B499" s="86"/>
      <c r="C499" s="65"/>
      <c r="D499" s="65"/>
      <c r="E499" s="87"/>
      <c r="F499" s="88"/>
      <c r="G499" s="65"/>
      <c r="H499" s="65"/>
      <c r="I499" s="65"/>
      <c r="J499" s="65"/>
      <c r="K499" s="65"/>
      <c r="L499" s="65"/>
      <c r="M499" s="89"/>
      <c r="N499" s="90"/>
      <c r="O499" s="42" t="b">
        <v>0</v>
      </c>
      <c r="P499" s="44"/>
      <c r="Q499" s="34"/>
      <c r="R499" s="34"/>
      <c r="S499" s="34"/>
      <c r="T499" s="34"/>
    </row>
    <row r="500" ht="15.75" customHeight="1">
      <c r="B500" s="86"/>
      <c r="C500" s="65"/>
      <c r="D500" s="65"/>
      <c r="E500" s="87"/>
      <c r="F500" s="88"/>
      <c r="G500" s="65"/>
      <c r="H500" s="65"/>
      <c r="I500" s="65"/>
      <c r="J500" s="65"/>
      <c r="K500" s="65"/>
      <c r="L500" s="65"/>
      <c r="M500" s="89"/>
      <c r="N500" s="90"/>
      <c r="O500" s="42" t="b">
        <v>0</v>
      </c>
      <c r="P500" s="44"/>
      <c r="Q500" s="34"/>
      <c r="R500" s="34"/>
      <c r="S500" s="34"/>
      <c r="T500" s="34"/>
    </row>
    <row r="501" ht="15.75" customHeight="1">
      <c r="B501" s="86"/>
      <c r="C501" s="65"/>
      <c r="D501" s="65"/>
      <c r="E501" s="87"/>
      <c r="F501" s="88"/>
      <c r="G501" s="65"/>
      <c r="H501" s="65"/>
      <c r="I501" s="65"/>
      <c r="J501" s="65"/>
      <c r="K501" s="65"/>
      <c r="L501" s="65"/>
      <c r="M501" s="89"/>
      <c r="N501" s="90"/>
      <c r="O501" s="42" t="b">
        <v>0</v>
      </c>
      <c r="P501" s="44"/>
      <c r="Q501" s="34"/>
      <c r="R501" s="34"/>
      <c r="S501" s="34"/>
      <c r="T501" s="34"/>
    </row>
    <row r="502" ht="15.75" customHeight="1">
      <c r="B502" s="86"/>
      <c r="C502" s="65"/>
      <c r="D502" s="65"/>
      <c r="E502" s="87"/>
      <c r="F502" s="88"/>
      <c r="G502" s="65"/>
      <c r="H502" s="65"/>
      <c r="I502" s="65"/>
      <c r="J502" s="65"/>
      <c r="K502" s="65"/>
      <c r="L502" s="65"/>
      <c r="M502" s="89"/>
      <c r="N502" s="90"/>
      <c r="O502" s="42" t="b">
        <v>0</v>
      </c>
      <c r="P502" s="44"/>
      <c r="Q502" s="34"/>
      <c r="R502" s="34"/>
      <c r="S502" s="34"/>
      <c r="T502" s="34"/>
    </row>
    <row r="503" ht="15.75" customHeight="1">
      <c r="B503" s="86"/>
      <c r="C503" s="65"/>
      <c r="D503" s="65"/>
      <c r="E503" s="87"/>
      <c r="F503" s="88"/>
      <c r="G503" s="65"/>
      <c r="H503" s="65"/>
      <c r="I503" s="65"/>
      <c r="J503" s="65"/>
      <c r="K503" s="65"/>
      <c r="L503" s="65"/>
      <c r="M503" s="89"/>
      <c r="N503" s="90"/>
      <c r="O503" s="42" t="b">
        <v>0</v>
      </c>
      <c r="P503" s="44"/>
      <c r="Q503" s="34"/>
      <c r="R503" s="34"/>
      <c r="S503" s="34"/>
      <c r="T503" s="34"/>
    </row>
    <row r="504" ht="15.75" customHeight="1">
      <c r="B504" s="86"/>
      <c r="C504" s="65"/>
      <c r="D504" s="65"/>
      <c r="E504" s="87"/>
      <c r="F504" s="88"/>
      <c r="G504" s="65"/>
      <c r="H504" s="65"/>
      <c r="I504" s="65"/>
      <c r="J504" s="65"/>
      <c r="K504" s="65"/>
      <c r="L504" s="65"/>
      <c r="M504" s="89"/>
      <c r="N504" s="90"/>
      <c r="O504" s="42" t="b">
        <v>0</v>
      </c>
      <c r="P504" s="44"/>
      <c r="Q504" s="34"/>
      <c r="R504" s="34"/>
      <c r="S504" s="34"/>
      <c r="T504" s="34"/>
    </row>
    <row r="505" ht="15.75" customHeight="1">
      <c r="B505" s="86"/>
      <c r="C505" s="65"/>
      <c r="D505" s="65"/>
      <c r="E505" s="87"/>
      <c r="F505" s="88"/>
      <c r="G505" s="65"/>
      <c r="H505" s="65"/>
      <c r="I505" s="65"/>
      <c r="J505" s="65"/>
      <c r="K505" s="65"/>
      <c r="L505" s="65"/>
      <c r="M505" s="89"/>
      <c r="N505" s="90"/>
      <c r="O505" s="42" t="b">
        <v>0</v>
      </c>
      <c r="P505" s="44"/>
      <c r="Q505" s="34"/>
      <c r="R505" s="34"/>
      <c r="S505" s="34"/>
      <c r="T505" s="34"/>
    </row>
    <row r="506" ht="15.75" customHeight="1">
      <c r="B506" s="86"/>
      <c r="C506" s="65"/>
      <c r="D506" s="65"/>
      <c r="E506" s="87"/>
      <c r="F506" s="88"/>
      <c r="G506" s="65"/>
      <c r="H506" s="65"/>
      <c r="I506" s="65"/>
      <c r="J506" s="65"/>
      <c r="K506" s="65"/>
      <c r="L506" s="65"/>
      <c r="M506" s="89"/>
      <c r="N506" s="90"/>
      <c r="O506" s="42" t="b">
        <v>0</v>
      </c>
      <c r="P506" s="44"/>
      <c r="Q506" s="34"/>
      <c r="R506" s="34"/>
      <c r="S506" s="34"/>
      <c r="T506" s="34"/>
    </row>
    <row r="507" ht="15.75" customHeight="1">
      <c r="B507" s="86"/>
      <c r="C507" s="65"/>
      <c r="D507" s="65"/>
      <c r="E507" s="87"/>
      <c r="F507" s="88"/>
      <c r="G507" s="65"/>
      <c r="H507" s="65"/>
      <c r="I507" s="65"/>
      <c r="J507" s="65"/>
      <c r="K507" s="65"/>
      <c r="L507" s="65"/>
      <c r="M507" s="89"/>
      <c r="N507" s="90"/>
      <c r="O507" s="42" t="b">
        <v>0</v>
      </c>
      <c r="P507" s="44"/>
      <c r="Q507" s="34"/>
      <c r="R507" s="34"/>
      <c r="S507" s="34"/>
      <c r="T507" s="34"/>
    </row>
    <row r="508" ht="15.75" customHeight="1">
      <c r="B508" s="86"/>
      <c r="C508" s="65"/>
      <c r="D508" s="65"/>
      <c r="E508" s="87"/>
      <c r="F508" s="88"/>
      <c r="G508" s="65"/>
      <c r="H508" s="65"/>
      <c r="I508" s="65"/>
      <c r="J508" s="65"/>
      <c r="K508" s="65"/>
      <c r="L508" s="65"/>
      <c r="M508" s="89"/>
      <c r="N508" s="90"/>
      <c r="O508" s="42" t="b">
        <v>0</v>
      </c>
      <c r="P508" s="44"/>
      <c r="Q508" s="34"/>
      <c r="R508" s="34"/>
      <c r="S508" s="34"/>
      <c r="T508" s="34"/>
    </row>
    <row r="509" ht="15.75" customHeight="1">
      <c r="B509" s="86"/>
      <c r="C509" s="65"/>
      <c r="D509" s="65"/>
      <c r="E509" s="87"/>
      <c r="F509" s="88"/>
      <c r="G509" s="65"/>
      <c r="H509" s="65"/>
      <c r="I509" s="65"/>
      <c r="J509" s="65"/>
      <c r="K509" s="65"/>
      <c r="L509" s="65"/>
      <c r="M509" s="89"/>
      <c r="N509" s="90"/>
      <c r="O509" s="42" t="b">
        <v>0</v>
      </c>
      <c r="P509" s="44"/>
      <c r="Q509" s="34"/>
      <c r="R509" s="34"/>
      <c r="S509" s="34"/>
      <c r="T509" s="34"/>
    </row>
    <row r="510" ht="15.75" customHeight="1">
      <c r="B510" s="86"/>
      <c r="C510" s="65"/>
      <c r="D510" s="65"/>
      <c r="E510" s="87"/>
      <c r="F510" s="88"/>
      <c r="G510" s="65"/>
      <c r="H510" s="65"/>
      <c r="I510" s="65"/>
      <c r="J510" s="65"/>
      <c r="K510" s="65"/>
      <c r="L510" s="65"/>
      <c r="M510" s="89"/>
      <c r="N510" s="90"/>
      <c r="O510" s="42" t="b">
        <v>0</v>
      </c>
      <c r="P510" s="44"/>
      <c r="Q510" s="34"/>
      <c r="R510" s="34"/>
      <c r="S510" s="34"/>
      <c r="T510" s="34"/>
    </row>
    <row r="511" ht="15.75" customHeight="1">
      <c r="B511" s="86"/>
      <c r="C511" s="65"/>
      <c r="D511" s="65"/>
      <c r="E511" s="87"/>
      <c r="F511" s="88"/>
      <c r="G511" s="65"/>
      <c r="H511" s="65"/>
      <c r="I511" s="65"/>
      <c r="J511" s="65"/>
      <c r="K511" s="65"/>
      <c r="L511" s="65"/>
      <c r="M511" s="89"/>
      <c r="N511" s="90"/>
      <c r="O511" s="42" t="b">
        <v>0</v>
      </c>
      <c r="P511" s="44"/>
      <c r="Q511" s="34"/>
      <c r="R511" s="34"/>
      <c r="S511" s="34"/>
      <c r="T511" s="34"/>
    </row>
    <row r="512" ht="15.75" customHeight="1">
      <c r="B512" s="86"/>
      <c r="C512" s="65"/>
      <c r="D512" s="65"/>
      <c r="E512" s="87"/>
      <c r="F512" s="88"/>
      <c r="G512" s="65"/>
      <c r="H512" s="65"/>
      <c r="I512" s="65"/>
      <c r="J512" s="65"/>
      <c r="K512" s="65"/>
      <c r="L512" s="65"/>
      <c r="M512" s="89"/>
      <c r="N512" s="90"/>
      <c r="O512" s="42" t="b">
        <v>0</v>
      </c>
      <c r="P512" s="44"/>
      <c r="Q512" s="34"/>
      <c r="R512" s="34"/>
      <c r="S512" s="34"/>
      <c r="T512" s="34"/>
    </row>
    <row r="513" ht="15.75" customHeight="1">
      <c r="B513" s="86"/>
      <c r="C513" s="65"/>
      <c r="D513" s="65"/>
      <c r="E513" s="87"/>
      <c r="F513" s="88"/>
      <c r="G513" s="65"/>
      <c r="H513" s="65"/>
      <c r="I513" s="65"/>
      <c r="J513" s="65"/>
      <c r="K513" s="65"/>
      <c r="L513" s="65"/>
      <c r="M513" s="89"/>
      <c r="N513" s="90"/>
      <c r="O513" s="42" t="b">
        <v>0</v>
      </c>
      <c r="P513" s="44"/>
      <c r="Q513" s="34"/>
      <c r="R513" s="34"/>
      <c r="S513" s="34"/>
      <c r="T513" s="34"/>
    </row>
    <row r="514" ht="15.75" customHeight="1">
      <c r="B514" s="86"/>
      <c r="C514" s="65"/>
      <c r="D514" s="65"/>
      <c r="E514" s="87"/>
      <c r="F514" s="88"/>
      <c r="G514" s="65"/>
      <c r="H514" s="65"/>
      <c r="I514" s="65"/>
      <c r="J514" s="65"/>
      <c r="K514" s="65"/>
      <c r="L514" s="65"/>
      <c r="M514" s="89"/>
      <c r="N514" s="90"/>
      <c r="O514" s="42" t="b">
        <v>0</v>
      </c>
      <c r="P514" s="44"/>
      <c r="Q514" s="34"/>
      <c r="R514" s="34"/>
      <c r="S514" s="34"/>
      <c r="T514" s="34"/>
    </row>
    <row r="515" ht="15.75" customHeight="1">
      <c r="B515" s="86"/>
      <c r="C515" s="65"/>
      <c r="D515" s="65"/>
      <c r="E515" s="87"/>
      <c r="F515" s="88"/>
      <c r="G515" s="65"/>
      <c r="H515" s="65"/>
      <c r="I515" s="65"/>
      <c r="J515" s="65"/>
      <c r="K515" s="65"/>
      <c r="L515" s="65"/>
      <c r="M515" s="89"/>
      <c r="N515" s="90"/>
      <c r="O515" s="42" t="b">
        <v>0</v>
      </c>
      <c r="P515" s="44"/>
      <c r="Q515" s="34"/>
      <c r="R515" s="34"/>
      <c r="S515" s="34"/>
      <c r="T515" s="34"/>
    </row>
    <row r="516" ht="15.75" customHeight="1">
      <c r="B516" s="86"/>
      <c r="C516" s="65"/>
      <c r="D516" s="65"/>
      <c r="E516" s="87"/>
      <c r="F516" s="88"/>
      <c r="G516" s="65"/>
      <c r="H516" s="65"/>
      <c r="I516" s="65"/>
      <c r="J516" s="65"/>
      <c r="K516" s="65"/>
      <c r="L516" s="65"/>
      <c r="M516" s="89"/>
      <c r="N516" s="90"/>
      <c r="O516" s="42" t="b">
        <v>0</v>
      </c>
      <c r="P516" s="44"/>
      <c r="Q516" s="34"/>
      <c r="R516" s="34"/>
      <c r="S516" s="34"/>
      <c r="T516" s="34"/>
    </row>
    <row r="517" ht="15.75" customHeight="1">
      <c r="B517" s="86"/>
      <c r="C517" s="65"/>
      <c r="D517" s="65"/>
      <c r="E517" s="87"/>
      <c r="F517" s="88"/>
      <c r="G517" s="65"/>
      <c r="H517" s="65"/>
      <c r="I517" s="65"/>
      <c r="J517" s="65"/>
      <c r="K517" s="65"/>
      <c r="L517" s="65"/>
      <c r="M517" s="89"/>
      <c r="N517" s="90"/>
      <c r="O517" s="42" t="b">
        <v>0</v>
      </c>
      <c r="P517" s="44"/>
      <c r="Q517" s="34"/>
      <c r="R517" s="34"/>
      <c r="S517" s="34"/>
      <c r="T517" s="34"/>
    </row>
    <row r="518" ht="15.75" customHeight="1">
      <c r="B518" s="86"/>
      <c r="C518" s="65"/>
      <c r="D518" s="65"/>
      <c r="E518" s="87"/>
      <c r="F518" s="88"/>
      <c r="G518" s="65"/>
      <c r="H518" s="65"/>
      <c r="I518" s="65"/>
      <c r="J518" s="65"/>
      <c r="K518" s="65"/>
      <c r="L518" s="65"/>
      <c r="M518" s="89"/>
      <c r="N518" s="90"/>
      <c r="O518" s="42" t="b">
        <v>0</v>
      </c>
      <c r="P518" s="44"/>
      <c r="Q518" s="34"/>
      <c r="R518" s="34"/>
      <c r="S518" s="34"/>
      <c r="T518" s="34"/>
    </row>
    <row r="519" ht="15.75" customHeight="1">
      <c r="B519" s="86"/>
      <c r="C519" s="65"/>
      <c r="D519" s="65"/>
      <c r="E519" s="87"/>
      <c r="F519" s="88"/>
      <c r="G519" s="65"/>
      <c r="H519" s="65"/>
      <c r="I519" s="65"/>
      <c r="J519" s="65"/>
      <c r="K519" s="65"/>
      <c r="L519" s="65"/>
      <c r="M519" s="89"/>
      <c r="N519" s="90"/>
      <c r="O519" s="42" t="b">
        <v>0</v>
      </c>
      <c r="P519" s="44"/>
      <c r="Q519" s="34"/>
      <c r="R519" s="34"/>
      <c r="S519" s="34"/>
      <c r="T519" s="34"/>
    </row>
    <row r="520" ht="15.75" customHeight="1">
      <c r="B520" s="86"/>
      <c r="C520" s="65"/>
      <c r="D520" s="65"/>
      <c r="E520" s="87"/>
      <c r="F520" s="88"/>
      <c r="G520" s="65"/>
      <c r="H520" s="65"/>
      <c r="I520" s="65"/>
      <c r="J520" s="65"/>
      <c r="K520" s="65"/>
      <c r="L520" s="65"/>
      <c r="M520" s="89"/>
      <c r="N520" s="48"/>
      <c r="O520" s="42" t="b">
        <v>0</v>
      </c>
      <c r="P520" s="44"/>
      <c r="Q520" s="34"/>
      <c r="R520" s="34"/>
      <c r="S520" s="34"/>
      <c r="T520" s="34"/>
    </row>
    <row r="521" ht="15.75" customHeight="1">
      <c r="B521" s="86"/>
      <c r="C521" s="65"/>
      <c r="D521" s="65"/>
      <c r="E521" s="87"/>
      <c r="F521" s="88"/>
      <c r="G521" s="65"/>
      <c r="H521" s="65"/>
      <c r="I521" s="65"/>
      <c r="J521" s="65"/>
      <c r="K521" s="65"/>
      <c r="L521" s="65"/>
      <c r="M521" s="89"/>
      <c r="N521" s="90"/>
      <c r="O521" s="42" t="b">
        <v>0</v>
      </c>
      <c r="P521" s="44"/>
      <c r="Q521" s="34"/>
      <c r="R521" s="34"/>
      <c r="S521" s="34"/>
      <c r="T521" s="34"/>
    </row>
    <row r="522" ht="15.75" customHeight="1">
      <c r="B522" s="86"/>
      <c r="C522" s="65"/>
      <c r="D522" s="65"/>
      <c r="E522" s="87"/>
      <c r="F522" s="88"/>
      <c r="G522" s="65"/>
      <c r="H522" s="65"/>
      <c r="I522" s="65"/>
      <c r="J522" s="65"/>
      <c r="K522" s="65"/>
      <c r="L522" s="65"/>
      <c r="M522" s="89"/>
      <c r="N522" s="48"/>
      <c r="O522" s="42" t="b">
        <v>0</v>
      </c>
      <c r="P522" s="44"/>
      <c r="Q522" s="34"/>
      <c r="R522" s="35"/>
      <c r="S522" s="34"/>
      <c r="T522" s="34"/>
    </row>
    <row r="523" ht="15.75" customHeight="1">
      <c r="B523" s="86"/>
      <c r="C523" s="65"/>
      <c r="D523" s="65"/>
      <c r="E523" s="87"/>
      <c r="F523" s="88"/>
      <c r="G523" s="65"/>
      <c r="H523" s="65"/>
      <c r="I523" s="65"/>
      <c r="J523" s="65"/>
      <c r="K523" s="65"/>
      <c r="L523" s="65"/>
      <c r="M523" s="89"/>
      <c r="N523" s="90"/>
      <c r="O523" s="42" t="b">
        <v>0</v>
      </c>
      <c r="P523" s="44"/>
      <c r="Q523" s="34"/>
      <c r="R523" s="35"/>
      <c r="S523" s="34"/>
      <c r="T523" s="34"/>
    </row>
    <row r="524" ht="15.75" customHeight="1">
      <c r="B524" s="86"/>
      <c r="C524" s="65"/>
      <c r="D524" s="65"/>
      <c r="E524" s="87"/>
      <c r="F524" s="88"/>
      <c r="G524" s="65"/>
      <c r="H524" s="65"/>
      <c r="I524" s="65"/>
      <c r="J524" s="65"/>
      <c r="K524" s="65"/>
      <c r="L524" s="65"/>
      <c r="M524" s="89"/>
      <c r="N524" s="90"/>
      <c r="O524" s="42" t="b">
        <v>0</v>
      </c>
      <c r="P524" s="44"/>
      <c r="Q524" s="34"/>
      <c r="R524" s="34"/>
      <c r="S524" s="34"/>
      <c r="T524" s="34"/>
    </row>
    <row r="525" ht="15.75" customHeight="1">
      <c r="B525" s="86"/>
      <c r="C525" s="65"/>
      <c r="D525" s="65"/>
      <c r="E525" s="87"/>
      <c r="F525" s="88"/>
      <c r="G525" s="65"/>
      <c r="H525" s="65"/>
      <c r="I525" s="65"/>
      <c r="J525" s="65"/>
      <c r="K525" s="65"/>
      <c r="L525" s="65"/>
      <c r="M525" s="89"/>
      <c r="N525" s="90"/>
      <c r="O525" s="42" t="b">
        <v>0</v>
      </c>
      <c r="P525" s="44"/>
      <c r="Q525" s="34"/>
      <c r="R525" s="34"/>
      <c r="S525" s="34"/>
      <c r="T525" s="34"/>
    </row>
    <row r="526" ht="15.75" customHeight="1">
      <c r="B526" s="86"/>
      <c r="C526" s="65"/>
      <c r="D526" s="65"/>
      <c r="E526" s="87"/>
      <c r="F526" s="88"/>
      <c r="G526" s="65"/>
      <c r="H526" s="65"/>
      <c r="I526" s="65"/>
      <c r="J526" s="65"/>
      <c r="K526" s="65"/>
      <c r="L526" s="65"/>
      <c r="M526" s="89"/>
      <c r="N526" s="90"/>
      <c r="O526" s="42" t="b">
        <v>0</v>
      </c>
      <c r="P526" s="44"/>
      <c r="Q526" s="34"/>
      <c r="R526" s="34"/>
      <c r="S526" s="34"/>
      <c r="T526" s="34"/>
    </row>
    <row r="527" ht="15.75" customHeight="1">
      <c r="B527" s="86"/>
      <c r="C527" s="65"/>
      <c r="D527" s="65"/>
      <c r="E527" s="87"/>
      <c r="F527" s="88"/>
      <c r="G527" s="65"/>
      <c r="H527" s="65"/>
      <c r="I527" s="65"/>
      <c r="J527" s="65"/>
      <c r="K527" s="65"/>
      <c r="L527" s="65"/>
      <c r="M527" s="89"/>
      <c r="N527" s="90"/>
      <c r="O527" s="42" t="b">
        <v>0</v>
      </c>
      <c r="P527" s="44"/>
      <c r="Q527" s="34"/>
      <c r="R527" s="34"/>
      <c r="S527" s="34"/>
      <c r="T527" s="34"/>
    </row>
    <row r="528" ht="15.75" customHeight="1">
      <c r="B528" s="86"/>
      <c r="C528" s="65"/>
      <c r="D528" s="65"/>
      <c r="E528" s="87"/>
      <c r="F528" s="88"/>
      <c r="G528" s="65"/>
      <c r="H528" s="65"/>
      <c r="I528" s="65"/>
      <c r="J528" s="65"/>
      <c r="K528" s="65"/>
      <c r="L528" s="65"/>
      <c r="M528" s="89"/>
      <c r="N528" s="48"/>
      <c r="O528" s="42" t="b">
        <v>0</v>
      </c>
      <c r="P528" s="44"/>
      <c r="Q528" s="34"/>
      <c r="R528" s="34"/>
      <c r="S528" s="34"/>
      <c r="T528" s="34"/>
    </row>
    <row r="529" ht="15.75" customHeight="1">
      <c r="B529" s="86"/>
      <c r="C529" s="65"/>
      <c r="D529" s="65"/>
      <c r="E529" s="87"/>
      <c r="F529" s="88"/>
      <c r="G529" s="65"/>
      <c r="H529" s="65"/>
      <c r="I529" s="65"/>
      <c r="J529" s="65"/>
      <c r="K529" s="65"/>
      <c r="L529" s="65"/>
      <c r="M529" s="89"/>
      <c r="N529" s="48"/>
      <c r="O529" s="42" t="b">
        <v>0</v>
      </c>
      <c r="P529" s="44"/>
      <c r="Q529" s="34"/>
      <c r="R529" s="34"/>
      <c r="S529" s="34"/>
      <c r="T529" s="34"/>
    </row>
    <row r="530" ht="15.75" customHeight="1">
      <c r="B530" s="86"/>
      <c r="C530" s="65"/>
      <c r="D530" s="65"/>
      <c r="E530" s="87"/>
      <c r="F530" s="88"/>
      <c r="G530" s="65"/>
      <c r="H530" s="65"/>
      <c r="I530" s="65"/>
      <c r="J530" s="65"/>
      <c r="K530" s="65"/>
      <c r="L530" s="65"/>
      <c r="M530" s="89"/>
      <c r="N530" s="48"/>
      <c r="O530" s="42" t="b">
        <v>0</v>
      </c>
      <c r="P530" s="44"/>
      <c r="Q530" s="34"/>
      <c r="R530" s="34"/>
      <c r="S530" s="34"/>
      <c r="T530" s="34"/>
    </row>
    <row r="531" ht="15.75" customHeight="1">
      <c r="B531" s="86"/>
      <c r="C531" s="65"/>
      <c r="D531" s="65"/>
      <c r="E531" s="87"/>
      <c r="F531" s="88"/>
      <c r="G531" s="65"/>
      <c r="H531" s="65"/>
      <c r="I531" s="65"/>
      <c r="J531" s="65"/>
      <c r="K531" s="65"/>
      <c r="L531" s="65"/>
      <c r="M531" s="89"/>
      <c r="N531" s="48"/>
      <c r="O531" s="42" t="b">
        <v>0</v>
      </c>
      <c r="P531" s="44"/>
      <c r="Q531" s="34"/>
      <c r="R531" s="34"/>
      <c r="S531" s="34"/>
      <c r="T531" s="34"/>
    </row>
    <row r="532" ht="15.75" customHeight="1">
      <c r="B532" s="86"/>
      <c r="C532" s="65"/>
      <c r="D532" s="65"/>
      <c r="E532" s="87"/>
      <c r="F532" s="88"/>
      <c r="G532" s="65"/>
      <c r="H532" s="65"/>
      <c r="I532" s="65"/>
      <c r="J532" s="65"/>
      <c r="K532" s="65"/>
      <c r="L532" s="65"/>
      <c r="M532" s="89"/>
      <c r="N532" s="48"/>
      <c r="O532" s="42" t="b">
        <v>0</v>
      </c>
      <c r="P532" s="44"/>
      <c r="Q532" s="34"/>
      <c r="R532" s="34"/>
      <c r="S532" s="34"/>
      <c r="T532" s="34"/>
    </row>
    <row r="533" ht="15.75" customHeight="1">
      <c r="B533" s="86"/>
      <c r="C533" s="65"/>
      <c r="D533" s="65"/>
      <c r="E533" s="87"/>
      <c r="F533" s="88"/>
      <c r="G533" s="65"/>
      <c r="H533" s="65"/>
      <c r="I533" s="65"/>
      <c r="J533" s="65"/>
      <c r="K533" s="65"/>
      <c r="L533" s="65"/>
      <c r="M533" s="89"/>
      <c r="N533" s="48"/>
      <c r="O533" s="42" t="b">
        <v>0</v>
      </c>
      <c r="P533" s="44"/>
      <c r="Q533" s="34"/>
      <c r="R533" s="34"/>
      <c r="S533" s="34"/>
      <c r="T533" s="34"/>
    </row>
    <row r="534" ht="15.75" customHeight="1">
      <c r="B534" s="86"/>
      <c r="C534" s="65"/>
      <c r="D534" s="65"/>
      <c r="E534" s="87"/>
      <c r="F534" s="88"/>
      <c r="G534" s="65"/>
      <c r="H534" s="65"/>
      <c r="I534" s="65"/>
      <c r="J534" s="65"/>
      <c r="K534" s="65"/>
      <c r="L534" s="65"/>
      <c r="M534" s="89"/>
      <c r="N534" s="48"/>
      <c r="O534" s="42" t="b">
        <v>0</v>
      </c>
      <c r="P534" s="44"/>
      <c r="Q534" s="34"/>
      <c r="R534" s="34"/>
      <c r="S534" s="34"/>
      <c r="T534" s="34"/>
    </row>
    <row r="535" ht="15.75" customHeight="1">
      <c r="B535" s="86"/>
      <c r="C535" s="65"/>
      <c r="D535" s="65"/>
      <c r="E535" s="87"/>
      <c r="F535" s="88"/>
      <c r="G535" s="65"/>
      <c r="H535" s="65"/>
      <c r="I535" s="65"/>
      <c r="J535" s="65"/>
      <c r="K535" s="65"/>
      <c r="L535" s="65"/>
      <c r="M535" s="89"/>
      <c r="N535" s="48"/>
      <c r="O535" s="42" t="b">
        <v>0</v>
      </c>
      <c r="P535" s="44"/>
      <c r="Q535" s="34"/>
      <c r="R535" s="34"/>
      <c r="S535" s="34"/>
      <c r="T535" s="34"/>
    </row>
    <row r="536" ht="15.75" customHeight="1">
      <c r="B536" s="86"/>
      <c r="C536" s="65"/>
      <c r="D536" s="65"/>
      <c r="E536" s="87"/>
      <c r="F536" s="88"/>
      <c r="G536" s="65"/>
      <c r="H536" s="65"/>
      <c r="I536" s="65"/>
      <c r="J536" s="65"/>
      <c r="K536" s="65"/>
      <c r="L536" s="65"/>
      <c r="M536" s="89"/>
      <c r="N536" s="48"/>
      <c r="O536" s="42" t="b">
        <v>0</v>
      </c>
      <c r="P536" s="44"/>
      <c r="Q536" s="34"/>
      <c r="R536" s="34"/>
      <c r="S536" s="34"/>
      <c r="T536" s="34"/>
    </row>
    <row r="537" ht="15.75" customHeight="1">
      <c r="B537" s="86"/>
      <c r="C537" s="65"/>
      <c r="D537" s="65"/>
      <c r="E537" s="87"/>
      <c r="F537" s="88"/>
      <c r="G537" s="65"/>
      <c r="H537" s="65"/>
      <c r="I537" s="65"/>
      <c r="J537" s="65"/>
      <c r="K537" s="65"/>
      <c r="L537" s="65"/>
      <c r="M537" s="89"/>
      <c r="N537" s="48"/>
      <c r="O537" s="42" t="b">
        <v>0</v>
      </c>
      <c r="P537" s="44"/>
      <c r="Q537" s="34"/>
      <c r="R537" s="34"/>
      <c r="S537" s="34"/>
      <c r="T537" s="34"/>
    </row>
    <row r="538" ht="15.75" customHeight="1">
      <c r="B538" s="86"/>
      <c r="C538" s="65"/>
      <c r="D538" s="65"/>
      <c r="E538" s="87"/>
      <c r="F538" s="88"/>
      <c r="G538" s="65"/>
      <c r="H538" s="65"/>
      <c r="I538" s="65"/>
      <c r="J538" s="65"/>
      <c r="K538" s="65"/>
      <c r="L538" s="65"/>
      <c r="M538" s="89"/>
      <c r="N538" s="48"/>
      <c r="O538" s="42" t="b">
        <v>0</v>
      </c>
      <c r="P538" s="44"/>
      <c r="Q538" s="34"/>
      <c r="R538" s="34"/>
      <c r="S538" s="34"/>
      <c r="T538" s="34"/>
    </row>
    <row r="539" ht="15.75" customHeight="1">
      <c r="B539" s="86"/>
      <c r="C539" s="65"/>
      <c r="D539" s="65"/>
      <c r="E539" s="87"/>
      <c r="F539" s="88"/>
      <c r="G539" s="65"/>
      <c r="H539" s="65"/>
      <c r="I539" s="65"/>
      <c r="J539" s="65"/>
      <c r="K539" s="65"/>
      <c r="L539" s="65"/>
      <c r="M539" s="89"/>
      <c r="N539" s="48"/>
      <c r="O539" s="42" t="b">
        <v>0</v>
      </c>
      <c r="P539" s="44"/>
      <c r="Q539" s="34"/>
      <c r="R539" s="34"/>
      <c r="S539" s="34"/>
      <c r="T539" s="34"/>
    </row>
    <row r="540" ht="15.75" customHeight="1">
      <c r="B540" s="86"/>
      <c r="C540" s="65"/>
      <c r="D540" s="65"/>
      <c r="E540" s="87"/>
      <c r="F540" s="88"/>
      <c r="G540" s="65"/>
      <c r="H540" s="65"/>
      <c r="I540" s="65"/>
      <c r="J540" s="65"/>
      <c r="K540" s="65"/>
      <c r="L540" s="65"/>
      <c r="M540" s="89"/>
      <c r="N540" s="48"/>
      <c r="O540" s="42" t="b">
        <v>0</v>
      </c>
      <c r="P540" s="44"/>
      <c r="Q540" s="34"/>
      <c r="R540" s="34"/>
      <c r="S540" s="34"/>
      <c r="T540" s="34"/>
    </row>
    <row r="541" ht="15.75" customHeight="1">
      <c r="B541" s="86"/>
      <c r="C541" s="65"/>
      <c r="D541" s="65"/>
      <c r="E541" s="87"/>
      <c r="F541" s="88"/>
      <c r="G541" s="65"/>
      <c r="H541" s="65"/>
      <c r="I541" s="65"/>
      <c r="J541" s="65"/>
      <c r="K541" s="65"/>
      <c r="L541" s="65"/>
      <c r="M541" s="89"/>
      <c r="N541" s="48"/>
      <c r="O541" s="42" t="b">
        <v>0</v>
      </c>
      <c r="P541" s="44"/>
      <c r="Q541" s="34"/>
      <c r="R541" s="34"/>
      <c r="S541" s="34"/>
      <c r="T541" s="34"/>
    </row>
    <row r="542" ht="15.75" customHeight="1">
      <c r="B542" s="86"/>
      <c r="C542" s="65"/>
      <c r="D542" s="65"/>
      <c r="E542" s="87"/>
      <c r="F542" s="88"/>
      <c r="G542" s="65"/>
      <c r="H542" s="65"/>
      <c r="I542" s="65"/>
      <c r="J542" s="65"/>
      <c r="K542" s="65"/>
      <c r="L542" s="65"/>
      <c r="M542" s="89"/>
      <c r="N542" s="48"/>
      <c r="O542" s="42" t="b">
        <v>0</v>
      </c>
      <c r="P542" s="44"/>
      <c r="Q542" s="34"/>
      <c r="R542" s="34"/>
      <c r="S542" s="34"/>
      <c r="T542" s="34"/>
    </row>
    <row r="543" ht="15.75" customHeight="1">
      <c r="B543" s="86"/>
      <c r="C543" s="65"/>
      <c r="D543" s="65"/>
      <c r="E543" s="87"/>
      <c r="F543" s="88"/>
      <c r="G543" s="65"/>
      <c r="H543" s="65"/>
      <c r="I543" s="65"/>
      <c r="J543" s="65"/>
      <c r="K543" s="65"/>
      <c r="L543" s="65"/>
      <c r="M543" s="89"/>
      <c r="N543" s="48"/>
      <c r="O543" s="42" t="b">
        <v>0</v>
      </c>
      <c r="P543" s="44"/>
      <c r="Q543" s="34"/>
      <c r="R543" s="34"/>
      <c r="S543" s="34"/>
      <c r="T543" s="34"/>
    </row>
    <row r="544" ht="15.75" customHeight="1">
      <c r="B544" s="86"/>
      <c r="C544" s="65"/>
      <c r="D544" s="65"/>
      <c r="E544" s="87"/>
      <c r="F544" s="88"/>
      <c r="G544" s="65"/>
      <c r="H544" s="65"/>
      <c r="I544" s="65"/>
      <c r="J544" s="65"/>
      <c r="K544" s="65"/>
      <c r="L544" s="65"/>
      <c r="M544" s="89"/>
      <c r="N544" s="48"/>
      <c r="O544" s="42" t="b">
        <v>0</v>
      </c>
      <c r="P544" s="44"/>
      <c r="Q544" s="34"/>
      <c r="R544" s="34"/>
      <c r="S544" s="34"/>
      <c r="T544" s="34"/>
    </row>
    <row r="545" ht="15.75" customHeight="1">
      <c r="B545" s="86"/>
      <c r="C545" s="65"/>
      <c r="D545" s="65"/>
      <c r="E545" s="87"/>
      <c r="F545" s="88"/>
      <c r="G545" s="65"/>
      <c r="H545" s="65"/>
      <c r="I545" s="65"/>
      <c r="J545" s="65"/>
      <c r="K545" s="65"/>
      <c r="L545" s="65"/>
      <c r="M545" s="89"/>
      <c r="N545" s="90"/>
      <c r="O545" s="42" t="b">
        <v>0</v>
      </c>
      <c r="P545" s="44"/>
      <c r="Q545" s="34"/>
      <c r="R545" s="34"/>
      <c r="S545" s="34"/>
      <c r="T545" s="34"/>
    </row>
    <row r="546" ht="15.75" customHeight="1">
      <c r="B546" s="86"/>
      <c r="C546" s="65"/>
      <c r="D546" s="65"/>
      <c r="E546" s="87"/>
      <c r="F546" s="88"/>
      <c r="G546" s="65"/>
      <c r="H546" s="65"/>
      <c r="I546" s="65"/>
      <c r="J546" s="65"/>
      <c r="K546" s="65"/>
      <c r="L546" s="65"/>
      <c r="M546" s="89"/>
      <c r="N546" s="48"/>
      <c r="O546" s="42" t="b">
        <v>0</v>
      </c>
      <c r="P546" s="44"/>
      <c r="Q546" s="34"/>
      <c r="R546" s="34"/>
      <c r="S546" s="34"/>
      <c r="T546" s="34"/>
    </row>
    <row r="547" ht="15.75" customHeight="1">
      <c r="B547" s="86"/>
      <c r="C547" s="65"/>
      <c r="D547" s="65"/>
      <c r="E547" s="87"/>
      <c r="F547" s="88"/>
      <c r="G547" s="65"/>
      <c r="H547" s="65"/>
      <c r="I547" s="65"/>
      <c r="J547" s="65"/>
      <c r="K547" s="65"/>
      <c r="L547" s="65"/>
      <c r="M547" s="89"/>
      <c r="N547" s="90"/>
      <c r="O547" s="42" t="b">
        <v>0</v>
      </c>
      <c r="P547" s="44"/>
      <c r="Q547" s="34"/>
      <c r="R547" s="34"/>
      <c r="S547" s="34"/>
      <c r="T547" s="34"/>
    </row>
    <row r="548" ht="15.75" customHeight="1">
      <c r="B548" s="86"/>
      <c r="C548" s="65"/>
      <c r="D548" s="65"/>
      <c r="E548" s="87"/>
      <c r="F548" s="88"/>
      <c r="G548" s="65"/>
      <c r="H548" s="65"/>
      <c r="I548" s="65"/>
      <c r="J548" s="65"/>
      <c r="K548" s="65"/>
      <c r="L548" s="65"/>
      <c r="M548" s="89"/>
      <c r="N548" s="90"/>
      <c r="O548" s="42" t="b">
        <v>0</v>
      </c>
      <c r="P548" s="44"/>
      <c r="Q548" s="34"/>
      <c r="R548" s="34"/>
      <c r="S548" s="34"/>
      <c r="T548" s="34"/>
    </row>
    <row r="549" ht="15.75" customHeight="1">
      <c r="B549" s="86"/>
      <c r="C549" s="65"/>
      <c r="D549" s="65"/>
      <c r="E549" s="87"/>
      <c r="F549" s="88"/>
      <c r="G549" s="65"/>
      <c r="H549" s="65"/>
      <c r="I549" s="65"/>
      <c r="J549" s="65"/>
      <c r="K549" s="65"/>
      <c r="L549" s="65"/>
      <c r="M549" s="89"/>
      <c r="N549" s="128"/>
      <c r="O549" s="42" t="b">
        <v>0</v>
      </c>
      <c r="P549" s="44"/>
      <c r="Q549" s="34"/>
      <c r="R549" s="35"/>
      <c r="S549" s="34"/>
      <c r="T549" s="34"/>
    </row>
    <row r="550" ht="15.75" customHeight="1">
      <c r="B550" s="86"/>
      <c r="C550" s="65"/>
      <c r="D550" s="65"/>
      <c r="E550" s="87"/>
      <c r="F550" s="88"/>
      <c r="G550" s="65"/>
      <c r="H550" s="65"/>
      <c r="I550" s="65"/>
      <c r="J550" s="65"/>
      <c r="K550" s="65"/>
      <c r="L550" s="65"/>
      <c r="M550" s="89"/>
      <c r="N550" s="90"/>
      <c r="O550" s="42" t="b">
        <v>0</v>
      </c>
      <c r="P550" s="44"/>
      <c r="Q550" s="34"/>
      <c r="R550" s="33"/>
      <c r="S550" s="34"/>
      <c r="T550" s="34"/>
    </row>
    <row r="551" ht="15.75" customHeight="1">
      <c r="B551" s="86"/>
      <c r="C551" s="65"/>
      <c r="D551" s="65"/>
      <c r="E551" s="87"/>
      <c r="F551" s="88"/>
      <c r="G551" s="65"/>
      <c r="H551" s="65"/>
      <c r="I551" s="65"/>
      <c r="J551" s="65"/>
      <c r="K551" s="65"/>
      <c r="L551" s="65"/>
      <c r="M551" s="89"/>
      <c r="N551" s="90"/>
      <c r="O551" s="42" t="b">
        <v>0</v>
      </c>
      <c r="P551" s="44"/>
      <c r="Q551" s="34"/>
      <c r="R551" s="33"/>
      <c r="S551" s="34"/>
      <c r="T551" s="34"/>
    </row>
    <row r="552" ht="15.75" customHeight="1">
      <c r="B552" s="86"/>
      <c r="C552" s="65"/>
      <c r="D552" s="65"/>
      <c r="E552" s="87"/>
      <c r="F552" s="88"/>
      <c r="G552" s="65"/>
      <c r="H552" s="65"/>
      <c r="I552" s="65"/>
      <c r="J552" s="65"/>
      <c r="K552" s="65"/>
      <c r="L552" s="65"/>
      <c r="M552" s="89"/>
      <c r="N552" s="90"/>
      <c r="O552" s="42" t="b">
        <v>0</v>
      </c>
      <c r="P552" s="44"/>
      <c r="Q552" s="34"/>
      <c r="R552" s="33"/>
      <c r="S552" s="34"/>
      <c r="T552" s="34"/>
    </row>
    <row r="553" ht="15.75" customHeight="1">
      <c r="B553" s="86"/>
      <c r="C553" s="65"/>
      <c r="D553" s="65"/>
      <c r="E553" s="87"/>
      <c r="F553" s="88"/>
      <c r="G553" s="65"/>
      <c r="H553" s="65"/>
      <c r="I553" s="65"/>
      <c r="J553" s="65"/>
      <c r="K553" s="65"/>
      <c r="L553" s="65"/>
      <c r="M553" s="89"/>
      <c r="N553" s="90"/>
      <c r="O553" s="42" t="b">
        <v>0</v>
      </c>
      <c r="P553" s="44"/>
      <c r="Q553" s="34"/>
      <c r="R553" s="34"/>
      <c r="S553" s="34"/>
      <c r="T553" s="34"/>
    </row>
    <row r="554" ht="15.75" customHeight="1">
      <c r="B554" s="86"/>
      <c r="C554" s="65"/>
      <c r="D554" s="65"/>
      <c r="E554" s="87"/>
      <c r="F554" s="88"/>
      <c r="G554" s="65"/>
      <c r="H554" s="65"/>
      <c r="I554" s="65"/>
      <c r="J554" s="65"/>
      <c r="K554" s="65"/>
      <c r="L554" s="65"/>
      <c r="M554" s="89"/>
      <c r="N554" s="90"/>
      <c r="O554" s="42" t="b">
        <v>0</v>
      </c>
      <c r="P554" s="44"/>
      <c r="Q554" s="34"/>
      <c r="R554" s="34"/>
      <c r="S554" s="34"/>
      <c r="T554" s="34"/>
    </row>
    <row r="555" ht="15.75" customHeight="1">
      <c r="B555" s="86"/>
      <c r="C555" s="65"/>
      <c r="D555" s="65"/>
      <c r="E555" s="87"/>
      <c r="F555" s="88"/>
      <c r="G555" s="65"/>
      <c r="H555" s="65"/>
      <c r="I555" s="65"/>
      <c r="J555" s="65"/>
      <c r="K555" s="65"/>
      <c r="L555" s="65"/>
      <c r="M555" s="89"/>
      <c r="N555" s="90"/>
      <c r="O555" s="42" t="b">
        <v>0</v>
      </c>
      <c r="P555" s="44"/>
      <c r="Q555" s="34"/>
      <c r="R555" s="34"/>
      <c r="S555" s="34"/>
      <c r="T555" s="34"/>
    </row>
    <row r="556" ht="15.75" customHeight="1">
      <c r="B556" s="86"/>
      <c r="C556" s="65"/>
      <c r="D556" s="65"/>
      <c r="E556" s="87"/>
      <c r="F556" s="88"/>
      <c r="G556" s="65"/>
      <c r="H556" s="65"/>
      <c r="I556" s="65"/>
      <c r="J556" s="65"/>
      <c r="K556" s="65"/>
      <c r="L556" s="65"/>
      <c r="M556" s="89"/>
      <c r="N556" s="128"/>
      <c r="O556" s="42" t="b">
        <v>0</v>
      </c>
      <c r="P556" s="44"/>
      <c r="Q556" s="34"/>
      <c r="R556" s="34"/>
      <c r="S556" s="34"/>
      <c r="T556" s="34"/>
    </row>
    <row r="557" ht="15.75" customHeight="1">
      <c r="B557" s="86"/>
      <c r="C557" s="65"/>
      <c r="D557" s="65"/>
      <c r="E557" s="87"/>
      <c r="F557" s="88"/>
      <c r="G557" s="65"/>
      <c r="H557" s="65"/>
      <c r="I557" s="65"/>
      <c r="J557" s="65"/>
      <c r="K557" s="65"/>
      <c r="L557" s="65"/>
      <c r="M557" s="89"/>
      <c r="N557" s="90"/>
      <c r="O557" s="42" t="b">
        <v>0</v>
      </c>
      <c r="P557" s="44"/>
      <c r="Q557" s="34"/>
      <c r="R557" s="34"/>
      <c r="S557" s="34"/>
      <c r="T557" s="34"/>
    </row>
    <row r="558" ht="15.75" customHeight="1">
      <c r="B558" s="86"/>
      <c r="C558" s="65"/>
      <c r="D558" s="65"/>
      <c r="E558" s="87"/>
      <c r="F558" s="88"/>
      <c r="G558" s="65"/>
      <c r="H558" s="65"/>
      <c r="I558" s="65"/>
      <c r="J558" s="65"/>
      <c r="K558" s="65"/>
      <c r="L558" s="65"/>
      <c r="M558" s="89"/>
      <c r="N558" s="90"/>
      <c r="O558" s="42" t="b">
        <v>0</v>
      </c>
      <c r="P558" s="44"/>
      <c r="Q558" s="34"/>
      <c r="R558" s="34"/>
      <c r="S558" s="34"/>
      <c r="T558" s="34"/>
    </row>
    <row r="559" ht="15.75" customHeight="1">
      <c r="B559" s="86"/>
      <c r="C559" s="65"/>
      <c r="D559" s="65"/>
      <c r="E559" s="87"/>
      <c r="F559" s="88"/>
      <c r="G559" s="65"/>
      <c r="H559" s="65"/>
      <c r="I559" s="65"/>
      <c r="J559" s="65"/>
      <c r="K559" s="65"/>
      <c r="L559" s="65"/>
      <c r="M559" s="89"/>
      <c r="N559" s="90"/>
      <c r="O559" s="42" t="b">
        <v>0</v>
      </c>
      <c r="P559" s="44"/>
      <c r="Q559" s="34"/>
      <c r="R559" s="34"/>
      <c r="S559" s="34"/>
      <c r="T559" s="34"/>
    </row>
    <row r="560" ht="15.75" customHeight="1">
      <c r="B560" s="86"/>
      <c r="C560" s="65"/>
      <c r="D560" s="65"/>
      <c r="E560" s="87"/>
      <c r="F560" s="88"/>
      <c r="G560" s="65"/>
      <c r="H560" s="65"/>
      <c r="I560" s="65"/>
      <c r="J560" s="65"/>
      <c r="K560" s="65"/>
      <c r="L560" s="65"/>
      <c r="M560" s="89"/>
      <c r="N560" s="90"/>
      <c r="O560" s="42" t="b">
        <v>0</v>
      </c>
      <c r="P560" s="44"/>
      <c r="Q560" s="34"/>
      <c r="R560" s="34"/>
      <c r="S560" s="34"/>
      <c r="T560" s="34"/>
    </row>
    <row r="561" ht="15.75" customHeight="1">
      <c r="B561" s="86"/>
      <c r="C561" s="65"/>
      <c r="D561" s="65"/>
      <c r="E561" s="87"/>
      <c r="F561" s="88"/>
      <c r="G561" s="65"/>
      <c r="H561" s="65"/>
      <c r="I561" s="65"/>
      <c r="J561" s="65"/>
      <c r="K561" s="65"/>
      <c r="L561" s="65"/>
      <c r="M561" s="89"/>
      <c r="N561" s="90"/>
      <c r="O561" s="42" t="b">
        <v>0</v>
      </c>
      <c r="P561" s="44"/>
      <c r="Q561" s="34"/>
      <c r="R561" s="34"/>
      <c r="S561" s="34"/>
      <c r="T561" s="34"/>
    </row>
    <row r="562" ht="15.75" customHeight="1">
      <c r="B562" s="86"/>
      <c r="C562" s="65"/>
      <c r="D562" s="65"/>
      <c r="E562" s="87"/>
      <c r="F562" s="88"/>
      <c r="G562" s="65"/>
      <c r="H562" s="65"/>
      <c r="I562" s="65"/>
      <c r="J562" s="65"/>
      <c r="K562" s="65"/>
      <c r="L562" s="65"/>
      <c r="M562" s="89"/>
      <c r="N562" s="90"/>
      <c r="O562" s="42" t="b">
        <v>0</v>
      </c>
      <c r="P562" s="44"/>
      <c r="Q562" s="34"/>
      <c r="R562" s="34"/>
      <c r="S562" s="34"/>
      <c r="T562" s="34"/>
    </row>
    <row r="563" ht="15.75" customHeight="1">
      <c r="B563" s="86"/>
      <c r="C563" s="65"/>
      <c r="D563" s="65"/>
      <c r="E563" s="87"/>
      <c r="F563" s="88"/>
      <c r="G563" s="65"/>
      <c r="H563" s="65"/>
      <c r="I563" s="65"/>
      <c r="J563" s="65"/>
      <c r="K563" s="65"/>
      <c r="L563" s="65"/>
      <c r="M563" s="89"/>
      <c r="N563" s="90"/>
      <c r="O563" s="42" t="b">
        <v>0</v>
      </c>
      <c r="P563" s="44"/>
      <c r="Q563" s="34"/>
      <c r="R563" s="34"/>
      <c r="S563" s="34"/>
      <c r="T563" s="34"/>
    </row>
    <row r="564" ht="15.75" customHeight="1">
      <c r="B564" s="86"/>
      <c r="C564" s="65"/>
      <c r="D564" s="65"/>
      <c r="E564" s="87"/>
      <c r="F564" s="88"/>
      <c r="G564" s="65"/>
      <c r="H564" s="65"/>
      <c r="I564" s="65"/>
      <c r="J564" s="65"/>
      <c r="K564" s="65"/>
      <c r="L564" s="65"/>
      <c r="M564" s="89"/>
      <c r="N564" s="90"/>
      <c r="O564" s="42" t="b">
        <v>0</v>
      </c>
      <c r="P564" s="44"/>
      <c r="Q564" s="34"/>
      <c r="R564" s="34"/>
      <c r="S564" s="34"/>
      <c r="T564" s="34"/>
    </row>
    <row r="565" ht="15.75" customHeight="1">
      <c r="B565" s="86"/>
      <c r="C565" s="65"/>
      <c r="D565" s="65"/>
      <c r="E565" s="87"/>
      <c r="F565" s="88"/>
      <c r="G565" s="65"/>
      <c r="H565" s="65"/>
      <c r="I565" s="65"/>
      <c r="J565" s="65"/>
      <c r="K565" s="65"/>
      <c r="L565" s="65"/>
      <c r="M565" s="89"/>
      <c r="N565" s="90"/>
      <c r="O565" s="42" t="b">
        <v>0</v>
      </c>
      <c r="P565" s="44"/>
      <c r="Q565" s="34"/>
      <c r="R565" s="34"/>
      <c r="S565" s="34"/>
      <c r="T565" s="34"/>
    </row>
    <row r="566" ht="15.75" customHeight="1">
      <c r="B566" s="86"/>
      <c r="C566" s="65"/>
      <c r="D566" s="65"/>
      <c r="E566" s="87"/>
      <c r="F566" s="88"/>
      <c r="G566" s="65"/>
      <c r="H566" s="65"/>
      <c r="I566" s="65"/>
      <c r="J566" s="65"/>
      <c r="K566" s="65"/>
      <c r="L566" s="65"/>
      <c r="M566" s="89"/>
      <c r="N566" s="90"/>
      <c r="O566" s="42" t="b">
        <v>0</v>
      </c>
      <c r="P566" s="44"/>
      <c r="Q566" s="34"/>
      <c r="R566" s="34"/>
      <c r="S566" s="34"/>
      <c r="T566" s="34"/>
    </row>
    <row r="567" ht="15.75" customHeight="1">
      <c r="B567" s="86"/>
      <c r="C567" s="65"/>
      <c r="D567" s="65"/>
      <c r="E567" s="87"/>
      <c r="F567" s="88"/>
      <c r="G567" s="65"/>
      <c r="H567" s="65"/>
      <c r="I567" s="65"/>
      <c r="J567" s="65"/>
      <c r="K567" s="65"/>
      <c r="L567" s="65"/>
      <c r="M567" s="89"/>
      <c r="N567" s="90"/>
      <c r="O567" s="42" t="b">
        <v>0</v>
      </c>
      <c r="P567" s="44"/>
      <c r="Q567" s="34"/>
      <c r="R567" s="34"/>
      <c r="S567" s="34"/>
      <c r="T567" s="34"/>
    </row>
    <row r="568" ht="15.75" customHeight="1">
      <c r="B568" s="86"/>
      <c r="C568" s="65"/>
      <c r="D568" s="65"/>
      <c r="E568" s="87"/>
      <c r="F568" s="88"/>
      <c r="G568" s="65"/>
      <c r="H568" s="65"/>
      <c r="I568" s="65"/>
      <c r="J568" s="65"/>
      <c r="K568" s="65"/>
      <c r="L568" s="65"/>
      <c r="M568" s="89"/>
      <c r="N568" s="90"/>
      <c r="O568" s="42" t="b">
        <v>0</v>
      </c>
      <c r="P568" s="44"/>
      <c r="Q568" s="34"/>
      <c r="R568" s="34"/>
      <c r="S568" s="34"/>
      <c r="T568" s="34"/>
    </row>
    <row r="569" ht="15.75" customHeight="1">
      <c r="B569" s="86"/>
      <c r="C569" s="65"/>
      <c r="D569" s="65"/>
      <c r="E569" s="87"/>
      <c r="F569" s="88"/>
      <c r="G569" s="65"/>
      <c r="H569" s="65"/>
      <c r="I569" s="65"/>
      <c r="J569" s="65"/>
      <c r="K569" s="65"/>
      <c r="L569" s="65"/>
      <c r="M569" s="89"/>
      <c r="N569" s="90"/>
      <c r="O569" s="42" t="b">
        <v>0</v>
      </c>
      <c r="P569" s="44"/>
      <c r="Q569" s="34"/>
      <c r="R569" s="34"/>
      <c r="S569" s="34"/>
      <c r="T569" s="34"/>
    </row>
    <row r="570" ht="15.75" customHeight="1">
      <c r="B570" s="86"/>
      <c r="C570" s="65"/>
      <c r="D570" s="65"/>
      <c r="E570" s="87"/>
      <c r="F570" s="88"/>
      <c r="G570" s="65"/>
      <c r="H570" s="65"/>
      <c r="I570" s="65"/>
      <c r="J570" s="65"/>
      <c r="K570" s="65"/>
      <c r="L570" s="65"/>
      <c r="M570" s="89"/>
      <c r="N570" s="90"/>
      <c r="O570" s="42" t="b">
        <v>0</v>
      </c>
      <c r="P570" s="44"/>
      <c r="Q570" s="34"/>
      <c r="R570" s="34"/>
      <c r="S570" s="34"/>
      <c r="T570" s="34"/>
    </row>
    <row r="571" ht="15.75" customHeight="1">
      <c r="B571" s="86"/>
      <c r="C571" s="65"/>
      <c r="D571" s="65"/>
      <c r="E571" s="87"/>
      <c r="F571" s="88"/>
      <c r="G571" s="65"/>
      <c r="H571" s="65"/>
      <c r="I571" s="65"/>
      <c r="J571" s="65"/>
      <c r="K571" s="65"/>
      <c r="L571" s="65"/>
      <c r="M571" s="89"/>
      <c r="N571" s="90"/>
      <c r="O571" s="42" t="b">
        <v>0</v>
      </c>
      <c r="P571" s="44"/>
      <c r="Q571" s="34"/>
      <c r="R571" s="34"/>
      <c r="S571" s="34"/>
      <c r="T571" s="34"/>
    </row>
    <row r="572" ht="15.75" customHeight="1">
      <c r="B572" s="86"/>
      <c r="C572" s="65"/>
      <c r="D572" s="65"/>
      <c r="E572" s="87"/>
      <c r="F572" s="88"/>
      <c r="G572" s="65"/>
      <c r="H572" s="65"/>
      <c r="I572" s="65"/>
      <c r="J572" s="65"/>
      <c r="K572" s="65"/>
      <c r="L572" s="65"/>
      <c r="M572" s="89"/>
      <c r="N572" s="90"/>
      <c r="O572" s="42" t="b">
        <v>0</v>
      </c>
      <c r="P572" s="44"/>
      <c r="Q572" s="34"/>
      <c r="R572" s="34"/>
      <c r="S572" s="34"/>
      <c r="T572" s="34"/>
    </row>
    <row r="573" ht="15.75" customHeight="1">
      <c r="B573" s="86"/>
      <c r="C573" s="65"/>
      <c r="D573" s="65"/>
      <c r="E573" s="87"/>
      <c r="F573" s="88"/>
      <c r="G573" s="65"/>
      <c r="H573" s="65"/>
      <c r="I573" s="65"/>
      <c r="J573" s="65"/>
      <c r="K573" s="65"/>
      <c r="L573" s="65"/>
      <c r="M573" s="89"/>
      <c r="N573" s="90"/>
      <c r="O573" s="42" t="b">
        <v>0</v>
      </c>
      <c r="P573" s="44"/>
      <c r="Q573" s="34"/>
      <c r="R573" s="34"/>
      <c r="S573" s="34"/>
      <c r="T573" s="34"/>
    </row>
    <row r="574" ht="15.75" customHeight="1">
      <c r="B574" s="86"/>
      <c r="C574" s="65"/>
      <c r="D574" s="65"/>
      <c r="E574" s="87"/>
      <c r="F574" s="88"/>
      <c r="G574" s="65"/>
      <c r="H574" s="65"/>
      <c r="I574" s="65"/>
      <c r="J574" s="65"/>
      <c r="K574" s="65"/>
      <c r="L574" s="65"/>
      <c r="M574" s="89"/>
      <c r="N574" s="90"/>
      <c r="O574" s="42" t="b">
        <v>0</v>
      </c>
      <c r="P574" s="44"/>
      <c r="Q574" s="34"/>
      <c r="R574" s="34"/>
      <c r="S574" s="34"/>
      <c r="T574" s="34"/>
    </row>
    <row r="575" ht="15.75" customHeight="1">
      <c r="B575" s="86"/>
      <c r="C575" s="65"/>
      <c r="D575" s="65"/>
      <c r="E575" s="87"/>
      <c r="F575" s="88"/>
      <c r="G575" s="65"/>
      <c r="H575" s="65"/>
      <c r="I575" s="65"/>
      <c r="J575" s="65"/>
      <c r="K575" s="65"/>
      <c r="L575" s="65"/>
      <c r="M575" s="89"/>
      <c r="N575" s="90"/>
      <c r="O575" s="42" t="b">
        <v>0</v>
      </c>
      <c r="P575" s="44"/>
      <c r="Q575" s="34"/>
      <c r="R575" s="34"/>
      <c r="S575" s="34"/>
      <c r="T575" s="34"/>
    </row>
    <row r="576" ht="15.75" customHeight="1">
      <c r="B576" s="86"/>
      <c r="C576" s="65"/>
      <c r="D576" s="65"/>
      <c r="E576" s="87"/>
      <c r="F576" s="88"/>
      <c r="G576" s="65"/>
      <c r="H576" s="65"/>
      <c r="I576" s="65"/>
      <c r="J576" s="65"/>
      <c r="K576" s="65"/>
      <c r="L576" s="65"/>
      <c r="M576" s="89"/>
      <c r="N576" s="90"/>
      <c r="O576" s="42" t="b">
        <v>0</v>
      </c>
      <c r="P576" s="44"/>
      <c r="Q576" s="34"/>
      <c r="R576" s="34"/>
      <c r="S576" s="34"/>
      <c r="T576" s="34"/>
    </row>
    <row r="577" ht="15.75" customHeight="1">
      <c r="B577" s="86"/>
      <c r="C577" s="65"/>
      <c r="D577" s="65"/>
      <c r="E577" s="87"/>
      <c r="F577" s="88"/>
      <c r="G577" s="65"/>
      <c r="H577" s="65"/>
      <c r="I577" s="65"/>
      <c r="J577" s="65"/>
      <c r="K577" s="65"/>
      <c r="L577" s="65"/>
      <c r="M577" s="89"/>
      <c r="N577" s="90"/>
      <c r="O577" s="42" t="b">
        <v>0</v>
      </c>
      <c r="P577" s="44"/>
      <c r="Q577" s="34"/>
      <c r="R577" s="34"/>
      <c r="S577" s="34"/>
      <c r="T577" s="34"/>
    </row>
    <row r="578" ht="15.75" customHeight="1">
      <c r="B578" s="86"/>
      <c r="C578" s="65"/>
      <c r="D578" s="65"/>
      <c r="E578" s="87"/>
      <c r="F578" s="88"/>
      <c r="G578" s="65"/>
      <c r="H578" s="65"/>
      <c r="I578" s="65"/>
      <c r="J578" s="65"/>
      <c r="K578" s="65"/>
      <c r="L578" s="65"/>
      <c r="M578" s="89"/>
      <c r="N578" s="90"/>
      <c r="O578" s="42" t="b">
        <v>0</v>
      </c>
      <c r="P578" s="44"/>
      <c r="Q578" s="34"/>
      <c r="R578" s="34"/>
      <c r="S578" s="34"/>
      <c r="T578" s="34"/>
    </row>
    <row r="579" ht="15.75" customHeight="1">
      <c r="B579" s="86"/>
      <c r="C579" s="65"/>
      <c r="D579" s="65"/>
      <c r="E579" s="87"/>
      <c r="F579" s="88"/>
      <c r="G579" s="65"/>
      <c r="H579" s="65"/>
      <c r="I579" s="65"/>
      <c r="J579" s="65"/>
      <c r="K579" s="65"/>
      <c r="L579" s="65"/>
      <c r="M579" s="89"/>
      <c r="N579" s="90"/>
      <c r="O579" s="42" t="b">
        <v>0</v>
      </c>
      <c r="P579" s="44"/>
      <c r="Q579" s="34"/>
      <c r="R579" s="34"/>
      <c r="S579" s="34"/>
      <c r="T579" s="34"/>
    </row>
    <row r="580" ht="15.75" customHeight="1">
      <c r="B580" s="86"/>
      <c r="C580" s="65"/>
      <c r="D580" s="65"/>
      <c r="E580" s="87"/>
      <c r="F580" s="88"/>
      <c r="G580" s="65"/>
      <c r="H580" s="65"/>
      <c r="I580" s="65"/>
      <c r="J580" s="65"/>
      <c r="K580" s="65"/>
      <c r="L580" s="65"/>
      <c r="M580" s="89"/>
      <c r="N580" s="90"/>
      <c r="O580" s="42" t="b">
        <v>0</v>
      </c>
      <c r="P580" s="44"/>
      <c r="Q580" s="34"/>
      <c r="R580" s="34"/>
      <c r="S580" s="34"/>
      <c r="T580" s="34"/>
    </row>
    <row r="581" ht="15.75" customHeight="1">
      <c r="B581" s="86"/>
      <c r="C581" s="65"/>
      <c r="D581" s="65"/>
      <c r="E581" s="87"/>
      <c r="F581" s="88"/>
      <c r="G581" s="65"/>
      <c r="H581" s="65"/>
      <c r="I581" s="65"/>
      <c r="J581" s="65"/>
      <c r="K581" s="65"/>
      <c r="L581" s="65"/>
      <c r="M581" s="89"/>
      <c r="N581" s="90"/>
      <c r="O581" s="42" t="b">
        <v>0</v>
      </c>
      <c r="P581" s="44"/>
      <c r="Q581" s="34"/>
      <c r="R581" s="34"/>
      <c r="S581" s="34"/>
      <c r="T581" s="34"/>
    </row>
    <row r="582" ht="15.75" customHeight="1">
      <c r="B582" s="86"/>
      <c r="C582" s="65"/>
      <c r="D582" s="65"/>
      <c r="E582" s="87"/>
      <c r="F582" s="88"/>
      <c r="G582" s="65"/>
      <c r="H582" s="65"/>
      <c r="I582" s="65"/>
      <c r="J582" s="65"/>
      <c r="K582" s="65"/>
      <c r="L582" s="65"/>
      <c r="M582" s="89"/>
      <c r="N582" s="90"/>
      <c r="O582" s="42" t="b">
        <v>0</v>
      </c>
      <c r="P582" s="44"/>
      <c r="Q582" s="34"/>
      <c r="R582" s="34"/>
      <c r="S582" s="34"/>
      <c r="T582" s="34"/>
    </row>
    <row r="583" ht="15.75" customHeight="1">
      <c r="B583" s="86"/>
      <c r="C583" s="65"/>
      <c r="D583" s="65"/>
      <c r="E583" s="87"/>
      <c r="F583" s="88"/>
      <c r="G583" s="65"/>
      <c r="H583" s="65"/>
      <c r="I583" s="65"/>
      <c r="J583" s="65"/>
      <c r="K583" s="65"/>
      <c r="L583" s="65"/>
      <c r="M583" s="89"/>
      <c r="N583" s="90"/>
      <c r="O583" s="42" t="b">
        <v>0</v>
      </c>
      <c r="P583" s="44"/>
      <c r="Q583" s="34"/>
      <c r="R583" s="34"/>
      <c r="S583" s="34"/>
      <c r="T583" s="34"/>
    </row>
    <row r="584" ht="15.75" customHeight="1">
      <c r="B584" s="86"/>
      <c r="C584" s="65"/>
      <c r="D584" s="65"/>
      <c r="E584" s="87"/>
      <c r="F584" s="88"/>
      <c r="G584" s="65"/>
      <c r="H584" s="65"/>
      <c r="I584" s="65"/>
      <c r="J584" s="65"/>
      <c r="K584" s="65"/>
      <c r="L584" s="65"/>
      <c r="M584" s="89"/>
      <c r="N584" s="90"/>
      <c r="O584" s="42" t="b">
        <v>0</v>
      </c>
      <c r="P584" s="44"/>
      <c r="Q584" s="34"/>
      <c r="R584" s="34"/>
      <c r="S584" s="34"/>
      <c r="T584" s="34"/>
    </row>
    <row r="585" ht="15.75" customHeight="1">
      <c r="B585" s="86"/>
      <c r="C585" s="65"/>
      <c r="D585" s="65"/>
      <c r="E585" s="87"/>
      <c r="F585" s="88"/>
      <c r="G585" s="65"/>
      <c r="H585" s="65"/>
      <c r="I585" s="65"/>
      <c r="J585" s="65"/>
      <c r="K585" s="65"/>
      <c r="L585" s="65"/>
      <c r="M585" s="89"/>
      <c r="N585" s="90"/>
      <c r="O585" s="42" t="b">
        <v>0</v>
      </c>
      <c r="P585" s="44"/>
      <c r="Q585" s="34"/>
      <c r="R585" s="34"/>
      <c r="S585" s="34"/>
      <c r="T585" s="34"/>
    </row>
    <row r="586" ht="15.75" customHeight="1">
      <c r="B586" s="86"/>
      <c r="C586" s="65"/>
      <c r="D586" s="65"/>
      <c r="E586" s="87"/>
      <c r="F586" s="88"/>
      <c r="G586" s="65"/>
      <c r="H586" s="65"/>
      <c r="I586" s="65"/>
      <c r="J586" s="65"/>
      <c r="K586" s="65"/>
      <c r="L586" s="65"/>
      <c r="M586" s="89"/>
      <c r="N586" s="90"/>
      <c r="O586" s="42" t="b">
        <v>0</v>
      </c>
      <c r="P586" s="44"/>
      <c r="Q586" s="34"/>
      <c r="R586" s="34"/>
      <c r="S586" s="34"/>
      <c r="T586" s="34"/>
    </row>
    <row r="587" ht="15.75" customHeight="1">
      <c r="B587" s="86"/>
      <c r="C587" s="65"/>
      <c r="D587" s="65"/>
      <c r="E587" s="87"/>
      <c r="F587" s="88"/>
      <c r="G587" s="65"/>
      <c r="H587" s="65"/>
      <c r="I587" s="65"/>
      <c r="J587" s="65"/>
      <c r="K587" s="65"/>
      <c r="L587" s="65"/>
      <c r="M587" s="89"/>
      <c r="N587" s="90"/>
      <c r="O587" s="42" t="b">
        <v>0</v>
      </c>
      <c r="P587" s="44"/>
      <c r="Q587" s="34"/>
      <c r="R587" s="34"/>
      <c r="S587" s="34"/>
      <c r="T587" s="34"/>
    </row>
    <row r="588" ht="15.75" customHeight="1">
      <c r="B588" s="86"/>
      <c r="C588" s="65"/>
      <c r="D588" s="65"/>
      <c r="E588" s="87"/>
      <c r="F588" s="88"/>
      <c r="G588" s="65"/>
      <c r="H588" s="65"/>
      <c r="I588" s="65"/>
      <c r="J588" s="65"/>
      <c r="K588" s="65"/>
      <c r="L588" s="65"/>
      <c r="M588" s="89"/>
      <c r="N588" s="90"/>
      <c r="O588" s="42" t="b">
        <v>0</v>
      </c>
      <c r="P588" s="44"/>
      <c r="Q588" s="34"/>
      <c r="R588" s="33"/>
      <c r="S588" s="34"/>
      <c r="T588" s="34"/>
    </row>
    <row r="589" ht="15.75" customHeight="1">
      <c r="B589" s="86"/>
      <c r="C589" s="65"/>
      <c r="D589" s="65"/>
      <c r="E589" s="87"/>
      <c r="F589" s="88"/>
      <c r="G589" s="65"/>
      <c r="H589" s="65"/>
      <c r="I589" s="65"/>
      <c r="J589" s="65"/>
      <c r="K589" s="65"/>
      <c r="L589" s="65"/>
      <c r="M589" s="89"/>
      <c r="N589" s="90"/>
      <c r="O589" s="42" t="b">
        <v>0</v>
      </c>
      <c r="P589" s="44"/>
      <c r="Q589" s="34"/>
      <c r="R589" s="33"/>
      <c r="S589" s="34"/>
      <c r="T589" s="34"/>
    </row>
    <row r="590" ht="15.75" customHeight="1">
      <c r="B590" s="86"/>
      <c r="C590" s="65"/>
      <c r="D590" s="65"/>
      <c r="E590" s="87"/>
      <c r="F590" s="88"/>
      <c r="G590" s="65"/>
      <c r="H590" s="65"/>
      <c r="I590" s="65"/>
      <c r="J590" s="65"/>
      <c r="K590" s="65"/>
      <c r="L590" s="65"/>
      <c r="M590" s="89"/>
      <c r="N590" s="90"/>
      <c r="O590" s="42" t="b">
        <v>0</v>
      </c>
      <c r="P590" s="44"/>
      <c r="Q590" s="34"/>
      <c r="R590" s="33"/>
      <c r="S590" s="34"/>
      <c r="T590" s="34"/>
    </row>
    <row r="591" ht="15.75" customHeight="1">
      <c r="B591" s="86"/>
      <c r="C591" s="65"/>
      <c r="D591" s="65"/>
      <c r="E591" s="87"/>
      <c r="F591" s="88"/>
      <c r="G591" s="65"/>
      <c r="H591" s="65"/>
      <c r="I591" s="65"/>
      <c r="J591" s="65"/>
      <c r="K591" s="65"/>
      <c r="L591" s="65"/>
      <c r="M591" s="89"/>
      <c r="N591" s="90"/>
      <c r="O591" s="42" t="b">
        <v>0</v>
      </c>
      <c r="P591" s="44"/>
      <c r="Q591" s="34"/>
      <c r="R591" s="33"/>
      <c r="S591" s="34"/>
      <c r="T591" s="34"/>
    </row>
    <row r="592" ht="15.75" customHeight="1">
      <c r="B592" s="86"/>
      <c r="C592" s="65"/>
      <c r="D592" s="65"/>
      <c r="E592" s="87"/>
      <c r="F592" s="88"/>
      <c r="G592" s="65"/>
      <c r="H592" s="65"/>
      <c r="I592" s="65"/>
      <c r="J592" s="65"/>
      <c r="K592" s="65"/>
      <c r="L592" s="65"/>
      <c r="M592" s="89"/>
      <c r="N592" s="90"/>
      <c r="O592" s="42" t="b">
        <v>0</v>
      </c>
      <c r="P592" s="44"/>
      <c r="Q592" s="34"/>
      <c r="R592" s="34"/>
      <c r="S592" s="34"/>
      <c r="T592" s="34"/>
    </row>
    <row r="593" ht="15.75" customHeight="1">
      <c r="B593" s="86"/>
      <c r="C593" s="65"/>
      <c r="D593" s="65"/>
      <c r="E593" s="87"/>
      <c r="F593" s="88"/>
      <c r="G593" s="65"/>
      <c r="H593" s="65"/>
      <c r="I593" s="65"/>
      <c r="J593" s="65"/>
      <c r="K593" s="65"/>
      <c r="L593" s="65"/>
      <c r="M593" s="89"/>
      <c r="N593" s="90"/>
      <c r="O593" s="42" t="b">
        <v>0</v>
      </c>
      <c r="P593" s="44"/>
      <c r="Q593" s="34"/>
      <c r="R593" s="33"/>
      <c r="S593" s="34"/>
      <c r="T593" s="34"/>
    </row>
    <row r="594" ht="15.75" customHeight="1">
      <c r="B594" s="86"/>
      <c r="C594" s="65"/>
      <c r="D594" s="65"/>
      <c r="E594" s="87"/>
      <c r="F594" s="88"/>
      <c r="G594" s="65"/>
      <c r="H594" s="65"/>
      <c r="I594" s="65"/>
      <c r="J594" s="65"/>
      <c r="K594" s="65"/>
      <c r="L594" s="65"/>
      <c r="M594" s="89"/>
      <c r="N594" s="90"/>
      <c r="O594" s="42" t="b">
        <v>0</v>
      </c>
      <c r="P594" s="44"/>
      <c r="Q594" s="34"/>
      <c r="R594" s="34"/>
      <c r="S594" s="34"/>
      <c r="T594" s="34"/>
    </row>
    <row r="595" ht="15.75" customHeight="1">
      <c r="B595" s="86"/>
      <c r="C595" s="65"/>
      <c r="D595" s="65"/>
      <c r="E595" s="87"/>
      <c r="F595" s="88"/>
      <c r="G595" s="65"/>
      <c r="H595" s="65"/>
      <c r="I595" s="65"/>
      <c r="J595" s="65"/>
      <c r="K595" s="65"/>
      <c r="L595" s="65"/>
      <c r="M595" s="89"/>
      <c r="N595" s="90"/>
      <c r="O595" s="42" t="b">
        <v>0</v>
      </c>
      <c r="P595" s="44"/>
      <c r="Q595" s="34"/>
      <c r="R595" s="34"/>
      <c r="S595" s="34"/>
      <c r="T595" s="34"/>
    </row>
    <row r="596" ht="15.75" customHeight="1">
      <c r="B596" s="86"/>
      <c r="C596" s="65"/>
      <c r="D596" s="65"/>
      <c r="E596" s="87"/>
      <c r="F596" s="88"/>
      <c r="G596" s="65"/>
      <c r="H596" s="65"/>
      <c r="I596" s="65"/>
      <c r="J596" s="65"/>
      <c r="K596" s="65"/>
      <c r="L596" s="65"/>
      <c r="M596" s="89"/>
      <c r="N596" s="90"/>
      <c r="O596" s="42" t="b">
        <v>0</v>
      </c>
      <c r="P596" s="44"/>
      <c r="Q596" s="34"/>
      <c r="R596" s="33"/>
      <c r="S596" s="34"/>
      <c r="T596" s="34"/>
    </row>
    <row r="597" ht="15.75" customHeight="1">
      <c r="B597" s="86"/>
      <c r="C597" s="65"/>
      <c r="D597" s="65"/>
      <c r="E597" s="87"/>
      <c r="F597" s="88"/>
      <c r="G597" s="65"/>
      <c r="H597" s="65"/>
      <c r="I597" s="65"/>
      <c r="J597" s="65"/>
      <c r="K597" s="65"/>
      <c r="L597" s="65"/>
      <c r="M597" s="89"/>
      <c r="N597" s="90"/>
      <c r="O597" s="42" t="b">
        <v>0</v>
      </c>
      <c r="P597" s="44"/>
      <c r="Q597" s="34"/>
      <c r="R597" s="33"/>
      <c r="S597" s="34"/>
      <c r="T597" s="34"/>
    </row>
    <row r="598" ht="15.75" customHeight="1">
      <c r="B598" s="86"/>
      <c r="C598" s="65"/>
      <c r="D598" s="65"/>
      <c r="E598" s="87"/>
      <c r="F598" s="88"/>
      <c r="G598" s="65"/>
      <c r="H598" s="65"/>
      <c r="I598" s="65"/>
      <c r="J598" s="65"/>
      <c r="K598" s="65"/>
      <c r="L598" s="65"/>
      <c r="M598" s="89"/>
      <c r="N598" s="90"/>
      <c r="O598" s="42" t="b">
        <v>0</v>
      </c>
      <c r="P598" s="44"/>
      <c r="Q598" s="34"/>
      <c r="R598" s="34"/>
      <c r="S598" s="34"/>
      <c r="T598" s="34"/>
    </row>
    <row r="599" ht="15.75" customHeight="1">
      <c r="B599" s="86"/>
      <c r="C599" s="65"/>
      <c r="D599" s="65"/>
      <c r="E599" s="87"/>
      <c r="F599" s="88"/>
      <c r="G599" s="65"/>
      <c r="H599" s="65"/>
      <c r="I599" s="65"/>
      <c r="J599" s="65"/>
      <c r="K599" s="65"/>
      <c r="L599" s="65"/>
      <c r="M599" s="89"/>
      <c r="N599" s="90"/>
      <c r="O599" s="42" t="b">
        <v>0</v>
      </c>
      <c r="P599" s="44"/>
      <c r="Q599" s="34"/>
      <c r="R599" s="34"/>
      <c r="S599" s="34"/>
      <c r="T599" s="34"/>
    </row>
    <row r="600" ht="15.75" customHeight="1">
      <c r="B600" s="86"/>
      <c r="C600" s="65"/>
      <c r="D600" s="65"/>
      <c r="E600" s="87"/>
      <c r="F600" s="88"/>
      <c r="G600" s="65"/>
      <c r="H600" s="65"/>
      <c r="I600" s="65"/>
      <c r="J600" s="65"/>
      <c r="K600" s="65"/>
      <c r="L600" s="65"/>
      <c r="M600" s="89"/>
      <c r="N600" s="90"/>
      <c r="O600" s="42" t="b">
        <v>0</v>
      </c>
      <c r="P600" s="44"/>
      <c r="Q600" s="34"/>
      <c r="R600" s="34"/>
      <c r="S600" s="34"/>
      <c r="T600" s="34"/>
    </row>
    <row r="601" ht="15.75" customHeight="1">
      <c r="B601" s="86"/>
      <c r="C601" s="65"/>
      <c r="D601" s="65"/>
      <c r="E601" s="87"/>
      <c r="F601" s="88"/>
      <c r="G601" s="65"/>
      <c r="H601" s="65"/>
      <c r="I601" s="65"/>
      <c r="J601" s="65"/>
      <c r="K601" s="65"/>
      <c r="L601" s="65"/>
      <c r="M601" s="89"/>
      <c r="N601" s="90"/>
      <c r="O601" s="42" t="b">
        <v>0</v>
      </c>
      <c r="P601" s="44"/>
      <c r="Q601" s="34"/>
      <c r="R601" s="34"/>
      <c r="S601" s="34"/>
      <c r="T601" s="34"/>
    </row>
    <row r="602" ht="15.75" customHeight="1">
      <c r="B602" s="86"/>
      <c r="C602" s="65"/>
      <c r="D602" s="65"/>
      <c r="E602" s="87"/>
      <c r="F602" s="88"/>
      <c r="G602" s="65"/>
      <c r="H602" s="65"/>
      <c r="I602" s="65"/>
      <c r="J602" s="65"/>
      <c r="K602" s="65"/>
      <c r="L602" s="65"/>
      <c r="M602" s="89"/>
      <c r="N602" s="90"/>
      <c r="O602" s="42" t="b">
        <v>0</v>
      </c>
      <c r="P602" s="44"/>
      <c r="Q602" s="34"/>
      <c r="R602" s="34"/>
      <c r="S602" s="34"/>
      <c r="T602" s="34"/>
    </row>
    <row r="603" ht="15.75" customHeight="1">
      <c r="B603" s="86"/>
      <c r="C603" s="65"/>
      <c r="D603" s="65"/>
      <c r="E603" s="87"/>
      <c r="F603" s="88"/>
      <c r="G603" s="65"/>
      <c r="H603" s="65"/>
      <c r="I603" s="65"/>
      <c r="J603" s="65"/>
      <c r="K603" s="65"/>
      <c r="L603" s="65"/>
      <c r="M603" s="89"/>
      <c r="N603" s="90"/>
      <c r="O603" s="42" t="b">
        <v>0</v>
      </c>
      <c r="P603" s="44"/>
      <c r="Q603" s="34"/>
      <c r="R603" s="34"/>
      <c r="S603" s="34"/>
      <c r="T603" s="34"/>
    </row>
    <row r="604" ht="15.75" customHeight="1">
      <c r="B604" s="86"/>
      <c r="C604" s="65"/>
      <c r="D604" s="65"/>
      <c r="E604" s="87"/>
      <c r="F604" s="88"/>
      <c r="G604" s="65"/>
      <c r="H604" s="65"/>
      <c r="I604" s="65"/>
      <c r="J604" s="65"/>
      <c r="K604" s="65"/>
      <c r="L604" s="65"/>
      <c r="M604" s="89"/>
      <c r="N604" s="90"/>
      <c r="O604" s="42" t="b">
        <v>0</v>
      </c>
      <c r="P604" s="44"/>
      <c r="Q604" s="34"/>
      <c r="R604" s="34"/>
      <c r="S604" s="34"/>
      <c r="T604" s="34"/>
    </row>
    <row r="605" ht="15.75" customHeight="1">
      <c r="B605" s="86"/>
      <c r="C605" s="98"/>
      <c r="D605" s="65"/>
      <c r="E605" s="87"/>
      <c r="F605" s="88"/>
      <c r="G605" s="65"/>
      <c r="H605" s="65"/>
      <c r="I605" s="65"/>
      <c r="J605" s="65"/>
      <c r="K605" s="65"/>
      <c r="L605" s="65"/>
      <c r="M605" s="89"/>
      <c r="N605" s="90"/>
      <c r="O605" s="42" t="b">
        <v>0</v>
      </c>
      <c r="P605" s="44"/>
      <c r="Q605" s="34"/>
      <c r="R605" s="33"/>
      <c r="S605" s="34"/>
      <c r="T605" s="34"/>
    </row>
    <row r="606" ht="15.75" customHeight="1">
      <c r="B606" s="86"/>
      <c r="C606" s="65"/>
      <c r="D606" s="65"/>
      <c r="E606" s="87"/>
      <c r="F606" s="88"/>
      <c r="G606" s="65"/>
      <c r="H606" s="65"/>
      <c r="I606" s="65"/>
      <c r="J606" s="65"/>
      <c r="K606" s="65"/>
      <c r="L606" s="65"/>
      <c r="M606" s="89"/>
      <c r="N606" s="90"/>
      <c r="O606" s="42" t="b">
        <v>0</v>
      </c>
      <c r="P606" s="44"/>
      <c r="Q606" s="34"/>
      <c r="R606" s="34"/>
      <c r="S606" s="34"/>
      <c r="T606" s="34"/>
    </row>
    <row r="607" ht="15.75" customHeight="1">
      <c r="B607" s="86"/>
      <c r="C607" s="65"/>
      <c r="D607" s="65"/>
      <c r="E607" s="87"/>
      <c r="F607" s="88"/>
      <c r="G607" s="65"/>
      <c r="H607" s="65"/>
      <c r="I607" s="65"/>
      <c r="J607" s="65"/>
      <c r="K607" s="65"/>
      <c r="L607" s="65"/>
      <c r="M607" s="89"/>
      <c r="N607" s="90"/>
      <c r="O607" s="42" t="b">
        <v>0</v>
      </c>
      <c r="P607" s="44"/>
      <c r="Q607" s="34"/>
      <c r="R607" s="34"/>
      <c r="S607" s="34"/>
      <c r="T607" s="34"/>
    </row>
    <row r="608" ht="15.75" customHeight="1">
      <c r="B608" s="86"/>
      <c r="C608" s="65"/>
      <c r="D608" s="65"/>
      <c r="E608" s="87"/>
      <c r="F608" s="88"/>
      <c r="G608" s="65"/>
      <c r="H608" s="65"/>
      <c r="I608" s="65"/>
      <c r="J608" s="65"/>
      <c r="K608" s="65"/>
      <c r="L608" s="65"/>
      <c r="M608" s="89"/>
      <c r="N608" s="90"/>
      <c r="O608" s="42" t="b">
        <v>0</v>
      </c>
      <c r="P608" s="44"/>
      <c r="Q608" s="34"/>
      <c r="R608" s="34"/>
      <c r="S608" s="34"/>
      <c r="T608" s="34"/>
    </row>
    <row r="609" ht="15.75" customHeight="1">
      <c r="B609" s="86"/>
      <c r="C609" s="65"/>
      <c r="D609" s="65"/>
      <c r="E609" s="87"/>
      <c r="F609" s="88"/>
      <c r="G609" s="65"/>
      <c r="H609" s="65"/>
      <c r="I609" s="65"/>
      <c r="J609" s="65"/>
      <c r="K609" s="65"/>
      <c r="L609" s="65"/>
      <c r="M609" s="89"/>
      <c r="N609" s="90"/>
      <c r="O609" s="42" t="b">
        <v>0</v>
      </c>
      <c r="P609" s="44"/>
      <c r="Q609" s="34"/>
      <c r="R609" s="34"/>
      <c r="S609" s="34"/>
      <c r="T609" s="34"/>
    </row>
    <row r="610" ht="15.75" customHeight="1">
      <c r="B610" s="86"/>
      <c r="C610" s="65"/>
      <c r="D610" s="65"/>
      <c r="E610" s="87"/>
      <c r="F610" s="88"/>
      <c r="G610" s="65"/>
      <c r="H610" s="65"/>
      <c r="I610" s="65"/>
      <c r="J610" s="65"/>
      <c r="K610" s="65"/>
      <c r="L610" s="65"/>
      <c r="M610" s="89"/>
      <c r="N610" s="90"/>
      <c r="O610" s="42" t="b">
        <v>0</v>
      </c>
      <c r="P610" s="44"/>
      <c r="Q610" s="34"/>
      <c r="R610" s="34"/>
      <c r="S610" s="34"/>
      <c r="T610" s="34"/>
    </row>
    <row r="611" ht="15.75" customHeight="1">
      <c r="B611" s="86"/>
      <c r="C611" s="65"/>
      <c r="D611" s="65"/>
      <c r="E611" s="87"/>
      <c r="F611" s="88"/>
      <c r="G611" s="65"/>
      <c r="H611" s="65"/>
      <c r="I611" s="65"/>
      <c r="J611" s="65"/>
      <c r="K611" s="65"/>
      <c r="L611" s="65"/>
      <c r="M611" s="89"/>
      <c r="N611" s="90"/>
      <c r="O611" s="42" t="b">
        <v>0</v>
      </c>
      <c r="P611" s="44"/>
      <c r="Q611" s="34"/>
      <c r="R611" s="34"/>
      <c r="S611" s="34"/>
      <c r="T611" s="34"/>
    </row>
    <row r="612" ht="15.75" customHeight="1">
      <c r="B612" s="86"/>
      <c r="C612" s="65"/>
      <c r="D612" s="65"/>
      <c r="E612" s="87"/>
      <c r="F612" s="88"/>
      <c r="G612" s="65"/>
      <c r="H612" s="65"/>
      <c r="I612" s="65"/>
      <c r="J612" s="65"/>
      <c r="K612" s="65"/>
      <c r="L612" s="65"/>
      <c r="M612" s="89"/>
      <c r="N612" s="90"/>
      <c r="O612" s="42" t="b">
        <v>0</v>
      </c>
      <c r="P612" s="44"/>
      <c r="Q612" s="34"/>
      <c r="R612" s="34"/>
      <c r="S612" s="34"/>
      <c r="T612" s="34"/>
    </row>
    <row r="613" ht="15.75" customHeight="1">
      <c r="B613" s="86"/>
      <c r="C613" s="65"/>
      <c r="D613" s="65"/>
      <c r="E613" s="87"/>
      <c r="F613" s="88"/>
      <c r="G613" s="65"/>
      <c r="H613" s="65"/>
      <c r="I613" s="65"/>
      <c r="J613" s="65"/>
      <c r="K613" s="65"/>
      <c r="L613" s="65"/>
      <c r="M613" s="89"/>
      <c r="N613" s="90"/>
      <c r="O613" s="42" t="b">
        <v>0</v>
      </c>
      <c r="P613" s="44"/>
      <c r="Q613" s="34"/>
      <c r="R613" s="34"/>
      <c r="S613" s="34"/>
      <c r="T613" s="34"/>
    </row>
    <row r="614" ht="15.75" customHeight="1">
      <c r="B614" s="86"/>
      <c r="C614" s="65"/>
      <c r="D614" s="65"/>
      <c r="E614" s="87"/>
      <c r="F614" s="88"/>
      <c r="G614" s="65"/>
      <c r="H614" s="65"/>
      <c r="I614" s="65"/>
      <c r="J614" s="65"/>
      <c r="K614" s="65"/>
      <c r="L614" s="65"/>
      <c r="M614" s="89"/>
      <c r="N614" s="90"/>
      <c r="O614" s="42" t="b">
        <v>0</v>
      </c>
      <c r="P614" s="44"/>
      <c r="Q614" s="34"/>
      <c r="R614" s="34"/>
      <c r="S614" s="34"/>
      <c r="T614" s="34"/>
    </row>
    <row r="615" ht="15.75" customHeight="1">
      <c r="B615" s="86"/>
      <c r="C615" s="65"/>
      <c r="D615" s="65"/>
      <c r="E615" s="87"/>
      <c r="F615" s="88"/>
      <c r="G615" s="65"/>
      <c r="H615" s="65"/>
      <c r="I615" s="65"/>
      <c r="J615" s="65"/>
      <c r="K615" s="65"/>
      <c r="L615" s="65"/>
      <c r="M615" s="89"/>
      <c r="N615" s="90"/>
      <c r="O615" s="42" t="b">
        <v>0</v>
      </c>
      <c r="P615" s="44"/>
      <c r="Q615" s="34"/>
      <c r="R615" s="34"/>
      <c r="S615" s="34"/>
      <c r="T615" s="34"/>
    </row>
    <row r="616" ht="15.75" customHeight="1">
      <c r="B616" s="86"/>
      <c r="C616" s="65"/>
      <c r="D616" s="65"/>
      <c r="E616" s="87"/>
      <c r="F616" s="88"/>
      <c r="G616" s="65"/>
      <c r="H616" s="65"/>
      <c r="I616" s="65"/>
      <c r="J616" s="65"/>
      <c r="K616" s="65"/>
      <c r="L616" s="65"/>
      <c r="M616" s="89"/>
      <c r="N616" s="90"/>
      <c r="O616" s="42" t="b">
        <v>0</v>
      </c>
      <c r="P616" s="44"/>
      <c r="Q616" s="34"/>
      <c r="R616" s="34"/>
      <c r="S616" s="34"/>
      <c r="T616" s="34"/>
    </row>
    <row r="617" ht="15.75" customHeight="1">
      <c r="B617" s="86"/>
      <c r="C617" s="65"/>
      <c r="D617" s="65"/>
      <c r="E617" s="87"/>
      <c r="F617" s="88"/>
      <c r="G617" s="136"/>
      <c r="H617" s="65"/>
      <c r="I617" s="65"/>
      <c r="J617" s="65"/>
      <c r="K617" s="65"/>
      <c r="L617" s="65"/>
      <c r="M617" s="89"/>
      <c r="N617" s="90"/>
      <c r="O617" s="42" t="b">
        <v>0</v>
      </c>
      <c r="P617" s="44"/>
      <c r="Q617" s="34"/>
      <c r="R617" s="33"/>
      <c r="S617" s="34"/>
      <c r="T617" s="34"/>
    </row>
    <row r="618" ht="15.75" customHeight="1">
      <c r="B618" s="86"/>
      <c r="C618" s="65"/>
      <c r="D618" s="65"/>
      <c r="E618" s="87"/>
      <c r="F618" s="88"/>
      <c r="G618" s="65"/>
      <c r="H618" s="65"/>
      <c r="I618" s="65"/>
      <c r="J618" s="65"/>
      <c r="K618" s="65"/>
      <c r="L618" s="65"/>
      <c r="M618" s="89"/>
      <c r="N618" s="90"/>
      <c r="O618" s="42" t="b">
        <v>0</v>
      </c>
      <c r="P618" s="44"/>
      <c r="Q618" s="34"/>
      <c r="R618" s="34"/>
      <c r="S618" s="34"/>
      <c r="T618" s="34"/>
    </row>
    <row r="619" ht="15.75" customHeight="1">
      <c r="B619" s="86"/>
      <c r="C619" s="65"/>
      <c r="D619" s="65"/>
      <c r="E619" s="87"/>
      <c r="F619" s="88"/>
      <c r="G619" s="65"/>
      <c r="H619" s="65"/>
      <c r="I619" s="65"/>
      <c r="J619" s="65"/>
      <c r="K619" s="65"/>
      <c r="L619" s="65"/>
      <c r="M619" s="89"/>
      <c r="N619" s="90"/>
      <c r="O619" s="42" t="b">
        <v>0</v>
      </c>
      <c r="P619" s="44"/>
      <c r="Q619" s="34"/>
      <c r="R619" s="34"/>
      <c r="S619" s="34"/>
      <c r="T619" s="34"/>
    </row>
    <row r="620" ht="15.75" customHeight="1">
      <c r="B620" s="86"/>
      <c r="C620" s="65"/>
      <c r="D620" s="65"/>
      <c r="E620" s="87"/>
      <c r="F620" s="88"/>
      <c r="G620" s="137"/>
      <c r="H620" s="65"/>
      <c r="I620" s="65"/>
      <c r="J620" s="65"/>
      <c r="K620" s="65"/>
      <c r="L620" s="65"/>
      <c r="M620" s="89"/>
      <c r="N620" s="90"/>
      <c r="O620" s="42" t="b">
        <v>0</v>
      </c>
      <c r="P620" s="44"/>
      <c r="Q620" s="34"/>
      <c r="R620" s="34"/>
      <c r="S620" s="34"/>
      <c r="T620" s="34"/>
    </row>
    <row r="621" ht="15.75" customHeight="1">
      <c r="B621" s="86"/>
      <c r="C621" s="65"/>
      <c r="D621" s="65"/>
      <c r="E621" s="87"/>
      <c r="F621" s="88"/>
      <c r="G621" s="65"/>
      <c r="H621" s="65"/>
      <c r="I621" s="65"/>
      <c r="J621" s="65"/>
      <c r="K621" s="65"/>
      <c r="L621" s="65"/>
      <c r="M621" s="89"/>
      <c r="N621" s="90"/>
      <c r="O621" s="42" t="b">
        <v>0</v>
      </c>
      <c r="P621" s="44"/>
      <c r="Q621" s="34"/>
      <c r="R621" s="34"/>
      <c r="S621" s="34"/>
      <c r="T621" s="34"/>
    </row>
    <row r="622" ht="15.75" customHeight="1">
      <c r="B622" s="86"/>
      <c r="C622" s="65"/>
      <c r="D622" s="65"/>
      <c r="E622" s="87"/>
      <c r="F622" s="88"/>
      <c r="G622" s="65"/>
      <c r="H622" s="65"/>
      <c r="I622" s="65"/>
      <c r="J622" s="65"/>
      <c r="K622" s="65"/>
      <c r="L622" s="65"/>
      <c r="M622" s="89"/>
      <c r="N622" s="90"/>
      <c r="O622" s="42" t="b">
        <v>0</v>
      </c>
      <c r="P622" s="44"/>
      <c r="Q622" s="34"/>
      <c r="R622" s="34"/>
      <c r="S622" s="34"/>
      <c r="T622" s="34"/>
    </row>
    <row r="623" ht="15.75" customHeight="1">
      <c r="B623" s="86"/>
      <c r="C623" s="65"/>
      <c r="D623" s="65"/>
      <c r="E623" s="87"/>
      <c r="F623" s="88"/>
      <c r="G623" s="65"/>
      <c r="H623" s="65"/>
      <c r="I623" s="65"/>
      <c r="J623" s="65"/>
      <c r="K623" s="65"/>
      <c r="L623" s="65"/>
      <c r="M623" s="89"/>
      <c r="N623" s="90"/>
      <c r="O623" s="42" t="b">
        <v>0</v>
      </c>
      <c r="P623" s="44"/>
      <c r="Q623" s="34"/>
      <c r="R623" s="33"/>
      <c r="S623" s="34"/>
      <c r="T623" s="34"/>
    </row>
    <row r="624" ht="15.75" customHeight="1">
      <c r="B624" s="86"/>
      <c r="C624" s="65"/>
      <c r="D624" s="65"/>
      <c r="E624" s="87"/>
      <c r="F624" s="88"/>
      <c r="G624" s="65"/>
      <c r="H624" s="65"/>
      <c r="I624" s="65"/>
      <c r="J624" s="65"/>
      <c r="K624" s="65"/>
      <c r="L624" s="65"/>
      <c r="M624" s="89"/>
      <c r="N624" s="90"/>
      <c r="O624" s="42" t="b">
        <v>0</v>
      </c>
      <c r="P624" s="44"/>
      <c r="Q624" s="34"/>
      <c r="R624" s="34"/>
      <c r="S624" s="34"/>
      <c r="T624" s="34"/>
    </row>
    <row r="625" ht="15.75" customHeight="1">
      <c r="B625" s="86"/>
      <c r="C625" s="65"/>
      <c r="D625" s="65"/>
      <c r="E625" s="87"/>
      <c r="F625" s="88"/>
      <c r="G625" s="65"/>
      <c r="H625" s="65"/>
      <c r="I625" s="65"/>
      <c r="J625" s="65"/>
      <c r="K625" s="65"/>
      <c r="L625" s="65"/>
      <c r="M625" s="89"/>
      <c r="N625" s="90"/>
      <c r="O625" s="42" t="b">
        <v>0</v>
      </c>
      <c r="P625" s="44"/>
      <c r="Q625" s="34"/>
      <c r="R625" s="34"/>
      <c r="S625" s="34"/>
      <c r="T625" s="34"/>
    </row>
    <row r="626" ht="15.75" customHeight="1">
      <c r="B626" s="86"/>
      <c r="C626" s="65"/>
      <c r="D626" s="65"/>
      <c r="E626" s="87"/>
      <c r="F626" s="88"/>
      <c r="G626" s="65"/>
      <c r="H626" s="65"/>
      <c r="I626" s="65"/>
      <c r="J626" s="65"/>
      <c r="K626" s="65"/>
      <c r="L626" s="65"/>
      <c r="M626" s="89"/>
      <c r="N626" s="90"/>
      <c r="O626" s="42" t="b">
        <v>0</v>
      </c>
      <c r="P626" s="44"/>
      <c r="Q626" s="34"/>
      <c r="R626" s="34"/>
      <c r="S626" s="34"/>
      <c r="T626" s="34"/>
    </row>
    <row r="627" ht="15.75" customHeight="1">
      <c r="B627" s="86"/>
      <c r="C627" s="65"/>
      <c r="D627" s="65"/>
      <c r="E627" s="87"/>
      <c r="F627" s="88"/>
      <c r="G627" s="65"/>
      <c r="H627" s="65"/>
      <c r="I627" s="65"/>
      <c r="J627" s="65"/>
      <c r="K627" s="65"/>
      <c r="L627" s="65"/>
      <c r="M627" s="89"/>
      <c r="N627" s="90"/>
      <c r="O627" s="42" t="b">
        <v>0</v>
      </c>
      <c r="P627" s="44"/>
      <c r="Q627" s="34"/>
      <c r="R627" s="34"/>
      <c r="S627" s="34"/>
      <c r="T627" s="34"/>
    </row>
    <row r="628" ht="15.75" customHeight="1">
      <c r="B628" s="86"/>
      <c r="C628" s="65"/>
      <c r="D628" s="65"/>
      <c r="E628" s="87"/>
      <c r="F628" s="88"/>
      <c r="G628" s="65"/>
      <c r="H628" s="65"/>
      <c r="I628" s="65"/>
      <c r="J628" s="65"/>
      <c r="K628" s="65"/>
      <c r="L628" s="65"/>
      <c r="M628" s="89"/>
      <c r="N628" s="90"/>
      <c r="O628" s="42" t="b">
        <v>0</v>
      </c>
      <c r="P628" s="44"/>
      <c r="Q628" s="34"/>
      <c r="R628" s="33"/>
      <c r="S628" s="34"/>
      <c r="T628" s="34"/>
    </row>
    <row r="629" ht="15.75" customHeight="1">
      <c r="B629" s="86"/>
      <c r="C629" s="65"/>
      <c r="D629" s="65"/>
      <c r="E629" s="87"/>
      <c r="F629" s="88"/>
      <c r="G629" s="65"/>
      <c r="H629" s="65"/>
      <c r="I629" s="65"/>
      <c r="J629" s="65"/>
      <c r="K629" s="65"/>
      <c r="L629" s="65"/>
      <c r="M629" s="89"/>
      <c r="N629" s="90"/>
      <c r="O629" s="42" t="b">
        <v>0</v>
      </c>
      <c r="P629" s="44"/>
      <c r="Q629" s="34"/>
      <c r="R629" s="34"/>
      <c r="S629" s="34"/>
      <c r="T629" s="34"/>
    </row>
    <row r="630" ht="15.75" customHeight="1">
      <c r="B630" s="86"/>
      <c r="C630" s="65"/>
      <c r="D630" s="65"/>
      <c r="E630" s="87"/>
      <c r="F630" s="88"/>
      <c r="G630" s="65"/>
      <c r="H630" s="65"/>
      <c r="I630" s="65"/>
      <c r="J630" s="65"/>
      <c r="K630" s="65"/>
      <c r="L630" s="65"/>
      <c r="M630" s="89"/>
      <c r="N630" s="90"/>
      <c r="O630" s="42" t="b">
        <v>0</v>
      </c>
      <c r="P630" s="44"/>
      <c r="Q630" s="34"/>
      <c r="R630" s="34"/>
      <c r="S630" s="34"/>
      <c r="T630" s="34"/>
    </row>
    <row r="631" ht="15.75" customHeight="1">
      <c r="B631" s="86"/>
      <c r="C631" s="65"/>
      <c r="D631" s="65"/>
      <c r="E631" s="87"/>
      <c r="F631" s="88"/>
      <c r="G631" s="65"/>
      <c r="H631" s="65"/>
      <c r="I631" s="65"/>
      <c r="J631" s="65"/>
      <c r="K631" s="65"/>
      <c r="L631" s="65"/>
      <c r="M631" s="89"/>
      <c r="N631" s="90"/>
      <c r="O631" s="42" t="b">
        <v>0</v>
      </c>
      <c r="P631" s="44"/>
      <c r="Q631" s="34"/>
      <c r="R631" s="34"/>
      <c r="S631" s="34"/>
      <c r="T631" s="34"/>
    </row>
    <row r="632" ht="15.75" customHeight="1">
      <c r="B632" s="86"/>
      <c r="C632" s="65"/>
      <c r="D632" s="65"/>
      <c r="E632" s="87"/>
      <c r="F632" s="88"/>
      <c r="G632" s="65"/>
      <c r="H632" s="65"/>
      <c r="I632" s="65"/>
      <c r="J632" s="65"/>
      <c r="K632" s="65"/>
      <c r="L632" s="65"/>
      <c r="M632" s="89"/>
      <c r="N632" s="90"/>
      <c r="O632" s="42" t="b">
        <v>0</v>
      </c>
      <c r="P632" s="44"/>
      <c r="Q632" s="34"/>
      <c r="R632" s="34"/>
      <c r="S632" s="34"/>
      <c r="T632" s="34"/>
    </row>
    <row r="633" ht="15.75" customHeight="1">
      <c r="B633" s="86"/>
      <c r="C633" s="65"/>
      <c r="D633" s="65"/>
      <c r="E633" s="87"/>
      <c r="F633" s="88"/>
      <c r="G633" s="65"/>
      <c r="H633" s="65"/>
      <c r="I633" s="65"/>
      <c r="J633" s="65"/>
      <c r="K633" s="65"/>
      <c r="L633" s="65"/>
      <c r="M633" s="89"/>
      <c r="N633" s="90"/>
      <c r="O633" s="42" t="b">
        <v>0</v>
      </c>
      <c r="P633" s="44"/>
      <c r="Q633" s="34"/>
      <c r="R633" s="34"/>
      <c r="S633" s="34"/>
      <c r="T633" s="34"/>
    </row>
    <row r="634" ht="15.75" customHeight="1">
      <c r="B634" s="86"/>
      <c r="C634" s="65"/>
      <c r="D634" s="65"/>
      <c r="E634" s="87"/>
      <c r="F634" s="88"/>
      <c r="G634" s="65"/>
      <c r="H634" s="65"/>
      <c r="I634" s="65"/>
      <c r="J634" s="65"/>
      <c r="K634" s="65"/>
      <c r="L634" s="65"/>
      <c r="M634" s="89"/>
      <c r="N634" s="90"/>
      <c r="O634" s="42" t="b">
        <v>0</v>
      </c>
      <c r="P634" s="44"/>
      <c r="Q634" s="34"/>
      <c r="R634" s="34"/>
      <c r="S634" s="34"/>
      <c r="T634" s="34"/>
    </row>
    <row r="635" ht="15.75" customHeight="1">
      <c r="B635" s="86"/>
      <c r="C635" s="65"/>
      <c r="D635" s="65"/>
      <c r="E635" s="87"/>
      <c r="F635" s="88"/>
      <c r="G635" s="65"/>
      <c r="H635" s="65"/>
      <c r="I635" s="65"/>
      <c r="J635" s="65"/>
      <c r="K635" s="65"/>
      <c r="L635" s="65"/>
      <c r="M635" s="89"/>
      <c r="N635" s="90"/>
      <c r="O635" s="42" t="b">
        <v>0</v>
      </c>
      <c r="P635" s="44"/>
      <c r="Q635" s="34"/>
      <c r="R635" s="34"/>
      <c r="S635" s="34"/>
      <c r="T635" s="34"/>
    </row>
    <row r="636" ht="15.75" customHeight="1">
      <c r="B636" s="86"/>
      <c r="C636" s="65"/>
      <c r="D636" s="65"/>
      <c r="E636" s="87"/>
      <c r="F636" s="88"/>
      <c r="G636" s="65"/>
      <c r="H636" s="65"/>
      <c r="I636" s="65"/>
      <c r="J636" s="65"/>
      <c r="K636" s="65"/>
      <c r="L636" s="65"/>
      <c r="M636" s="89"/>
      <c r="N636" s="90"/>
      <c r="O636" s="42" t="b">
        <v>0</v>
      </c>
      <c r="P636" s="44"/>
      <c r="Q636" s="34"/>
      <c r="R636" s="34"/>
      <c r="S636" s="34"/>
      <c r="T636" s="34"/>
    </row>
    <row r="637" ht="15.75" customHeight="1">
      <c r="B637" s="86"/>
      <c r="C637" s="65"/>
      <c r="D637" s="65"/>
      <c r="E637" s="87"/>
      <c r="F637" s="88"/>
      <c r="G637" s="65"/>
      <c r="H637" s="65"/>
      <c r="I637" s="65"/>
      <c r="J637" s="65"/>
      <c r="K637" s="65"/>
      <c r="L637" s="65"/>
      <c r="M637" s="89"/>
      <c r="N637" s="90"/>
      <c r="O637" s="42" t="b">
        <v>0</v>
      </c>
      <c r="P637" s="44"/>
      <c r="Q637" s="34"/>
      <c r="R637" s="34"/>
      <c r="S637" s="34"/>
      <c r="T637" s="34"/>
    </row>
    <row r="638" ht="15.75" customHeight="1">
      <c r="B638" s="86"/>
      <c r="C638" s="65"/>
      <c r="D638" s="65"/>
      <c r="E638" s="87"/>
      <c r="F638" s="88"/>
      <c r="G638" s="65"/>
      <c r="H638" s="65"/>
      <c r="I638" s="65"/>
      <c r="J638" s="65"/>
      <c r="K638" s="65"/>
      <c r="L638" s="65"/>
      <c r="M638" s="89"/>
      <c r="N638" s="90"/>
      <c r="O638" s="42" t="b">
        <v>0</v>
      </c>
      <c r="P638" s="44"/>
      <c r="Q638" s="34"/>
      <c r="R638" s="34"/>
      <c r="S638" s="34"/>
      <c r="T638" s="34"/>
    </row>
    <row r="639" ht="15.75" customHeight="1">
      <c r="B639" s="86"/>
      <c r="C639" s="65"/>
      <c r="D639" s="65"/>
      <c r="E639" s="87"/>
      <c r="F639" s="88"/>
      <c r="G639" s="65"/>
      <c r="H639" s="65"/>
      <c r="I639" s="65"/>
      <c r="J639" s="65"/>
      <c r="K639" s="65"/>
      <c r="L639" s="65"/>
      <c r="M639" s="89"/>
      <c r="N639" s="90"/>
      <c r="O639" s="42" t="b">
        <v>0</v>
      </c>
      <c r="P639" s="44"/>
      <c r="Q639" s="34"/>
      <c r="R639" s="34"/>
      <c r="S639" s="34"/>
      <c r="T639" s="34"/>
    </row>
    <row r="640" ht="15.75" customHeight="1">
      <c r="B640" s="86"/>
      <c r="C640" s="65"/>
      <c r="D640" s="65"/>
      <c r="E640" s="87"/>
      <c r="F640" s="88"/>
      <c r="G640" s="65"/>
      <c r="H640" s="65"/>
      <c r="I640" s="65"/>
      <c r="J640" s="65"/>
      <c r="K640" s="65"/>
      <c r="L640" s="65"/>
      <c r="M640" s="89"/>
      <c r="N640" s="90"/>
      <c r="O640" s="42" t="b">
        <v>0</v>
      </c>
      <c r="P640" s="44"/>
      <c r="Q640" s="34"/>
      <c r="R640" s="34"/>
      <c r="S640" s="34"/>
      <c r="T640" s="34"/>
    </row>
    <row r="641" ht="15.75" customHeight="1">
      <c r="B641" s="86"/>
      <c r="C641" s="65"/>
      <c r="D641" s="65"/>
      <c r="E641" s="87"/>
      <c r="F641" s="88"/>
      <c r="G641" s="65"/>
      <c r="H641" s="65"/>
      <c r="I641" s="65"/>
      <c r="J641" s="65"/>
      <c r="K641" s="65"/>
      <c r="L641" s="65"/>
      <c r="M641" s="89"/>
      <c r="N641" s="90"/>
      <c r="O641" s="42" t="b">
        <v>0</v>
      </c>
      <c r="P641" s="44"/>
      <c r="Q641" s="34"/>
      <c r="R641" s="34"/>
      <c r="S641" s="34"/>
      <c r="T641" s="34"/>
    </row>
    <row r="642" ht="15.75" customHeight="1">
      <c r="B642" s="86"/>
      <c r="C642" s="65"/>
      <c r="D642" s="65"/>
      <c r="E642" s="87"/>
      <c r="F642" s="88"/>
      <c r="G642" s="65"/>
      <c r="H642" s="65"/>
      <c r="I642" s="65"/>
      <c r="J642" s="65"/>
      <c r="K642" s="65"/>
      <c r="L642" s="65"/>
      <c r="M642" s="89"/>
      <c r="N642" s="90"/>
      <c r="O642" s="42" t="b">
        <v>0</v>
      </c>
      <c r="P642" s="44"/>
      <c r="Q642" s="34"/>
      <c r="R642" s="34"/>
      <c r="S642" s="34"/>
      <c r="T642" s="34"/>
    </row>
    <row r="643" ht="15.75" customHeight="1">
      <c r="B643" s="86"/>
      <c r="C643" s="65"/>
      <c r="D643" s="65"/>
      <c r="E643" s="87"/>
      <c r="F643" s="88"/>
      <c r="G643" s="65"/>
      <c r="H643" s="65"/>
      <c r="I643" s="65"/>
      <c r="J643" s="65"/>
      <c r="K643" s="65"/>
      <c r="L643" s="65"/>
      <c r="M643" s="89"/>
      <c r="N643" s="90"/>
      <c r="O643" s="42" t="b">
        <v>0</v>
      </c>
      <c r="P643" s="44"/>
      <c r="Q643" s="34"/>
      <c r="R643" s="34"/>
      <c r="S643" s="34"/>
      <c r="T643" s="34"/>
    </row>
    <row r="644" ht="15.75" customHeight="1">
      <c r="B644" s="86"/>
      <c r="C644" s="65"/>
      <c r="D644" s="65"/>
      <c r="E644" s="87"/>
      <c r="F644" s="88"/>
      <c r="G644" s="65"/>
      <c r="H644" s="65"/>
      <c r="I644" s="65"/>
      <c r="J644" s="65"/>
      <c r="K644" s="65"/>
      <c r="L644" s="65"/>
      <c r="M644" s="89"/>
      <c r="N644" s="90"/>
      <c r="O644" s="42" t="b">
        <v>0</v>
      </c>
      <c r="P644" s="44"/>
      <c r="Q644" s="34"/>
      <c r="R644" s="34"/>
      <c r="S644" s="34"/>
      <c r="T644" s="34"/>
    </row>
    <row r="645" ht="15.75" customHeight="1">
      <c r="B645" s="86"/>
      <c r="C645" s="65"/>
      <c r="D645" s="65"/>
      <c r="E645" s="87"/>
      <c r="F645" s="88"/>
      <c r="G645" s="65"/>
      <c r="H645" s="65"/>
      <c r="I645" s="65"/>
      <c r="J645" s="65"/>
      <c r="K645" s="65"/>
      <c r="L645" s="65"/>
      <c r="M645" s="89"/>
      <c r="N645" s="90"/>
      <c r="O645" s="42" t="b">
        <v>0</v>
      </c>
      <c r="P645" s="44"/>
      <c r="Q645" s="34"/>
      <c r="R645" s="34"/>
      <c r="S645" s="34"/>
      <c r="T645" s="34"/>
    </row>
    <row r="646" ht="15.75" customHeight="1">
      <c r="B646" s="86"/>
      <c r="C646" s="65"/>
      <c r="D646" s="65"/>
      <c r="E646" s="87"/>
      <c r="F646" s="88"/>
      <c r="G646" s="65"/>
      <c r="H646" s="65"/>
      <c r="I646" s="65"/>
      <c r="J646" s="65"/>
      <c r="K646" s="65"/>
      <c r="L646" s="65"/>
      <c r="M646" s="89"/>
      <c r="N646" s="90"/>
      <c r="O646" s="42" t="b">
        <v>0</v>
      </c>
      <c r="P646" s="44"/>
      <c r="Q646" s="34"/>
      <c r="R646" s="34"/>
      <c r="S646" s="34"/>
      <c r="T646" s="34"/>
    </row>
    <row r="647" ht="15.75" customHeight="1">
      <c r="B647" s="86"/>
      <c r="C647" s="65"/>
      <c r="D647" s="65"/>
      <c r="E647" s="87"/>
      <c r="F647" s="88"/>
      <c r="G647" s="65"/>
      <c r="H647" s="65"/>
      <c r="I647" s="65"/>
      <c r="J647" s="65"/>
      <c r="K647" s="65"/>
      <c r="L647" s="65"/>
      <c r="M647" s="89"/>
      <c r="N647" s="90"/>
      <c r="O647" s="42" t="b">
        <v>0</v>
      </c>
      <c r="P647" s="44"/>
      <c r="Q647" s="34"/>
      <c r="R647" s="34"/>
      <c r="S647" s="34"/>
      <c r="T647" s="34"/>
    </row>
    <row r="648" ht="15.75" customHeight="1">
      <c r="B648" s="86"/>
      <c r="C648" s="65"/>
      <c r="D648" s="65"/>
      <c r="E648" s="87"/>
      <c r="F648" s="88"/>
      <c r="G648" s="65"/>
      <c r="H648" s="65"/>
      <c r="I648" s="65"/>
      <c r="J648" s="65"/>
      <c r="K648" s="65"/>
      <c r="L648" s="65"/>
      <c r="M648" s="89"/>
      <c r="N648" s="90"/>
      <c r="O648" s="42" t="b">
        <v>0</v>
      </c>
      <c r="P648" s="44"/>
      <c r="Q648" s="34"/>
      <c r="R648" s="34"/>
      <c r="S648" s="34"/>
      <c r="T648" s="34"/>
    </row>
    <row r="649" ht="15.75" customHeight="1">
      <c r="C649" s="85"/>
      <c r="H649" s="68" t="s">
        <v>4674</v>
      </c>
      <c r="N649" s="141"/>
    </row>
    <row r="650">
      <c r="B650" s="123"/>
      <c r="C650" s="142"/>
      <c r="D650" s="123"/>
      <c r="E650" s="143">
        <v>198.0</v>
      </c>
      <c r="F650" s="123"/>
      <c r="G650" s="123"/>
      <c r="H650" s="123"/>
      <c r="I650" s="143"/>
      <c r="J650" s="123"/>
      <c r="K650" s="123"/>
      <c r="L650" s="123"/>
      <c r="M650" s="123"/>
      <c r="N650" s="123"/>
    </row>
    <row r="651">
      <c r="B651" s="123"/>
      <c r="C651" s="142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</row>
    <row r="652">
      <c r="C652" s="85"/>
    </row>
    <row r="653">
      <c r="C653" s="85"/>
    </row>
    <row r="654">
      <c r="C654" s="85"/>
    </row>
    <row r="655">
      <c r="C655" s="85"/>
    </row>
    <row r="656">
      <c r="C656" s="85"/>
    </row>
    <row r="657">
      <c r="C657" s="85"/>
    </row>
    <row r="658">
      <c r="C658" s="85"/>
    </row>
    <row r="659">
      <c r="C659" s="85"/>
    </row>
    <row r="660">
      <c r="C660" s="85"/>
    </row>
    <row r="661">
      <c r="C661" s="85"/>
    </row>
    <row r="662">
      <c r="C662" s="85"/>
      <c r="G662" s="1" t="s">
        <v>0</v>
      </c>
    </row>
    <row r="663">
      <c r="C663" s="85"/>
    </row>
    <row r="664">
      <c r="C664" s="85"/>
    </row>
    <row r="665">
      <c r="C665" s="85"/>
    </row>
    <row r="666">
      <c r="C666" s="85"/>
    </row>
    <row r="667">
      <c r="C667" s="85"/>
    </row>
    <row r="668">
      <c r="C668" s="85"/>
    </row>
    <row r="669">
      <c r="C669" s="85"/>
    </row>
    <row r="670">
      <c r="C670" s="85"/>
    </row>
    <row r="671">
      <c r="C671" s="85"/>
    </row>
    <row r="672">
      <c r="C672" s="85"/>
    </row>
    <row r="673">
      <c r="C673" s="85"/>
    </row>
    <row r="674">
      <c r="C674" s="85"/>
    </row>
    <row r="675">
      <c r="C675" s="85"/>
    </row>
    <row r="676">
      <c r="C676" s="85"/>
    </row>
    <row r="677">
      <c r="C677" s="85"/>
    </row>
    <row r="678">
      <c r="C678" s="85"/>
    </row>
    <row r="679">
      <c r="C679" s="85"/>
    </row>
    <row r="680">
      <c r="C680" s="85"/>
    </row>
    <row r="681">
      <c r="C681" s="85"/>
    </row>
    <row r="682">
      <c r="C682" s="85"/>
    </row>
    <row r="683">
      <c r="C683" s="85"/>
    </row>
    <row r="684">
      <c r="C684" s="85"/>
    </row>
    <row r="685">
      <c r="C685" s="85"/>
    </row>
    <row r="686">
      <c r="C686" s="85"/>
    </row>
    <row r="687">
      <c r="C687" s="85"/>
    </row>
    <row r="688">
      <c r="C688" s="85"/>
    </row>
    <row r="689">
      <c r="C689" s="85"/>
    </row>
    <row r="690">
      <c r="C690" s="85"/>
    </row>
    <row r="691">
      <c r="C691" s="85"/>
    </row>
    <row r="692">
      <c r="C692" s="85"/>
    </row>
    <row r="693">
      <c r="C693" s="85"/>
    </row>
    <row r="694">
      <c r="C694" s="85"/>
    </row>
    <row r="695">
      <c r="C695" s="85"/>
    </row>
    <row r="696">
      <c r="C696" s="85"/>
    </row>
    <row r="697">
      <c r="C697" s="85"/>
    </row>
    <row r="698">
      <c r="C698" s="85"/>
    </row>
    <row r="699">
      <c r="C699" s="85"/>
    </row>
    <row r="700">
      <c r="C700" s="85"/>
    </row>
    <row r="701">
      <c r="C701" s="85"/>
    </row>
    <row r="702">
      <c r="C702" s="85"/>
    </row>
    <row r="703">
      <c r="C703" s="85"/>
    </row>
    <row r="704">
      <c r="C704" s="85"/>
    </row>
    <row r="705">
      <c r="C705" s="85"/>
    </row>
    <row r="706">
      <c r="C706" s="85"/>
    </row>
    <row r="707">
      <c r="C707" s="85"/>
    </row>
    <row r="708">
      <c r="C708" s="85"/>
    </row>
    <row r="709">
      <c r="C709" s="85"/>
    </row>
    <row r="710">
      <c r="C710" s="85"/>
    </row>
    <row r="711">
      <c r="C711" s="85"/>
    </row>
    <row r="712">
      <c r="C712" s="85"/>
    </row>
    <row r="713">
      <c r="C713" s="85"/>
    </row>
    <row r="714">
      <c r="C714" s="85"/>
    </row>
    <row r="715">
      <c r="C715" s="85"/>
    </row>
    <row r="716">
      <c r="C716" s="85"/>
    </row>
    <row r="717">
      <c r="C717" s="85"/>
    </row>
    <row r="718">
      <c r="C718" s="85"/>
    </row>
    <row r="719">
      <c r="C719" s="85"/>
    </row>
    <row r="720">
      <c r="C720" s="85"/>
    </row>
    <row r="721">
      <c r="C721" s="85"/>
    </row>
    <row r="722">
      <c r="C722" s="85"/>
    </row>
    <row r="723">
      <c r="C723" s="85"/>
    </row>
    <row r="724">
      <c r="C724" s="85"/>
    </row>
    <row r="725">
      <c r="C725" s="85"/>
    </row>
    <row r="726">
      <c r="C726" s="85"/>
    </row>
    <row r="727">
      <c r="C727" s="85"/>
    </row>
    <row r="728">
      <c r="C728" s="85"/>
    </row>
    <row r="729">
      <c r="C729" s="85"/>
    </row>
    <row r="730">
      <c r="C730" s="85"/>
    </row>
    <row r="731">
      <c r="C731" s="85"/>
    </row>
    <row r="732">
      <c r="C732" s="85"/>
    </row>
    <row r="733">
      <c r="C733" s="85"/>
    </row>
    <row r="734">
      <c r="C734" s="85"/>
    </row>
    <row r="735">
      <c r="C735" s="85"/>
    </row>
    <row r="736">
      <c r="C736" s="85"/>
    </row>
    <row r="737">
      <c r="C737" s="85"/>
    </row>
    <row r="738">
      <c r="C738" s="85"/>
    </row>
    <row r="739">
      <c r="C739" s="85"/>
    </row>
    <row r="740">
      <c r="C740" s="85"/>
    </row>
    <row r="741">
      <c r="C741" s="85"/>
    </row>
    <row r="742">
      <c r="C742" s="85"/>
    </row>
    <row r="743">
      <c r="C743" s="85"/>
    </row>
    <row r="744">
      <c r="C744" s="85"/>
    </row>
    <row r="745">
      <c r="C745" s="85"/>
    </row>
    <row r="746">
      <c r="C746" s="85"/>
    </row>
    <row r="747">
      <c r="C747" s="85"/>
    </row>
    <row r="748">
      <c r="C748" s="85"/>
    </row>
    <row r="749">
      <c r="C749" s="85"/>
    </row>
    <row r="750">
      <c r="C750" s="85"/>
    </row>
    <row r="751">
      <c r="C751" s="85"/>
    </row>
    <row r="752">
      <c r="C752" s="85"/>
    </row>
    <row r="753">
      <c r="C753" s="85"/>
    </row>
    <row r="754">
      <c r="C754" s="85"/>
    </row>
    <row r="755">
      <c r="C755" s="85"/>
    </row>
    <row r="756">
      <c r="C756" s="85"/>
    </row>
    <row r="757">
      <c r="C757" s="85"/>
    </row>
    <row r="758">
      <c r="C758" s="85"/>
    </row>
    <row r="759">
      <c r="C759" s="85"/>
    </row>
    <row r="760">
      <c r="C760" s="85"/>
    </row>
    <row r="761">
      <c r="C761" s="85"/>
    </row>
    <row r="762">
      <c r="C762" s="85"/>
    </row>
    <row r="763">
      <c r="C763" s="85"/>
    </row>
    <row r="764">
      <c r="C764" s="85"/>
    </row>
    <row r="765">
      <c r="C765" s="85"/>
    </row>
    <row r="766">
      <c r="C766" s="85"/>
    </row>
    <row r="767">
      <c r="C767" s="85"/>
    </row>
    <row r="768">
      <c r="C768" s="85"/>
    </row>
    <row r="769">
      <c r="C769" s="85"/>
    </row>
    <row r="770">
      <c r="C770" s="85"/>
    </row>
    <row r="771">
      <c r="C771" s="85"/>
    </row>
    <row r="772">
      <c r="C772" s="85"/>
    </row>
    <row r="773">
      <c r="C773" s="85"/>
    </row>
    <row r="774">
      <c r="C774" s="85"/>
    </row>
    <row r="775">
      <c r="C775" s="85"/>
    </row>
    <row r="776">
      <c r="C776" s="85"/>
    </row>
    <row r="777">
      <c r="C777" s="85"/>
    </row>
    <row r="778">
      <c r="C778" s="85"/>
    </row>
    <row r="779">
      <c r="C779" s="85"/>
    </row>
    <row r="780">
      <c r="C780" s="85"/>
    </row>
    <row r="781">
      <c r="C781" s="85"/>
    </row>
    <row r="782">
      <c r="C782" s="85"/>
    </row>
    <row r="783">
      <c r="C783" s="85"/>
    </row>
    <row r="784">
      <c r="C784" s="85"/>
    </row>
    <row r="785">
      <c r="C785" s="85"/>
    </row>
    <row r="786">
      <c r="C786" s="85"/>
    </row>
    <row r="787">
      <c r="C787" s="85"/>
    </row>
    <row r="788">
      <c r="C788" s="85"/>
    </row>
    <row r="789">
      <c r="C789" s="85"/>
    </row>
    <row r="790">
      <c r="C790" s="85"/>
    </row>
    <row r="791">
      <c r="C791" s="85"/>
    </row>
    <row r="792">
      <c r="C792" s="85"/>
    </row>
    <row r="793">
      <c r="C793" s="85"/>
    </row>
    <row r="794">
      <c r="C794" s="85"/>
    </row>
    <row r="795">
      <c r="C795" s="85"/>
    </row>
    <row r="796">
      <c r="C796" s="85"/>
    </row>
    <row r="797">
      <c r="C797" s="85"/>
    </row>
    <row r="798">
      <c r="C798" s="85"/>
    </row>
    <row r="799">
      <c r="C799" s="85"/>
    </row>
    <row r="800">
      <c r="C800" s="85"/>
    </row>
    <row r="801">
      <c r="C801" s="85"/>
    </row>
    <row r="802">
      <c r="C802" s="85"/>
    </row>
    <row r="803">
      <c r="C803" s="85"/>
    </row>
    <row r="804">
      <c r="C804" s="85"/>
    </row>
    <row r="805">
      <c r="C805" s="85"/>
    </row>
    <row r="806">
      <c r="C806" s="85"/>
    </row>
    <row r="807">
      <c r="C807" s="85"/>
    </row>
    <row r="808">
      <c r="C808" s="85"/>
    </row>
    <row r="809">
      <c r="C809" s="85"/>
    </row>
    <row r="810">
      <c r="C810" s="85"/>
    </row>
    <row r="811">
      <c r="C811" s="85"/>
    </row>
    <row r="812">
      <c r="C812" s="85"/>
    </row>
    <row r="813">
      <c r="C813" s="85"/>
    </row>
    <row r="814">
      <c r="C814" s="85"/>
    </row>
    <row r="815">
      <c r="C815" s="85"/>
    </row>
    <row r="816">
      <c r="C816" s="85"/>
    </row>
    <row r="817">
      <c r="C817" s="85"/>
    </row>
    <row r="818">
      <c r="C818" s="85"/>
    </row>
    <row r="819">
      <c r="C819" s="85"/>
    </row>
    <row r="820">
      <c r="C820" s="85"/>
    </row>
    <row r="821">
      <c r="C821" s="85"/>
    </row>
    <row r="822">
      <c r="C822" s="85"/>
    </row>
    <row r="823">
      <c r="C823" s="85"/>
    </row>
    <row r="824">
      <c r="C824" s="85"/>
    </row>
    <row r="825">
      <c r="C825" s="85"/>
    </row>
    <row r="826">
      <c r="C826" s="85"/>
    </row>
    <row r="827">
      <c r="C827" s="85"/>
    </row>
    <row r="828">
      <c r="C828" s="85"/>
    </row>
    <row r="829">
      <c r="C829" s="85"/>
    </row>
    <row r="830">
      <c r="C830" s="85"/>
    </row>
    <row r="831">
      <c r="C831" s="85"/>
    </row>
    <row r="832">
      <c r="C832" s="85"/>
    </row>
    <row r="833">
      <c r="C833" s="85"/>
    </row>
    <row r="834">
      <c r="C834" s="85"/>
    </row>
    <row r="835">
      <c r="C835" s="85"/>
    </row>
    <row r="836">
      <c r="C836" s="85"/>
    </row>
    <row r="837">
      <c r="C837" s="85"/>
    </row>
    <row r="838">
      <c r="C838" s="85"/>
    </row>
    <row r="839">
      <c r="C839" s="85"/>
    </row>
    <row r="840">
      <c r="C840" s="85"/>
    </row>
    <row r="841">
      <c r="C841" s="85"/>
    </row>
    <row r="842">
      <c r="C842" s="85"/>
    </row>
    <row r="843">
      <c r="C843" s="85"/>
    </row>
    <row r="844">
      <c r="C844" s="85"/>
    </row>
    <row r="845">
      <c r="C845" s="85"/>
    </row>
    <row r="846">
      <c r="C846" s="85"/>
    </row>
    <row r="847">
      <c r="C847" s="85"/>
    </row>
    <row r="848">
      <c r="C848" s="85"/>
    </row>
    <row r="849">
      <c r="C849" s="85"/>
    </row>
    <row r="850">
      <c r="C850" s="85"/>
    </row>
    <row r="851">
      <c r="C851" s="85"/>
    </row>
    <row r="852">
      <c r="C852" s="85"/>
    </row>
    <row r="853">
      <c r="C853" s="85"/>
    </row>
    <row r="854">
      <c r="C854" s="85"/>
    </row>
    <row r="855">
      <c r="C855" s="85"/>
    </row>
    <row r="856">
      <c r="C856" s="85"/>
    </row>
    <row r="857">
      <c r="C857" s="85"/>
    </row>
    <row r="858">
      <c r="C858" s="85"/>
    </row>
    <row r="859">
      <c r="C859" s="85"/>
    </row>
    <row r="860">
      <c r="C860" s="85"/>
    </row>
    <row r="861">
      <c r="C861" s="85"/>
    </row>
    <row r="862">
      <c r="C862" s="85"/>
    </row>
    <row r="863">
      <c r="C863" s="85"/>
    </row>
    <row r="864">
      <c r="C864" s="85"/>
    </row>
    <row r="865">
      <c r="C865" s="85"/>
    </row>
    <row r="866">
      <c r="C866" s="85"/>
    </row>
    <row r="867">
      <c r="C867" s="85"/>
    </row>
    <row r="868">
      <c r="C868" s="85"/>
    </row>
    <row r="869">
      <c r="C869" s="85"/>
    </row>
    <row r="870">
      <c r="C870" s="85"/>
    </row>
    <row r="871">
      <c r="C871" s="85"/>
    </row>
    <row r="872">
      <c r="C872" s="85"/>
    </row>
    <row r="873">
      <c r="C873" s="85"/>
    </row>
    <row r="874">
      <c r="C874" s="85"/>
    </row>
    <row r="875">
      <c r="C875" s="85"/>
    </row>
    <row r="876">
      <c r="C876" s="85"/>
    </row>
    <row r="877">
      <c r="C877" s="85"/>
    </row>
    <row r="878">
      <c r="C878" s="85"/>
    </row>
    <row r="879">
      <c r="C879" s="85"/>
    </row>
    <row r="880">
      <c r="C880" s="85"/>
    </row>
    <row r="881">
      <c r="C881" s="85"/>
    </row>
    <row r="882">
      <c r="C882" s="85"/>
    </row>
    <row r="883">
      <c r="C883" s="85"/>
    </row>
    <row r="884">
      <c r="C884" s="85"/>
    </row>
    <row r="885">
      <c r="C885" s="85"/>
    </row>
    <row r="886">
      <c r="C886" s="85"/>
    </row>
    <row r="887">
      <c r="C887" s="85"/>
    </row>
    <row r="888">
      <c r="C888" s="85"/>
    </row>
    <row r="889">
      <c r="C889" s="85"/>
    </row>
    <row r="890">
      <c r="C890" s="85"/>
    </row>
    <row r="891">
      <c r="C891" s="85"/>
    </row>
    <row r="892">
      <c r="C892" s="85"/>
    </row>
    <row r="893">
      <c r="C893" s="85"/>
    </row>
    <row r="894">
      <c r="C894" s="85"/>
    </row>
    <row r="895">
      <c r="C895" s="85"/>
    </row>
    <row r="896">
      <c r="C896" s="85"/>
    </row>
    <row r="897">
      <c r="C897" s="85"/>
    </row>
    <row r="898">
      <c r="C898" s="85"/>
    </row>
    <row r="899">
      <c r="C899" s="85"/>
    </row>
    <row r="900">
      <c r="C900" s="85"/>
    </row>
    <row r="901">
      <c r="C901" s="85"/>
    </row>
    <row r="902">
      <c r="C902" s="85"/>
    </row>
    <row r="903">
      <c r="C903" s="85"/>
    </row>
    <row r="904">
      <c r="C904" s="85"/>
    </row>
    <row r="905">
      <c r="C905" s="85"/>
    </row>
    <row r="906">
      <c r="C906" s="85"/>
    </row>
    <row r="907">
      <c r="C907" s="85"/>
    </row>
    <row r="908">
      <c r="C908" s="85"/>
    </row>
    <row r="909">
      <c r="C909" s="85"/>
    </row>
    <row r="910">
      <c r="C910" s="85"/>
    </row>
    <row r="911">
      <c r="C911" s="85"/>
    </row>
    <row r="912">
      <c r="C912" s="85"/>
    </row>
    <row r="913">
      <c r="C913" s="85"/>
    </row>
    <row r="914">
      <c r="C914" s="85"/>
    </row>
    <row r="915">
      <c r="C915" s="85"/>
    </row>
    <row r="916">
      <c r="C916" s="85"/>
    </row>
    <row r="917">
      <c r="C917" s="85"/>
    </row>
    <row r="918">
      <c r="C918" s="85"/>
    </row>
    <row r="919">
      <c r="C919" s="85"/>
    </row>
    <row r="920">
      <c r="C920" s="85"/>
    </row>
    <row r="921">
      <c r="C921" s="85"/>
    </row>
    <row r="922">
      <c r="C922" s="85"/>
    </row>
    <row r="923">
      <c r="C923" s="85"/>
    </row>
    <row r="924">
      <c r="C924" s="85"/>
    </row>
    <row r="925">
      <c r="C925" s="85"/>
    </row>
    <row r="926">
      <c r="C926" s="85"/>
    </row>
    <row r="927">
      <c r="C927" s="85"/>
    </row>
    <row r="928">
      <c r="C928" s="85"/>
    </row>
    <row r="929">
      <c r="C929" s="85"/>
    </row>
    <row r="930">
      <c r="C930" s="85"/>
    </row>
    <row r="931">
      <c r="C931" s="85"/>
    </row>
    <row r="932">
      <c r="C932" s="85"/>
    </row>
    <row r="933">
      <c r="C933" s="85"/>
    </row>
    <row r="934">
      <c r="C934" s="85"/>
    </row>
    <row r="935">
      <c r="C935" s="85"/>
    </row>
    <row r="936">
      <c r="C936" s="85"/>
    </row>
    <row r="937">
      <c r="C937" s="85"/>
    </row>
    <row r="938">
      <c r="C938" s="85"/>
    </row>
    <row r="939">
      <c r="C939" s="85"/>
    </row>
    <row r="940">
      <c r="C940" s="85"/>
    </row>
    <row r="941">
      <c r="C941" s="85"/>
    </row>
    <row r="942">
      <c r="C942" s="85"/>
    </row>
    <row r="943">
      <c r="C943" s="85"/>
    </row>
    <row r="944">
      <c r="C944" s="85"/>
    </row>
    <row r="945">
      <c r="C945" s="85"/>
    </row>
    <row r="946">
      <c r="C946" s="85"/>
    </row>
    <row r="947">
      <c r="C947" s="85"/>
    </row>
    <row r="948">
      <c r="C948" s="85"/>
    </row>
    <row r="949">
      <c r="C949" s="85"/>
    </row>
    <row r="950">
      <c r="C950" s="85"/>
    </row>
    <row r="951">
      <c r="C951" s="85"/>
    </row>
    <row r="952">
      <c r="C952" s="85"/>
    </row>
    <row r="953">
      <c r="C953" s="85"/>
    </row>
    <row r="954">
      <c r="C954" s="85"/>
    </row>
    <row r="955">
      <c r="C955" s="85"/>
    </row>
    <row r="956">
      <c r="C956" s="85"/>
    </row>
    <row r="957">
      <c r="C957" s="85"/>
    </row>
    <row r="958">
      <c r="C958" s="85"/>
    </row>
    <row r="959">
      <c r="C959" s="85"/>
    </row>
    <row r="960">
      <c r="C960" s="85"/>
    </row>
    <row r="961">
      <c r="C961" s="85"/>
    </row>
    <row r="962">
      <c r="C962" s="85"/>
    </row>
    <row r="963">
      <c r="C963" s="85"/>
    </row>
    <row r="964">
      <c r="C964" s="85"/>
    </row>
    <row r="965">
      <c r="C965" s="85"/>
    </row>
    <row r="966">
      <c r="C966" s="85"/>
    </row>
    <row r="967">
      <c r="C967" s="85"/>
    </row>
    <row r="968">
      <c r="C968" s="85"/>
    </row>
    <row r="969">
      <c r="C969" s="85"/>
    </row>
    <row r="970">
      <c r="C970" s="85"/>
    </row>
    <row r="971">
      <c r="C971" s="85"/>
    </row>
    <row r="972">
      <c r="C972" s="85"/>
    </row>
    <row r="973">
      <c r="C973" s="85"/>
    </row>
    <row r="974">
      <c r="C974" s="85"/>
    </row>
    <row r="975">
      <c r="C975" s="85"/>
    </row>
    <row r="976">
      <c r="C976" s="85"/>
    </row>
    <row r="977">
      <c r="C977" s="85"/>
    </row>
    <row r="978">
      <c r="C978" s="85"/>
    </row>
    <row r="979">
      <c r="C979" s="85"/>
    </row>
    <row r="980">
      <c r="C980" s="85"/>
    </row>
    <row r="981">
      <c r="C981" s="85"/>
    </row>
    <row r="982">
      <c r="C982" s="85"/>
    </row>
    <row r="983">
      <c r="C983" s="85"/>
    </row>
    <row r="984">
      <c r="C984" s="85"/>
    </row>
    <row r="985">
      <c r="C985" s="85"/>
    </row>
    <row r="986">
      <c r="C986" s="85"/>
    </row>
    <row r="987">
      <c r="C987" s="85"/>
    </row>
    <row r="988">
      <c r="C988" s="85"/>
    </row>
    <row r="989">
      <c r="C989" s="85"/>
    </row>
    <row r="990">
      <c r="C990" s="85"/>
    </row>
    <row r="991">
      <c r="C991" s="85"/>
    </row>
    <row r="992">
      <c r="C992" s="85"/>
    </row>
    <row r="993">
      <c r="C993" s="85"/>
    </row>
    <row r="994">
      <c r="C994" s="85"/>
    </row>
    <row r="995">
      <c r="C995" s="85"/>
    </row>
    <row r="996">
      <c r="C996" s="85"/>
    </row>
    <row r="997">
      <c r="C997" s="85"/>
    </row>
    <row r="998">
      <c r="C998" s="85"/>
    </row>
    <row r="999">
      <c r="C999" s="85"/>
    </row>
    <row r="1000">
      <c r="C1000" s="85"/>
    </row>
    <row r="1001">
      <c r="C1001" s="85"/>
    </row>
    <row r="1002">
      <c r="C1002" s="85"/>
    </row>
    <row r="1003">
      <c r="C1003" s="85"/>
    </row>
    <row r="1004">
      <c r="C1004" s="85"/>
    </row>
    <row r="1005">
      <c r="C1005" s="85"/>
    </row>
    <row r="1006">
      <c r="C1006" s="85"/>
    </row>
    <row r="1007">
      <c r="C1007" s="85"/>
    </row>
    <row r="1008">
      <c r="C1008" s="85"/>
    </row>
    <row r="1009">
      <c r="C1009" s="85"/>
    </row>
    <row r="1010">
      <c r="C1010" s="85"/>
    </row>
    <row r="1011">
      <c r="C1011" s="85"/>
    </row>
    <row r="1012">
      <c r="C1012" s="85"/>
    </row>
    <row r="1013">
      <c r="C1013" s="85"/>
    </row>
    <row r="1014">
      <c r="C1014" s="85"/>
    </row>
    <row r="1015">
      <c r="C1015" s="85"/>
    </row>
    <row r="1016">
      <c r="C1016" s="85"/>
    </row>
    <row r="1017">
      <c r="C1017" s="85"/>
    </row>
    <row r="1018">
      <c r="C1018" s="85"/>
    </row>
    <row r="1019">
      <c r="C1019" s="85"/>
    </row>
    <row r="1020">
      <c r="C1020" s="85"/>
    </row>
    <row r="1021">
      <c r="C1021" s="85"/>
    </row>
    <row r="1022">
      <c r="C1022" s="85"/>
    </row>
    <row r="1023">
      <c r="C1023" s="85"/>
    </row>
    <row r="1024">
      <c r="C1024" s="85"/>
    </row>
    <row r="1025">
      <c r="C1025" s="85"/>
    </row>
    <row r="1026">
      <c r="C1026" s="85"/>
    </row>
    <row r="1027">
      <c r="C1027" s="85"/>
    </row>
    <row r="1028">
      <c r="C1028" s="85"/>
    </row>
    <row r="1029">
      <c r="C1029" s="85"/>
    </row>
    <row r="1030">
      <c r="C1030" s="85"/>
    </row>
    <row r="1031">
      <c r="C1031" s="85"/>
    </row>
    <row r="1032">
      <c r="C1032" s="85"/>
    </row>
    <row r="1033">
      <c r="C1033" s="85"/>
    </row>
    <row r="1034">
      <c r="C1034" s="85"/>
    </row>
    <row r="1035">
      <c r="C1035" s="85"/>
    </row>
    <row r="1036">
      <c r="C1036" s="85"/>
    </row>
    <row r="1037">
      <c r="C1037" s="85"/>
    </row>
    <row r="1038">
      <c r="C1038" s="85"/>
    </row>
    <row r="1039">
      <c r="C1039" s="85"/>
    </row>
    <row r="1040">
      <c r="C1040" s="85"/>
    </row>
    <row r="1041">
      <c r="C1041" s="85"/>
    </row>
    <row r="1042">
      <c r="C1042" s="85"/>
    </row>
    <row r="1043">
      <c r="C1043" s="85"/>
    </row>
    <row r="1044">
      <c r="C1044" s="85"/>
    </row>
  </sheetData>
  <autoFilter ref="$A$5:$Z$650"/>
  <mergeCells count="3">
    <mergeCell ref="B1:F1"/>
    <mergeCell ref="C2:F2"/>
    <mergeCell ref="C3:F3"/>
  </mergeCells>
  <conditionalFormatting sqref="O6:O649">
    <cfRule type="expression" dxfId="1" priority="1">
      <formula>$O6=TRUE</formula>
    </cfRule>
  </conditionalFormatting>
  <conditionalFormatting sqref="N6:N293 N295:N450 N459:N492 N494:N528 N545:N649">
    <cfRule type="containsBlanks" dxfId="2" priority="2">
      <formula>LEN(TRIM(N6))=0</formula>
    </cfRule>
  </conditionalFormatting>
  <conditionalFormatting sqref="N1:N293 N295:N450 N459:N492 N494:N528 N545:N649">
    <cfRule type="containsText" dxfId="3" priority="3" operator="containsText" text="EM DIA">
      <formula>NOT(ISERROR(SEARCH(("EM DIA"),(N1))))</formula>
    </cfRule>
  </conditionalFormatting>
  <conditionalFormatting sqref="N1:N293 N295:N450 N459:N492 N494:N528 N545:N649">
    <cfRule type="containsText" dxfId="4" priority="4" operator="containsText" text="ATRASADO">
      <formula>NOT(ISERROR(SEARCH(("ATRASADO"),(N1))))</formula>
    </cfRule>
  </conditionalFormatting>
  <hyperlinks>
    <hyperlink r:id="rId4" ref="C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18.86"/>
    <col customWidth="1" min="3" max="3" width="12.57"/>
    <col customWidth="1" min="4" max="4" width="8.86"/>
    <col customWidth="1" min="5" max="5" width="15.71"/>
    <col customWidth="1" min="6" max="6" width="15.43"/>
    <col customWidth="1" min="7" max="7" width="115.43"/>
    <col customWidth="1" min="8" max="8" width="55.43"/>
    <col customWidth="1" min="9" max="9" width="14.14"/>
    <col customWidth="1" min="10" max="10" width="17.71"/>
    <col customWidth="1" min="11" max="11" width="32.14"/>
    <col customWidth="1" min="12" max="12" width="17.14"/>
    <col customWidth="1" min="13" max="13" width="13.29"/>
    <col customWidth="1" min="14" max="14" width="21.86"/>
    <col customWidth="1" min="15" max="15" width="15.57"/>
    <col customWidth="1" min="16" max="17" width="22.29"/>
    <col customWidth="1" min="18" max="20" width="15.29"/>
  </cols>
  <sheetData>
    <row r="1" ht="63.75" customHeight="1">
      <c r="B1" s="2" t="s">
        <v>1</v>
      </c>
      <c r="C1" s="3"/>
      <c r="D1" s="3"/>
      <c r="E1" s="3"/>
      <c r="F1" s="3"/>
      <c r="G1" s="4"/>
      <c r="N1" s="6"/>
      <c r="Q1" s="7"/>
    </row>
    <row r="2" ht="39.0" customHeight="1">
      <c r="B2" s="8" t="s">
        <v>2</v>
      </c>
      <c r="C2" s="83" t="s">
        <v>3</v>
      </c>
      <c r="D2" s="10"/>
      <c r="E2" s="10"/>
      <c r="F2" s="11"/>
      <c r="N2" s="6"/>
      <c r="Q2" s="7"/>
    </row>
    <row r="3" ht="32.25" customHeight="1">
      <c r="B3" s="14" t="s">
        <v>7</v>
      </c>
      <c r="C3" s="84" t="s">
        <v>5</v>
      </c>
      <c r="D3" s="16"/>
      <c r="E3" s="16"/>
      <c r="F3" s="17"/>
      <c r="N3" s="6"/>
      <c r="Q3" s="7"/>
    </row>
    <row r="4">
      <c r="B4" s="7"/>
      <c r="C4" s="85"/>
      <c r="E4" s="18"/>
      <c r="F4" s="12"/>
      <c r="N4" s="6"/>
      <c r="Q4" s="7"/>
    </row>
    <row r="5" ht="13.5" customHeight="1">
      <c r="B5" s="97" t="s">
        <v>8</v>
      </c>
      <c r="C5" s="21" t="s">
        <v>9</v>
      </c>
      <c r="D5" s="21" t="s">
        <v>10</v>
      </c>
      <c r="E5" s="22" t="s">
        <v>11</v>
      </c>
      <c r="F5" s="23" t="s">
        <v>13</v>
      </c>
      <c r="G5" s="23" t="s">
        <v>15</v>
      </c>
      <c r="H5" s="25" t="s">
        <v>16</v>
      </c>
      <c r="I5" s="25" t="s">
        <v>17</v>
      </c>
      <c r="J5" s="25" t="s">
        <v>18</v>
      </c>
      <c r="K5" s="29" t="s">
        <v>19</v>
      </c>
      <c r="L5" s="25" t="s">
        <v>21</v>
      </c>
      <c r="M5" s="28" t="s">
        <v>22</v>
      </c>
      <c r="N5" s="30" t="s">
        <v>23</v>
      </c>
      <c r="O5" s="31" t="s">
        <v>25</v>
      </c>
      <c r="P5" s="21" t="s">
        <v>24</v>
      </c>
      <c r="Q5" s="21" t="s">
        <v>28</v>
      </c>
      <c r="R5" s="32" t="s">
        <v>26</v>
      </c>
      <c r="S5" s="24" t="s">
        <v>27</v>
      </c>
      <c r="T5" s="24" t="s">
        <v>27</v>
      </c>
    </row>
    <row r="6" ht="13.5" hidden="1" customHeight="1">
      <c r="B6" s="99">
        <v>46266.0</v>
      </c>
      <c r="C6" s="100">
        <v>30072.0</v>
      </c>
      <c r="D6" s="65" t="s">
        <v>3577</v>
      </c>
      <c r="E6" s="87" t="s">
        <v>35</v>
      </c>
      <c r="F6" s="87">
        <v>8855.9</v>
      </c>
      <c r="G6" s="65" t="s">
        <v>3580</v>
      </c>
      <c r="H6" s="65" t="s">
        <v>3581</v>
      </c>
      <c r="I6" s="65" t="s">
        <v>41</v>
      </c>
      <c r="J6" s="65" t="s">
        <v>34</v>
      </c>
      <c r="K6" s="65"/>
      <c r="L6" s="65" t="s">
        <v>96</v>
      </c>
      <c r="M6" s="89">
        <v>31.0</v>
      </c>
      <c r="N6" s="90">
        <v>46267.0</v>
      </c>
      <c r="O6" s="42" t="b">
        <v>0</v>
      </c>
      <c r="P6" s="44"/>
      <c r="Q6" s="34"/>
      <c r="R6" s="34"/>
      <c r="S6" s="34"/>
      <c r="T6" s="34"/>
    </row>
    <row r="7" ht="15.75" hidden="1" customHeight="1">
      <c r="B7" s="99">
        <v>46266.0</v>
      </c>
      <c r="C7" s="100">
        <v>1674.0</v>
      </c>
      <c r="D7" s="65">
        <v>140.0</v>
      </c>
      <c r="E7" s="87">
        <v>90.0</v>
      </c>
      <c r="F7" s="87">
        <v>12600.0</v>
      </c>
      <c r="G7" s="65" t="s">
        <v>3594</v>
      </c>
      <c r="H7" s="65"/>
      <c r="I7" s="65" t="s">
        <v>41</v>
      </c>
      <c r="J7" s="65" t="s">
        <v>34</v>
      </c>
      <c r="K7" s="65" t="s">
        <v>3596</v>
      </c>
      <c r="L7" s="65" t="s">
        <v>3597</v>
      </c>
      <c r="M7" s="89">
        <v>31.0</v>
      </c>
      <c r="N7" s="90">
        <v>46269.0</v>
      </c>
      <c r="O7" s="42" t="b">
        <v>0</v>
      </c>
      <c r="P7" s="44">
        <v>46273.0</v>
      </c>
      <c r="Q7" s="34"/>
      <c r="R7" s="34"/>
      <c r="S7" s="34"/>
      <c r="T7" s="34"/>
    </row>
    <row r="8" ht="15.75" hidden="1" customHeight="1">
      <c r="B8" s="101">
        <v>46266.0</v>
      </c>
      <c r="C8" s="100">
        <v>1674.0</v>
      </c>
      <c r="D8" s="65">
        <v>60.0</v>
      </c>
      <c r="E8" s="87">
        <v>90.0</v>
      </c>
      <c r="F8" s="87">
        <v>5400.0</v>
      </c>
      <c r="G8" s="65" t="s">
        <v>3605</v>
      </c>
      <c r="H8" s="65"/>
      <c r="I8" s="65" t="s">
        <v>41</v>
      </c>
      <c r="J8" s="65" t="s">
        <v>34</v>
      </c>
      <c r="K8" s="65"/>
      <c r="L8" s="65" t="s">
        <v>3597</v>
      </c>
      <c r="M8" s="89">
        <v>31.0</v>
      </c>
      <c r="N8" s="90">
        <v>46269.0</v>
      </c>
      <c r="O8" s="42" t="b">
        <v>0</v>
      </c>
      <c r="P8" s="44">
        <v>46273.0</v>
      </c>
      <c r="Q8" s="34"/>
      <c r="R8" s="34"/>
      <c r="S8" s="34"/>
      <c r="T8" s="35"/>
    </row>
    <row r="9" ht="15.75" hidden="1" customHeight="1">
      <c r="B9" s="99">
        <v>46266.0</v>
      </c>
      <c r="C9" s="100">
        <v>9829.0</v>
      </c>
      <c r="D9" s="65">
        <v>20.0</v>
      </c>
      <c r="E9" s="87">
        <v>342.0</v>
      </c>
      <c r="F9" s="87">
        <v>6840.0</v>
      </c>
      <c r="G9" s="65" t="s">
        <v>3608</v>
      </c>
      <c r="H9" s="65"/>
      <c r="I9" s="65" t="s">
        <v>41</v>
      </c>
      <c r="J9" s="65" t="s">
        <v>34</v>
      </c>
      <c r="K9" s="65"/>
      <c r="L9" s="65" t="s">
        <v>46</v>
      </c>
      <c r="M9" s="89">
        <v>31.0</v>
      </c>
      <c r="N9" s="90">
        <v>46267.0</v>
      </c>
      <c r="O9" s="42" t="b">
        <v>0</v>
      </c>
      <c r="P9" s="44"/>
      <c r="Q9" s="34"/>
      <c r="R9" s="34"/>
      <c r="S9" s="34"/>
      <c r="T9" s="34"/>
    </row>
    <row r="10" ht="15.75" hidden="1" customHeight="1">
      <c r="B10" s="99">
        <v>46266.0</v>
      </c>
      <c r="C10" s="100">
        <v>20003.0</v>
      </c>
      <c r="D10" s="65">
        <v>50.0</v>
      </c>
      <c r="E10" s="87">
        <v>90.0</v>
      </c>
      <c r="F10" s="87">
        <v>4500.0</v>
      </c>
      <c r="G10" s="65" t="s">
        <v>3614</v>
      </c>
      <c r="H10" s="65" t="s">
        <v>593</v>
      </c>
      <c r="I10" s="65" t="s">
        <v>59</v>
      </c>
      <c r="J10" s="65" t="s">
        <v>34</v>
      </c>
      <c r="K10" s="65"/>
      <c r="L10" s="65" t="s">
        <v>87</v>
      </c>
      <c r="M10" s="89">
        <v>31.0</v>
      </c>
      <c r="N10" s="90">
        <v>46268.0</v>
      </c>
      <c r="O10" s="42" t="b">
        <v>0</v>
      </c>
      <c r="P10" s="44"/>
      <c r="Q10" s="34"/>
      <c r="R10" s="34"/>
      <c r="S10" s="34"/>
      <c r="T10" s="34"/>
    </row>
    <row r="11" ht="15.75" hidden="1" customHeight="1">
      <c r="B11" s="99">
        <v>46266.0</v>
      </c>
      <c r="C11" s="100">
        <v>934452.0</v>
      </c>
      <c r="D11" s="65">
        <v>300.0</v>
      </c>
      <c r="E11" s="87">
        <v>71.0</v>
      </c>
      <c r="F11" s="87">
        <v>21300.0</v>
      </c>
      <c r="G11" s="65" t="s">
        <v>3627</v>
      </c>
      <c r="H11" s="65" t="s">
        <v>3629</v>
      </c>
      <c r="I11" s="65" t="s">
        <v>41</v>
      </c>
      <c r="J11" s="65" t="s">
        <v>34</v>
      </c>
      <c r="K11" s="65"/>
      <c r="L11" s="65" t="s">
        <v>167</v>
      </c>
      <c r="M11" s="89">
        <v>31.0</v>
      </c>
      <c r="N11" s="90">
        <v>46269.0</v>
      </c>
      <c r="O11" s="42" t="b">
        <v>0</v>
      </c>
      <c r="P11" s="44"/>
      <c r="Q11" s="34"/>
      <c r="R11" s="34"/>
      <c r="S11" s="34"/>
      <c r="T11" s="34"/>
    </row>
    <row r="12" ht="15.75" hidden="1" customHeight="1">
      <c r="B12" s="99">
        <v>46266.0</v>
      </c>
      <c r="C12" s="103" t="s">
        <v>3633</v>
      </c>
      <c r="D12" s="65">
        <v>200.0</v>
      </c>
      <c r="E12" s="87">
        <v>5.39</v>
      </c>
      <c r="F12" s="87">
        <v>1078.8</v>
      </c>
      <c r="G12" s="65" t="s">
        <v>3635</v>
      </c>
      <c r="H12" s="65" t="s">
        <v>3636</v>
      </c>
      <c r="I12" s="65" t="s">
        <v>41</v>
      </c>
      <c r="J12" s="65" t="s">
        <v>34</v>
      </c>
      <c r="K12" s="65"/>
      <c r="L12" s="65" t="s">
        <v>719</v>
      </c>
      <c r="M12" s="89">
        <v>31.0</v>
      </c>
      <c r="N12" s="90">
        <v>46267.0</v>
      </c>
      <c r="O12" s="42" t="b">
        <v>0</v>
      </c>
      <c r="P12" s="44"/>
      <c r="Q12" s="34"/>
      <c r="R12" s="34"/>
      <c r="S12" s="34"/>
      <c r="T12" s="34"/>
    </row>
    <row r="13" ht="15.75" hidden="1" customHeight="1">
      <c r="B13" s="99">
        <v>46266.0</v>
      </c>
      <c r="C13" s="103" t="s">
        <v>3643</v>
      </c>
      <c r="D13" s="65">
        <v>78.0</v>
      </c>
      <c r="E13" s="87">
        <v>265.0</v>
      </c>
      <c r="F13" s="87">
        <v>20670.0</v>
      </c>
      <c r="G13" s="65" t="s">
        <v>1136</v>
      </c>
      <c r="H13" s="65"/>
      <c r="I13" s="65" t="s">
        <v>32</v>
      </c>
      <c r="J13" s="65" t="s">
        <v>34</v>
      </c>
      <c r="K13" s="65"/>
      <c r="L13" s="65" t="s">
        <v>3649</v>
      </c>
      <c r="M13" s="89" t="s">
        <v>3464</v>
      </c>
      <c r="N13" s="90">
        <v>46269.0</v>
      </c>
      <c r="O13" s="42" t="b">
        <v>0</v>
      </c>
      <c r="P13" s="44" t="s">
        <v>3662</v>
      </c>
      <c r="Q13" s="34"/>
      <c r="R13" s="34"/>
      <c r="S13" s="34"/>
      <c r="T13" s="34"/>
    </row>
    <row r="14" ht="15.75" hidden="1" customHeight="1">
      <c r="B14" s="99">
        <v>46267.0</v>
      </c>
      <c r="C14" s="103" t="s">
        <v>3665</v>
      </c>
      <c r="D14" s="65" t="s">
        <v>3666</v>
      </c>
      <c r="E14" s="87" t="s">
        <v>35</v>
      </c>
      <c r="F14" s="87">
        <v>16169.4</v>
      </c>
      <c r="G14" s="65" t="s">
        <v>3667</v>
      </c>
      <c r="H14" s="65"/>
      <c r="I14" s="65" t="s">
        <v>32</v>
      </c>
      <c r="J14" s="65" t="s">
        <v>34</v>
      </c>
      <c r="K14" s="65"/>
      <c r="L14" s="65" t="s">
        <v>279</v>
      </c>
      <c r="M14" s="89">
        <v>1.0</v>
      </c>
      <c r="N14" s="90">
        <v>46267.0</v>
      </c>
      <c r="O14" s="42" t="b">
        <v>0</v>
      </c>
      <c r="P14" s="44"/>
      <c r="Q14" s="34"/>
      <c r="R14" s="34"/>
      <c r="S14" s="34"/>
      <c r="T14" s="34"/>
    </row>
    <row r="15" ht="15.75" customHeight="1">
      <c r="B15" s="99">
        <v>46267.0</v>
      </c>
      <c r="C15" s="103" t="s">
        <v>3676</v>
      </c>
      <c r="D15" s="65" t="s">
        <v>3677</v>
      </c>
      <c r="E15" s="87" t="s">
        <v>35</v>
      </c>
      <c r="F15" s="87">
        <v>13986.1</v>
      </c>
      <c r="G15" s="65" t="s">
        <v>3678</v>
      </c>
      <c r="H15" s="65" t="s">
        <v>3679</v>
      </c>
      <c r="I15" s="65" t="s">
        <v>41</v>
      </c>
      <c r="J15" s="65" t="s">
        <v>34</v>
      </c>
      <c r="K15" s="65"/>
      <c r="L15" s="65" t="s">
        <v>96</v>
      </c>
      <c r="M15" s="89">
        <v>31.0</v>
      </c>
      <c r="N15" s="93" t="s">
        <v>3686</v>
      </c>
      <c r="O15" s="42" t="b">
        <v>0</v>
      </c>
      <c r="P15" s="44"/>
      <c r="Q15" s="34"/>
      <c r="R15" s="34"/>
      <c r="S15" s="34"/>
      <c r="T15" s="34"/>
    </row>
    <row r="16" ht="15.75" hidden="1" customHeight="1">
      <c r="B16" s="99">
        <v>46267.0</v>
      </c>
      <c r="C16" s="103" t="s">
        <v>35</v>
      </c>
      <c r="D16" s="65">
        <v>40.0</v>
      </c>
      <c r="E16" s="87">
        <v>650.0</v>
      </c>
      <c r="F16" s="87">
        <v>26000.0</v>
      </c>
      <c r="G16" s="65" t="s">
        <v>3691</v>
      </c>
      <c r="H16" s="65"/>
      <c r="I16" s="65" t="s">
        <v>3692</v>
      </c>
      <c r="J16" s="65" t="s">
        <v>34</v>
      </c>
      <c r="K16" s="65"/>
      <c r="L16" s="65" t="s">
        <v>3693</v>
      </c>
      <c r="M16" s="89">
        <v>31.0</v>
      </c>
      <c r="N16" s="90">
        <v>46267.0</v>
      </c>
      <c r="O16" s="42" t="b">
        <v>0</v>
      </c>
      <c r="P16" s="44"/>
      <c r="Q16" s="34"/>
      <c r="R16" s="34"/>
      <c r="S16" s="34"/>
      <c r="T16" s="34"/>
    </row>
    <row r="17" ht="15.75" hidden="1" customHeight="1">
      <c r="B17" s="99">
        <v>46267.0</v>
      </c>
      <c r="C17" s="103" t="s">
        <v>3697</v>
      </c>
      <c r="D17" s="65" t="s">
        <v>3698</v>
      </c>
      <c r="E17" s="87">
        <v>6.99</v>
      </c>
      <c r="F17" s="87">
        <v>1398.0</v>
      </c>
      <c r="G17" s="65" t="s">
        <v>3699</v>
      </c>
      <c r="H17" s="65" t="s">
        <v>1996</v>
      </c>
      <c r="I17" s="65" t="s">
        <v>79</v>
      </c>
      <c r="J17" s="65" t="s">
        <v>40</v>
      </c>
      <c r="K17" s="65"/>
      <c r="L17" s="65" t="s">
        <v>96</v>
      </c>
      <c r="M17" s="89">
        <v>31.0</v>
      </c>
      <c r="N17" s="90">
        <v>46268.0</v>
      </c>
      <c r="O17" s="42" t="b">
        <v>0</v>
      </c>
      <c r="P17" s="44"/>
      <c r="Q17" s="34"/>
      <c r="R17" s="34"/>
      <c r="S17" s="34"/>
      <c r="T17" s="34"/>
    </row>
    <row r="18" ht="15.75" hidden="1" customHeight="1">
      <c r="B18" s="99">
        <v>46267.0</v>
      </c>
      <c r="C18" s="103" t="s">
        <v>3703</v>
      </c>
      <c r="D18" s="65" t="s">
        <v>3704</v>
      </c>
      <c r="E18" s="87">
        <v>3870.0</v>
      </c>
      <c r="F18" s="87">
        <v>3870.0</v>
      </c>
      <c r="G18" s="65" t="s">
        <v>3705</v>
      </c>
      <c r="H18" s="65" t="s">
        <v>3706</v>
      </c>
      <c r="I18" s="65" t="s">
        <v>41</v>
      </c>
      <c r="J18" s="65" t="s">
        <v>34</v>
      </c>
      <c r="K18" s="65"/>
      <c r="L18" s="65" t="s">
        <v>46</v>
      </c>
      <c r="M18" s="89">
        <v>31.0</v>
      </c>
      <c r="N18" s="90">
        <v>46267.0</v>
      </c>
      <c r="O18" s="42" t="b">
        <v>0</v>
      </c>
      <c r="P18" s="44"/>
      <c r="Q18" s="34"/>
      <c r="R18" s="34"/>
      <c r="S18" s="34"/>
      <c r="T18" s="34"/>
    </row>
    <row r="19" ht="15.75" customHeight="1">
      <c r="B19" s="99">
        <v>46267.0</v>
      </c>
      <c r="C19" s="100" t="s">
        <v>35</v>
      </c>
      <c r="D19" s="65">
        <v>1.0</v>
      </c>
      <c r="E19" s="87">
        <v>6920.0</v>
      </c>
      <c r="F19" s="87">
        <v>6920.0</v>
      </c>
      <c r="G19" s="65" t="s">
        <v>3711</v>
      </c>
      <c r="H19" s="65"/>
      <c r="I19" s="65" t="s">
        <v>221</v>
      </c>
      <c r="J19" s="65" t="s">
        <v>34</v>
      </c>
      <c r="K19" s="65"/>
      <c r="L19" s="65" t="s">
        <v>3576</v>
      </c>
      <c r="M19" s="89">
        <v>31.0</v>
      </c>
      <c r="N19" s="93" t="s">
        <v>3686</v>
      </c>
      <c r="O19" s="42" t="b">
        <v>0</v>
      </c>
      <c r="P19" s="44"/>
      <c r="Q19" s="34"/>
      <c r="R19" s="34"/>
      <c r="S19" s="34"/>
      <c r="T19" s="34"/>
    </row>
    <row r="20" ht="15.75" hidden="1" customHeight="1">
      <c r="B20" s="99">
        <v>46267.0</v>
      </c>
      <c r="C20" s="103" t="s">
        <v>3716</v>
      </c>
      <c r="D20" s="65">
        <v>111.0</v>
      </c>
      <c r="E20" s="87">
        <v>90.0</v>
      </c>
      <c r="F20" s="87">
        <v>9990.0</v>
      </c>
      <c r="G20" s="65" t="s">
        <v>3605</v>
      </c>
      <c r="H20" s="65"/>
      <c r="I20" s="65" t="s">
        <v>41</v>
      </c>
      <c r="J20" s="65" t="s">
        <v>40</v>
      </c>
      <c r="K20" s="65" t="s">
        <v>3721</v>
      </c>
      <c r="L20" s="65" t="s">
        <v>3597</v>
      </c>
      <c r="M20" s="89">
        <v>31.0</v>
      </c>
      <c r="N20" s="90">
        <v>46269.0</v>
      </c>
      <c r="O20" s="42" t="b">
        <v>0</v>
      </c>
      <c r="P20" s="44"/>
      <c r="Q20" s="34"/>
      <c r="R20" s="34"/>
      <c r="S20" s="34"/>
      <c r="T20" s="34"/>
    </row>
    <row r="21" ht="15.75" hidden="1" customHeight="1">
      <c r="B21" s="99">
        <v>46267.0</v>
      </c>
      <c r="C21" s="100">
        <v>20111.0</v>
      </c>
      <c r="D21" s="65">
        <v>100.0</v>
      </c>
      <c r="E21" s="87">
        <v>305.0</v>
      </c>
      <c r="F21" s="87">
        <v>305000.0</v>
      </c>
      <c r="G21" s="65" t="s">
        <v>3728</v>
      </c>
      <c r="H21" s="65" t="s">
        <v>945</v>
      </c>
      <c r="I21" s="65" t="s">
        <v>41</v>
      </c>
      <c r="J21" s="65" t="s">
        <v>34</v>
      </c>
      <c r="K21" s="65"/>
      <c r="L21" s="65" t="s">
        <v>87</v>
      </c>
      <c r="M21" s="89">
        <v>31.0</v>
      </c>
      <c r="N21" s="90">
        <v>46272.0</v>
      </c>
      <c r="O21" s="42" t="b">
        <v>0</v>
      </c>
      <c r="P21" s="44">
        <v>46273.0</v>
      </c>
      <c r="Q21" s="34"/>
      <c r="R21" s="34"/>
      <c r="S21" s="34"/>
      <c r="T21" s="34"/>
    </row>
    <row r="22" ht="15.75" hidden="1" customHeight="1">
      <c r="B22" s="99">
        <v>46267.0</v>
      </c>
      <c r="C22" s="100">
        <v>20110.0</v>
      </c>
      <c r="D22" s="65">
        <v>50.0</v>
      </c>
      <c r="E22" s="87">
        <v>61.2</v>
      </c>
      <c r="F22" s="87">
        <v>3060.0</v>
      </c>
      <c r="G22" s="65" t="s">
        <v>3736</v>
      </c>
      <c r="H22" s="65" t="s">
        <v>3737</v>
      </c>
      <c r="I22" s="65" t="s">
        <v>41</v>
      </c>
      <c r="J22" s="65" t="s">
        <v>34</v>
      </c>
      <c r="K22" s="65"/>
      <c r="L22" s="65" t="s">
        <v>87</v>
      </c>
      <c r="M22" s="89">
        <v>31.0</v>
      </c>
      <c r="N22" s="90">
        <v>46268.0</v>
      </c>
      <c r="O22" s="42" t="b">
        <v>0</v>
      </c>
      <c r="P22" s="44">
        <v>46273.0</v>
      </c>
      <c r="Q22" s="34"/>
      <c r="R22" s="34"/>
      <c r="S22" s="34"/>
      <c r="T22" s="34"/>
    </row>
    <row r="23" ht="15.75" hidden="1" customHeight="1">
      <c r="B23" s="99">
        <v>46267.0</v>
      </c>
      <c r="C23" s="103" t="s">
        <v>3743</v>
      </c>
      <c r="D23" s="65">
        <v>50.0</v>
      </c>
      <c r="E23" s="87">
        <v>76.5</v>
      </c>
      <c r="F23" s="87">
        <v>3825.0</v>
      </c>
      <c r="G23" s="65" t="s">
        <v>3745</v>
      </c>
      <c r="H23" s="65" t="s">
        <v>116</v>
      </c>
      <c r="I23" s="65" t="s">
        <v>41</v>
      </c>
      <c r="J23" s="65" t="s">
        <v>34</v>
      </c>
      <c r="K23" s="65"/>
      <c r="L23" s="65" t="s">
        <v>87</v>
      </c>
      <c r="M23" s="89">
        <v>31.0</v>
      </c>
      <c r="N23" s="90">
        <v>46268.0</v>
      </c>
      <c r="O23" s="42" t="b">
        <v>0</v>
      </c>
      <c r="P23" s="44">
        <v>46273.0</v>
      </c>
      <c r="Q23" s="34"/>
      <c r="R23" s="34"/>
      <c r="S23" s="34"/>
      <c r="T23" s="34"/>
    </row>
    <row r="24" ht="15.75" hidden="1" customHeight="1">
      <c r="B24" s="99">
        <v>46267.0</v>
      </c>
      <c r="C24" s="103"/>
      <c r="D24" s="65">
        <v>1000.0</v>
      </c>
      <c r="E24" s="87">
        <v>63.35</v>
      </c>
      <c r="F24" s="87">
        <v>63350.0</v>
      </c>
      <c r="G24" s="65" t="s">
        <v>3752</v>
      </c>
      <c r="H24" s="65" t="s">
        <v>3753</v>
      </c>
      <c r="I24" s="65" t="s">
        <v>41</v>
      </c>
      <c r="J24" s="65" t="s">
        <v>40</v>
      </c>
      <c r="K24" s="65" t="s">
        <v>3754</v>
      </c>
      <c r="L24" s="65" t="s">
        <v>365</v>
      </c>
      <c r="M24" s="89" t="s">
        <v>3464</v>
      </c>
      <c r="N24" s="90">
        <v>46274.0</v>
      </c>
      <c r="O24" s="42" t="b">
        <v>0</v>
      </c>
      <c r="P24" s="44"/>
      <c r="Q24" s="34"/>
      <c r="R24" s="34"/>
      <c r="S24" s="34"/>
      <c r="T24" s="34"/>
    </row>
    <row r="25" ht="15.75" hidden="1" customHeight="1">
      <c r="B25" s="99">
        <v>46268.0</v>
      </c>
      <c r="C25" s="103" t="s">
        <v>3757</v>
      </c>
      <c r="D25" s="65">
        <v>30.0</v>
      </c>
      <c r="E25" s="87">
        <v>29.7</v>
      </c>
      <c r="F25" s="87">
        <v>891.0</v>
      </c>
      <c r="G25" s="65" t="s">
        <v>3760</v>
      </c>
      <c r="H25" s="65" t="s">
        <v>3762</v>
      </c>
      <c r="I25" s="65" t="s">
        <v>59</v>
      </c>
      <c r="J25" s="65" t="s">
        <v>34</v>
      </c>
      <c r="K25" s="65"/>
      <c r="L25" s="65" t="s">
        <v>87</v>
      </c>
      <c r="M25" s="89">
        <v>31.0</v>
      </c>
      <c r="N25" s="90">
        <v>46268.0</v>
      </c>
      <c r="O25" s="42" t="b">
        <v>0</v>
      </c>
      <c r="P25" s="44"/>
      <c r="Q25" s="34"/>
      <c r="R25" s="34"/>
      <c r="S25" s="34"/>
      <c r="T25" s="34"/>
    </row>
    <row r="26" ht="15.75" hidden="1" customHeight="1">
      <c r="B26" s="99">
        <v>46268.0</v>
      </c>
      <c r="C26" s="100">
        <v>20299.0</v>
      </c>
      <c r="D26" s="65">
        <v>20.0</v>
      </c>
      <c r="E26" s="87">
        <v>234.0</v>
      </c>
      <c r="F26" s="87">
        <v>4680.0</v>
      </c>
      <c r="G26" s="65" t="s">
        <v>3768</v>
      </c>
      <c r="H26" s="65" t="s">
        <v>3769</v>
      </c>
      <c r="I26" s="65" t="s">
        <v>32</v>
      </c>
      <c r="J26" s="65" t="s">
        <v>34</v>
      </c>
      <c r="K26" s="65"/>
      <c r="L26" s="65" t="s">
        <v>87</v>
      </c>
      <c r="M26" s="89">
        <v>31.0</v>
      </c>
      <c r="N26" s="90">
        <v>46276.0</v>
      </c>
      <c r="O26" s="42" t="b">
        <v>0</v>
      </c>
      <c r="P26" s="44">
        <v>46279.0</v>
      </c>
      <c r="Q26" s="34"/>
      <c r="R26" s="34"/>
      <c r="S26" s="34"/>
      <c r="T26" s="34"/>
    </row>
    <row r="27" ht="15.75" hidden="1" customHeight="1">
      <c r="B27" s="99">
        <v>46268.0</v>
      </c>
      <c r="C27" s="100">
        <v>20316.0</v>
      </c>
      <c r="D27" s="65" t="s">
        <v>3773</v>
      </c>
      <c r="E27" s="87" t="s">
        <v>35</v>
      </c>
      <c r="F27" s="87">
        <v>2290.0</v>
      </c>
      <c r="G27" s="65" t="s">
        <v>3775</v>
      </c>
      <c r="H27" s="65" t="s">
        <v>3776</v>
      </c>
      <c r="I27" s="65" t="s">
        <v>41</v>
      </c>
      <c r="J27" s="65" t="s">
        <v>34</v>
      </c>
      <c r="K27" s="65"/>
      <c r="L27" s="65" t="s">
        <v>87</v>
      </c>
      <c r="M27" s="89">
        <v>31.0</v>
      </c>
      <c r="N27" s="90">
        <v>46276.0</v>
      </c>
      <c r="O27" s="42" t="b">
        <v>0</v>
      </c>
      <c r="P27" s="44">
        <v>46279.0</v>
      </c>
      <c r="Q27" s="34"/>
      <c r="R27" s="34"/>
      <c r="S27" s="34"/>
      <c r="T27" s="34"/>
    </row>
    <row r="28" ht="15.75" hidden="1" customHeight="1">
      <c r="B28" s="99">
        <v>46268.0</v>
      </c>
      <c r="C28" s="100">
        <v>20393.0</v>
      </c>
      <c r="D28" s="65">
        <v>100.0</v>
      </c>
      <c r="E28" s="87">
        <v>18.0</v>
      </c>
      <c r="F28" s="87">
        <v>1800.0</v>
      </c>
      <c r="G28" s="65" t="s">
        <v>3781</v>
      </c>
      <c r="H28" s="65" t="s">
        <v>3782</v>
      </c>
      <c r="I28" s="65" t="s">
        <v>240</v>
      </c>
      <c r="J28" s="65" t="s">
        <v>34</v>
      </c>
      <c r="K28" s="65"/>
      <c r="L28" s="65" t="s">
        <v>87</v>
      </c>
      <c r="M28" s="89">
        <v>31.0</v>
      </c>
      <c r="N28" s="90">
        <v>46269.0</v>
      </c>
      <c r="O28" s="42" t="b">
        <v>0</v>
      </c>
      <c r="P28" s="44">
        <v>46275.0</v>
      </c>
      <c r="Q28" s="34"/>
      <c r="R28" s="34"/>
      <c r="S28" s="34"/>
      <c r="T28" s="34"/>
    </row>
    <row r="29" ht="15.75" hidden="1" customHeight="1">
      <c r="B29" s="99">
        <v>46268.0</v>
      </c>
      <c r="C29" s="100">
        <v>20392.0</v>
      </c>
      <c r="D29" s="65">
        <v>100.0</v>
      </c>
      <c r="E29" s="87">
        <v>72.0</v>
      </c>
      <c r="F29" s="87">
        <v>14400.0</v>
      </c>
      <c r="G29" s="65" t="s">
        <v>3791</v>
      </c>
      <c r="H29" s="65" t="s">
        <v>3689</v>
      </c>
      <c r="I29" s="65" t="s">
        <v>240</v>
      </c>
      <c r="J29" s="65" t="s">
        <v>34</v>
      </c>
      <c r="K29" s="65"/>
      <c r="L29" s="65" t="s">
        <v>87</v>
      </c>
      <c r="M29" s="89">
        <v>31.0</v>
      </c>
      <c r="N29" s="90">
        <v>46269.0</v>
      </c>
      <c r="O29" s="42" t="b">
        <v>0</v>
      </c>
      <c r="P29" s="44"/>
      <c r="Q29" s="34"/>
      <c r="R29" s="34"/>
      <c r="S29" s="34"/>
      <c r="T29" s="34"/>
    </row>
    <row r="30" ht="15.75" hidden="1" customHeight="1">
      <c r="B30" s="99">
        <v>46268.0</v>
      </c>
      <c r="C30" s="100">
        <v>20391.0</v>
      </c>
      <c r="D30" s="65">
        <v>80.0</v>
      </c>
      <c r="E30" s="87">
        <v>135.0</v>
      </c>
      <c r="F30" s="87">
        <v>10800.0</v>
      </c>
      <c r="G30" s="65" t="s">
        <v>3798</v>
      </c>
      <c r="H30" s="65" t="s">
        <v>3371</v>
      </c>
      <c r="I30" s="65" t="s">
        <v>240</v>
      </c>
      <c r="J30" s="65" t="s">
        <v>34</v>
      </c>
      <c r="K30" s="65"/>
      <c r="L30" s="65" t="s">
        <v>87</v>
      </c>
      <c r="M30" s="89">
        <v>31.0</v>
      </c>
      <c r="N30" s="90">
        <v>46269.0</v>
      </c>
      <c r="O30" s="42" t="b">
        <v>0</v>
      </c>
      <c r="P30" s="44">
        <v>46275.0</v>
      </c>
      <c r="Q30" s="34"/>
      <c r="R30" s="34"/>
      <c r="S30" s="34"/>
      <c r="T30" s="34"/>
    </row>
    <row r="31" ht="15.75" hidden="1" customHeight="1">
      <c r="B31" s="99">
        <v>46268.0</v>
      </c>
      <c r="C31" s="100">
        <v>30505.0</v>
      </c>
      <c r="D31" s="65" t="s">
        <v>3805</v>
      </c>
      <c r="E31" s="87" t="s">
        <v>35</v>
      </c>
      <c r="F31" s="87">
        <v>17643.6</v>
      </c>
      <c r="G31" s="65" t="s">
        <v>3806</v>
      </c>
      <c r="H31" s="65" t="s">
        <v>3807</v>
      </c>
      <c r="I31" s="65" t="s">
        <v>41</v>
      </c>
      <c r="J31" s="65" t="s">
        <v>34</v>
      </c>
      <c r="K31" s="65"/>
      <c r="L31" s="65" t="s">
        <v>96</v>
      </c>
      <c r="M31" s="89">
        <v>31.0</v>
      </c>
      <c r="N31" s="90">
        <v>46276.0</v>
      </c>
      <c r="O31" s="42" t="b">
        <v>0</v>
      </c>
      <c r="P31" s="44"/>
      <c r="Q31" s="34"/>
      <c r="R31" s="34"/>
      <c r="S31" s="34"/>
      <c r="T31" s="34"/>
    </row>
    <row r="32" ht="15.75" hidden="1" customHeight="1">
      <c r="B32" s="99">
        <v>46268.0</v>
      </c>
      <c r="C32" s="100">
        <v>9969.0</v>
      </c>
      <c r="D32" s="65">
        <v>100.0</v>
      </c>
      <c r="E32" s="87">
        <v>20.7</v>
      </c>
      <c r="F32" s="87">
        <v>2070.0</v>
      </c>
      <c r="G32" s="65" t="s">
        <v>3813</v>
      </c>
      <c r="H32" s="65" t="s">
        <v>3814</v>
      </c>
      <c r="I32" s="65" t="s">
        <v>41</v>
      </c>
      <c r="J32" s="65" t="s">
        <v>34</v>
      </c>
      <c r="K32" s="65"/>
      <c r="L32" s="65" t="s">
        <v>62</v>
      </c>
      <c r="M32" s="89">
        <v>31.0</v>
      </c>
      <c r="N32" s="90">
        <v>46273.0</v>
      </c>
      <c r="O32" s="42" t="b">
        <v>0</v>
      </c>
      <c r="P32" s="44"/>
      <c r="Q32" s="34"/>
      <c r="R32" s="34"/>
      <c r="S32" s="34"/>
      <c r="T32" s="34"/>
    </row>
    <row r="33" ht="15.75" hidden="1" customHeight="1">
      <c r="B33" s="99">
        <v>46268.0</v>
      </c>
      <c r="C33" s="100">
        <v>9996.0</v>
      </c>
      <c r="D33" s="65">
        <v>100.0</v>
      </c>
      <c r="E33" s="87">
        <v>324.0</v>
      </c>
      <c r="F33" s="87">
        <v>32400.0</v>
      </c>
      <c r="G33" s="65" t="s">
        <v>3817</v>
      </c>
      <c r="H33" s="65" t="s">
        <v>3818</v>
      </c>
      <c r="I33" s="65" t="s">
        <v>240</v>
      </c>
      <c r="J33" s="65" t="s">
        <v>34</v>
      </c>
      <c r="K33" s="65"/>
      <c r="L33" s="65" t="s">
        <v>62</v>
      </c>
      <c r="M33" s="89">
        <v>31.0</v>
      </c>
      <c r="N33" s="90">
        <v>46271.0</v>
      </c>
      <c r="O33" s="42" t="b">
        <v>0</v>
      </c>
      <c r="P33" s="44"/>
      <c r="Q33" s="34"/>
      <c r="R33" s="34"/>
      <c r="S33" s="34"/>
      <c r="T33" s="34"/>
    </row>
    <row r="34" ht="15.75" hidden="1" customHeight="1">
      <c r="B34" s="99">
        <v>46269.0</v>
      </c>
      <c r="C34" s="100" t="s">
        <v>35</v>
      </c>
      <c r="D34" s="65">
        <v>100.0</v>
      </c>
      <c r="E34" s="87">
        <v>31.0</v>
      </c>
      <c r="F34" s="87">
        <v>3100.0</v>
      </c>
      <c r="G34" s="65" t="s">
        <v>3822</v>
      </c>
      <c r="H34" s="65"/>
      <c r="I34" s="65" t="s">
        <v>3823</v>
      </c>
      <c r="J34" s="65" t="s">
        <v>34</v>
      </c>
      <c r="K34" s="65" t="s">
        <v>3824</v>
      </c>
      <c r="L34" s="65"/>
      <c r="M34" s="89">
        <v>31.0</v>
      </c>
      <c r="N34" s="90">
        <v>46274.0</v>
      </c>
      <c r="O34" s="42" t="b">
        <v>0</v>
      </c>
      <c r="P34" s="44">
        <v>46274.0</v>
      </c>
      <c r="Q34" s="34"/>
      <c r="R34" s="34"/>
      <c r="S34" s="34"/>
      <c r="T34" s="34"/>
    </row>
    <row r="35" ht="15.75" hidden="1" customHeight="1">
      <c r="B35" s="104">
        <v>46269.0</v>
      </c>
      <c r="C35" s="100">
        <v>30618.0</v>
      </c>
      <c r="D35" s="65" t="s">
        <v>3831</v>
      </c>
      <c r="E35" s="87" t="s">
        <v>35</v>
      </c>
      <c r="F35" s="87">
        <v>4775.6</v>
      </c>
      <c r="G35" s="65" t="s">
        <v>3832</v>
      </c>
      <c r="H35" s="65" t="s">
        <v>3833</v>
      </c>
      <c r="I35" s="65" t="s">
        <v>3835</v>
      </c>
      <c r="J35" s="65" t="s">
        <v>3254</v>
      </c>
      <c r="K35" s="65"/>
      <c r="L35" s="65" t="s">
        <v>96</v>
      </c>
      <c r="M35" s="89">
        <v>1.0</v>
      </c>
      <c r="N35" s="90">
        <v>46276.0</v>
      </c>
      <c r="O35" s="42" t="b">
        <v>0</v>
      </c>
      <c r="P35" s="44">
        <v>46277.0</v>
      </c>
      <c r="Q35" s="34"/>
      <c r="R35" s="34"/>
      <c r="S35" s="34"/>
      <c r="T35" s="34"/>
    </row>
    <row r="36" ht="15.75" hidden="1" customHeight="1">
      <c r="B36" s="95">
        <v>46269.0</v>
      </c>
      <c r="C36" s="100"/>
      <c r="D36" s="65">
        <v>40.0</v>
      </c>
      <c r="E36" s="87">
        <v>48.66</v>
      </c>
      <c r="F36" s="87">
        <v>1946.68</v>
      </c>
      <c r="G36" s="65" t="s">
        <v>3841</v>
      </c>
      <c r="H36" s="65" t="s">
        <v>2292</v>
      </c>
      <c r="I36" s="65" t="s">
        <v>41</v>
      </c>
      <c r="J36" s="65" t="s">
        <v>34</v>
      </c>
      <c r="K36" s="65"/>
      <c r="L36" s="65" t="s">
        <v>160</v>
      </c>
      <c r="M36" s="89">
        <v>31.0</v>
      </c>
      <c r="N36" s="90"/>
      <c r="O36" s="42" t="b">
        <v>0</v>
      </c>
      <c r="P36" s="44"/>
      <c r="Q36" s="34"/>
      <c r="R36" s="34"/>
      <c r="S36" s="34"/>
      <c r="T36" s="34"/>
    </row>
    <row r="37" ht="15.75" hidden="1" customHeight="1">
      <c r="B37" s="95">
        <v>46269.0</v>
      </c>
      <c r="C37" s="100">
        <v>30621.0</v>
      </c>
      <c r="D37" s="65" t="s">
        <v>3847</v>
      </c>
      <c r="E37" s="87" t="s">
        <v>35</v>
      </c>
      <c r="F37" s="87">
        <v>7288.08</v>
      </c>
      <c r="G37" s="65" t="s">
        <v>3850</v>
      </c>
      <c r="H37" s="65" t="s">
        <v>3851</v>
      </c>
      <c r="I37" s="65" t="s">
        <v>3835</v>
      </c>
      <c r="J37" s="65" t="s">
        <v>3254</v>
      </c>
      <c r="K37" s="65"/>
      <c r="L37" s="65" t="s">
        <v>96</v>
      </c>
      <c r="M37" s="89">
        <v>1.0</v>
      </c>
      <c r="N37" s="90">
        <v>46276.0</v>
      </c>
      <c r="O37" s="42" t="b">
        <v>0</v>
      </c>
      <c r="P37" s="44">
        <v>46277.0</v>
      </c>
      <c r="Q37" s="34"/>
      <c r="R37" s="34"/>
      <c r="S37" s="34"/>
      <c r="T37" s="34"/>
    </row>
    <row r="38" ht="15.75" customHeight="1">
      <c r="B38" s="104">
        <v>46269.0</v>
      </c>
      <c r="C38" s="100">
        <v>240841.0</v>
      </c>
      <c r="D38" s="65">
        <v>46.0</v>
      </c>
      <c r="E38" s="87">
        <v>390.9</v>
      </c>
      <c r="F38" s="87">
        <v>20162.8</v>
      </c>
      <c r="G38" s="65" t="s">
        <v>3857</v>
      </c>
      <c r="H38" s="65"/>
      <c r="I38" s="65" t="s">
        <v>175</v>
      </c>
      <c r="J38" s="65" t="s">
        <v>34</v>
      </c>
      <c r="K38" s="65"/>
      <c r="L38" s="65" t="s">
        <v>3859</v>
      </c>
      <c r="M38" s="89">
        <v>1.0</v>
      </c>
      <c r="N38" s="93" t="s">
        <v>3686</v>
      </c>
      <c r="O38" s="42" t="b">
        <v>0</v>
      </c>
      <c r="P38" s="44"/>
      <c r="Q38" s="34"/>
      <c r="R38" s="34"/>
      <c r="S38" s="34"/>
      <c r="T38" s="34"/>
    </row>
    <row r="39" ht="15.75" customHeight="1">
      <c r="B39" s="104">
        <v>46269.0</v>
      </c>
      <c r="C39" s="100">
        <v>27315.0</v>
      </c>
      <c r="D39" s="65">
        <v>38.0</v>
      </c>
      <c r="E39" s="87">
        <v>120.0</v>
      </c>
      <c r="F39" s="87">
        <v>5160.0</v>
      </c>
      <c r="G39" s="65" t="s">
        <v>3866</v>
      </c>
      <c r="H39" s="65"/>
      <c r="I39" s="65" t="s">
        <v>175</v>
      </c>
      <c r="J39" s="65" t="s">
        <v>34</v>
      </c>
      <c r="K39" s="65"/>
      <c r="L39" s="65" t="s">
        <v>3867</v>
      </c>
      <c r="M39" s="89">
        <v>1.0</v>
      </c>
      <c r="N39" s="93" t="s">
        <v>3686</v>
      </c>
      <c r="O39" s="42" t="b">
        <v>0</v>
      </c>
      <c r="P39" s="44"/>
      <c r="Q39" s="34"/>
      <c r="R39" s="34"/>
      <c r="S39" s="34"/>
      <c r="T39" s="34"/>
    </row>
    <row r="40" ht="15.75" hidden="1" customHeight="1">
      <c r="B40" s="104">
        <v>46272.0</v>
      </c>
      <c r="C40" s="100">
        <v>30711.0</v>
      </c>
      <c r="D40" s="65" t="s">
        <v>3869</v>
      </c>
      <c r="E40" s="87" t="s">
        <v>35</v>
      </c>
      <c r="F40" s="87">
        <v>12335.0</v>
      </c>
      <c r="G40" s="65" t="s">
        <v>3870</v>
      </c>
      <c r="H40" s="65" t="s">
        <v>3871</v>
      </c>
      <c r="I40" s="65" t="s">
        <v>240</v>
      </c>
      <c r="J40" s="65" t="s">
        <v>34</v>
      </c>
      <c r="K40" s="65"/>
      <c r="L40" s="65" t="s">
        <v>96</v>
      </c>
      <c r="M40" s="89">
        <v>1.0</v>
      </c>
      <c r="N40" s="90">
        <v>46276.0</v>
      </c>
      <c r="O40" s="42" t="b">
        <v>0</v>
      </c>
      <c r="P40" s="44">
        <v>46277.0</v>
      </c>
      <c r="Q40" s="34"/>
      <c r="R40" s="34"/>
      <c r="S40" s="34"/>
      <c r="T40" s="34"/>
    </row>
    <row r="41" ht="15.75" hidden="1" customHeight="1">
      <c r="B41" s="104">
        <v>46273.0</v>
      </c>
      <c r="C41" s="100" t="s">
        <v>35</v>
      </c>
      <c r="D41" s="65">
        <v>100.0</v>
      </c>
      <c r="E41" s="87">
        <v>235.0</v>
      </c>
      <c r="F41" s="87">
        <v>23500.0</v>
      </c>
      <c r="G41" s="65" t="s">
        <v>3873</v>
      </c>
      <c r="H41" s="65"/>
      <c r="I41" s="65" t="s">
        <v>41</v>
      </c>
      <c r="J41" s="65" t="s">
        <v>40</v>
      </c>
      <c r="K41" s="65"/>
      <c r="L41" s="65" t="s">
        <v>3876</v>
      </c>
      <c r="M41" s="89">
        <v>31.0</v>
      </c>
      <c r="N41" s="90">
        <v>46275.0</v>
      </c>
      <c r="O41" s="42" t="b">
        <v>0</v>
      </c>
      <c r="P41" s="44">
        <v>46276.0</v>
      </c>
      <c r="Q41" s="34"/>
      <c r="R41" s="34"/>
      <c r="S41" s="34"/>
      <c r="T41" s="34"/>
    </row>
    <row r="42" ht="15.75" hidden="1" customHeight="1">
      <c r="B42" s="99">
        <v>46273.0</v>
      </c>
      <c r="C42" s="100">
        <v>30771.0</v>
      </c>
      <c r="D42" s="65">
        <v>1.0</v>
      </c>
      <c r="E42" s="87">
        <v>349.9</v>
      </c>
      <c r="F42" s="87">
        <v>349.9</v>
      </c>
      <c r="G42" s="65" t="s">
        <v>3878</v>
      </c>
      <c r="H42" s="65" t="s">
        <v>3879</v>
      </c>
      <c r="I42" s="65" t="s">
        <v>240</v>
      </c>
      <c r="J42" s="65" t="s">
        <v>34</v>
      </c>
      <c r="K42" s="65"/>
      <c r="L42" s="65" t="s">
        <v>96</v>
      </c>
      <c r="M42" s="89">
        <v>1.0</v>
      </c>
      <c r="N42" s="90">
        <v>46276.0</v>
      </c>
      <c r="O42" s="42" t="b">
        <v>0</v>
      </c>
      <c r="P42" s="44">
        <v>46277.0</v>
      </c>
      <c r="Q42" s="34"/>
      <c r="R42" s="34"/>
      <c r="S42" s="34"/>
      <c r="T42" s="34"/>
    </row>
    <row r="43" ht="15.75" hidden="1" customHeight="1">
      <c r="B43" s="114">
        <v>46273.0</v>
      </c>
      <c r="C43" s="91" t="s">
        <v>3885</v>
      </c>
      <c r="D43" s="65" t="s">
        <v>3886</v>
      </c>
      <c r="E43" s="87" t="s">
        <v>35</v>
      </c>
      <c r="F43" s="87">
        <v>1215.0</v>
      </c>
      <c r="G43" s="65" t="s">
        <v>3887</v>
      </c>
      <c r="H43" s="65" t="s">
        <v>3888</v>
      </c>
      <c r="I43" s="65" t="s">
        <v>41</v>
      </c>
      <c r="J43" s="65" t="s">
        <v>34</v>
      </c>
      <c r="K43" s="65"/>
      <c r="L43" s="65" t="s">
        <v>241</v>
      </c>
      <c r="M43" s="89">
        <v>1.0</v>
      </c>
      <c r="N43" s="90">
        <v>46279.0</v>
      </c>
      <c r="O43" s="42" t="b">
        <v>0</v>
      </c>
      <c r="P43" s="44">
        <v>46280.0</v>
      </c>
      <c r="Q43" s="34"/>
      <c r="R43" s="34"/>
      <c r="S43" s="34"/>
      <c r="T43" s="34"/>
    </row>
    <row r="44" ht="15.75" hidden="1" customHeight="1">
      <c r="B44" s="86">
        <v>46273.0</v>
      </c>
      <c r="C44" s="91" t="s">
        <v>35</v>
      </c>
      <c r="D44" s="65">
        <v>2.0</v>
      </c>
      <c r="E44" s="87">
        <v>7000.0</v>
      </c>
      <c r="F44" s="87">
        <v>14000.0</v>
      </c>
      <c r="G44" s="65" t="s">
        <v>1762</v>
      </c>
      <c r="H44" s="65"/>
      <c r="I44" s="65" t="s">
        <v>221</v>
      </c>
      <c r="J44" s="65" t="s">
        <v>34</v>
      </c>
      <c r="K44" s="65"/>
      <c r="L44" s="65" t="s">
        <v>3892</v>
      </c>
      <c r="M44" s="89">
        <v>31.0</v>
      </c>
      <c r="N44" s="90">
        <v>46275.0</v>
      </c>
      <c r="O44" s="42" t="b">
        <v>0</v>
      </c>
      <c r="P44" s="44">
        <v>46276.0</v>
      </c>
      <c r="Q44" s="34"/>
      <c r="R44" s="34"/>
      <c r="S44" s="34"/>
      <c r="T44" s="34"/>
    </row>
    <row r="45" ht="15.75" customHeight="1">
      <c r="B45" s="86">
        <v>46273.0</v>
      </c>
      <c r="C45" s="91" t="s">
        <v>35</v>
      </c>
      <c r="D45" s="65">
        <v>1.0</v>
      </c>
      <c r="E45" s="87">
        <v>2743.9</v>
      </c>
      <c r="F45" s="87">
        <v>2743.9</v>
      </c>
      <c r="G45" s="65" t="s">
        <v>3893</v>
      </c>
      <c r="H45" s="65"/>
      <c r="I45" s="65" t="s">
        <v>175</v>
      </c>
      <c r="J45" s="65" t="s">
        <v>34</v>
      </c>
      <c r="K45" s="65"/>
      <c r="L45" s="65" t="s">
        <v>1265</v>
      </c>
      <c r="M45" s="89">
        <v>31.0</v>
      </c>
      <c r="N45" s="93" t="s">
        <v>3686</v>
      </c>
      <c r="O45" s="42" t="b">
        <v>0</v>
      </c>
      <c r="P45" s="44"/>
      <c r="Q45" s="34"/>
      <c r="R45" s="34"/>
      <c r="S45" s="34"/>
      <c r="T45" s="34"/>
    </row>
    <row r="46" ht="15.75" hidden="1" customHeight="1">
      <c r="B46" s="86">
        <v>46273.0</v>
      </c>
      <c r="C46" s="65">
        <v>10093.0</v>
      </c>
      <c r="D46" s="65">
        <v>100.0</v>
      </c>
      <c r="E46" s="87">
        <v>315.0</v>
      </c>
      <c r="F46" s="87">
        <v>31500.0</v>
      </c>
      <c r="G46" s="65" t="s">
        <v>3817</v>
      </c>
      <c r="H46" s="65" t="s">
        <v>3818</v>
      </c>
      <c r="I46" s="65" t="s">
        <v>59</v>
      </c>
      <c r="J46" s="65" t="s">
        <v>34</v>
      </c>
      <c r="K46" s="65"/>
      <c r="L46" s="65" t="s">
        <v>62</v>
      </c>
      <c r="M46" s="89">
        <v>31.0</v>
      </c>
      <c r="N46" s="90">
        <v>46269.0</v>
      </c>
      <c r="O46" s="42" t="b">
        <v>0</v>
      </c>
      <c r="P46" s="44"/>
      <c r="Q46" s="34"/>
      <c r="R46" s="33"/>
      <c r="S46" s="34"/>
      <c r="T46" s="35"/>
    </row>
    <row r="47" ht="15.75" hidden="1" customHeight="1">
      <c r="B47" s="86">
        <v>46273.0</v>
      </c>
      <c r="C47" s="91" t="s">
        <v>3897</v>
      </c>
      <c r="D47" s="65">
        <v>60.0</v>
      </c>
      <c r="E47" s="87">
        <v>315.0</v>
      </c>
      <c r="F47" s="87">
        <v>18900.0</v>
      </c>
      <c r="G47" s="65" t="s">
        <v>3817</v>
      </c>
      <c r="H47" s="65" t="s">
        <v>3818</v>
      </c>
      <c r="I47" s="65" t="s">
        <v>59</v>
      </c>
      <c r="J47" s="65" t="s">
        <v>34</v>
      </c>
      <c r="K47" s="65"/>
      <c r="L47" s="65" t="s">
        <v>62</v>
      </c>
      <c r="M47" s="89">
        <v>31.0</v>
      </c>
      <c r="N47" s="90">
        <v>46274.0</v>
      </c>
      <c r="O47" s="42" t="b">
        <v>0</v>
      </c>
      <c r="P47" s="44"/>
      <c r="Q47" s="34"/>
      <c r="R47" s="33"/>
      <c r="S47" s="34"/>
      <c r="T47" s="34"/>
    </row>
    <row r="48" ht="15.75" hidden="1" customHeight="1">
      <c r="B48" s="86">
        <v>46273.0</v>
      </c>
      <c r="C48" s="91" t="s">
        <v>3899</v>
      </c>
      <c r="D48" s="65">
        <v>20.0</v>
      </c>
      <c r="E48" s="87">
        <v>49.5</v>
      </c>
      <c r="F48" s="87">
        <v>990.0</v>
      </c>
      <c r="G48" s="65" t="s">
        <v>3900</v>
      </c>
      <c r="H48" s="65" t="s">
        <v>2928</v>
      </c>
      <c r="I48" s="65" t="s">
        <v>240</v>
      </c>
      <c r="J48" s="65" t="s">
        <v>34</v>
      </c>
      <c r="K48" s="65"/>
      <c r="L48" s="65" t="s">
        <v>87</v>
      </c>
      <c r="M48" s="89">
        <v>31.0</v>
      </c>
      <c r="N48" s="90">
        <v>46274.0</v>
      </c>
      <c r="O48" s="42" t="b">
        <v>0</v>
      </c>
      <c r="P48" s="44"/>
      <c r="Q48" s="34"/>
      <c r="R48" s="33"/>
      <c r="S48" s="34"/>
      <c r="T48" s="34"/>
    </row>
    <row r="49" ht="15.75" hidden="1" customHeight="1">
      <c r="B49" s="86">
        <v>46274.0</v>
      </c>
      <c r="C49" s="91" t="s">
        <v>3902</v>
      </c>
      <c r="D49" s="65">
        <v>55.0</v>
      </c>
      <c r="E49" s="87">
        <v>108.43</v>
      </c>
      <c r="F49" s="87">
        <v>5963.65</v>
      </c>
      <c r="G49" s="65" t="s">
        <v>3904</v>
      </c>
      <c r="H49" s="65" t="s">
        <v>3905</v>
      </c>
      <c r="I49" s="65" t="s">
        <v>41</v>
      </c>
      <c r="J49" s="65" t="s">
        <v>34</v>
      </c>
      <c r="K49" s="65"/>
      <c r="L49" s="65" t="s">
        <v>3906</v>
      </c>
      <c r="M49" s="89">
        <v>31.0</v>
      </c>
      <c r="N49" s="90">
        <v>46274.0</v>
      </c>
      <c r="O49" s="42" t="b">
        <v>0</v>
      </c>
      <c r="P49" s="44">
        <v>46279.0</v>
      </c>
      <c r="Q49" s="34"/>
      <c r="R49" s="33"/>
      <c r="S49" s="34"/>
      <c r="T49" s="34"/>
    </row>
    <row r="50" ht="15.75" hidden="1" customHeight="1">
      <c r="B50" s="86">
        <v>46274.0</v>
      </c>
      <c r="C50" s="65">
        <v>32332.0</v>
      </c>
      <c r="D50" s="65">
        <v>18.0</v>
      </c>
      <c r="E50" s="87">
        <v>108.87</v>
      </c>
      <c r="F50" s="87">
        <v>1959.66</v>
      </c>
      <c r="G50" s="65" t="s">
        <v>3910</v>
      </c>
      <c r="H50" s="65" t="s">
        <v>3911</v>
      </c>
      <c r="I50" s="65" t="s">
        <v>41</v>
      </c>
      <c r="J50" s="65" t="s">
        <v>34</v>
      </c>
      <c r="K50" s="65"/>
      <c r="L50" s="65" t="s">
        <v>3906</v>
      </c>
      <c r="M50" s="89">
        <v>31.0</v>
      </c>
      <c r="N50" s="90">
        <v>46274.0</v>
      </c>
      <c r="O50" s="42" t="b">
        <v>0</v>
      </c>
      <c r="P50" s="44">
        <v>46279.0</v>
      </c>
      <c r="Q50" s="34"/>
      <c r="R50" s="33"/>
      <c r="S50" s="34"/>
      <c r="T50" s="34"/>
    </row>
    <row r="51" ht="15.75" hidden="1" customHeight="1">
      <c r="B51" s="86">
        <v>46274.0</v>
      </c>
      <c r="C51" s="65">
        <v>32332.0</v>
      </c>
      <c r="D51" s="65">
        <v>77.0</v>
      </c>
      <c r="E51" s="87">
        <v>109.79</v>
      </c>
      <c r="F51" s="87">
        <v>8453.83</v>
      </c>
      <c r="G51" s="65" t="s">
        <v>3917</v>
      </c>
      <c r="H51" s="65" t="s">
        <v>3918</v>
      </c>
      <c r="I51" s="65" t="s">
        <v>41</v>
      </c>
      <c r="J51" s="65" t="s">
        <v>34</v>
      </c>
      <c r="K51" s="65"/>
      <c r="L51" s="65" t="s">
        <v>3906</v>
      </c>
      <c r="M51" s="89">
        <v>31.0</v>
      </c>
      <c r="N51" s="90">
        <v>46274.0</v>
      </c>
      <c r="O51" s="42" t="b">
        <v>0</v>
      </c>
      <c r="P51" s="44">
        <v>46279.0</v>
      </c>
      <c r="Q51" s="34"/>
      <c r="R51" s="33"/>
      <c r="S51" s="34"/>
      <c r="T51" s="34"/>
    </row>
    <row r="52" ht="15.75" hidden="1" customHeight="1">
      <c r="B52" s="86">
        <v>46274.0</v>
      </c>
      <c r="C52" s="65">
        <v>32332.0</v>
      </c>
      <c r="D52" s="65">
        <v>53.0</v>
      </c>
      <c r="E52" s="87">
        <v>107.87</v>
      </c>
      <c r="F52" s="87">
        <v>5717.11</v>
      </c>
      <c r="G52" s="65" t="s">
        <v>3922</v>
      </c>
      <c r="H52" s="65" t="s">
        <v>3924</v>
      </c>
      <c r="I52" s="65" t="s">
        <v>41</v>
      </c>
      <c r="J52" s="65" t="s">
        <v>34</v>
      </c>
      <c r="K52" s="65"/>
      <c r="L52" s="65" t="s">
        <v>3906</v>
      </c>
      <c r="M52" s="89">
        <v>31.0</v>
      </c>
      <c r="N52" s="90">
        <v>46274.0</v>
      </c>
      <c r="O52" s="42" t="b">
        <v>0</v>
      </c>
      <c r="P52" s="44">
        <v>46279.0</v>
      </c>
      <c r="Q52" s="34"/>
      <c r="R52" s="34"/>
      <c r="S52" s="34"/>
      <c r="T52" s="34"/>
    </row>
    <row r="53" ht="15.75" customHeight="1">
      <c r="B53" s="86">
        <v>46274.0</v>
      </c>
      <c r="C53" s="65">
        <v>935379.0</v>
      </c>
      <c r="D53" s="65">
        <v>5.0</v>
      </c>
      <c r="E53" s="87">
        <v>1090.0</v>
      </c>
      <c r="F53" s="87">
        <v>5450.0</v>
      </c>
      <c r="G53" s="65" t="s">
        <v>3928</v>
      </c>
      <c r="H53" s="65"/>
      <c r="I53" s="65" t="s">
        <v>175</v>
      </c>
      <c r="J53" s="65" t="s">
        <v>34</v>
      </c>
      <c r="K53" s="65"/>
      <c r="L53" s="65" t="s">
        <v>167</v>
      </c>
      <c r="M53" s="89">
        <v>31.0</v>
      </c>
      <c r="N53" s="93" t="s">
        <v>3686</v>
      </c>
      <c r="O53" s="42" t="b">
        <v>0</v>
      </c>
      <c r="P53" s="44"/>
      <c r="Q53" s="34"/>
      <c r="R53" s="34"/>
      <c r="S53" s="34"/>
      <c r="T53" s="34"/>
    </row>
    <row r="54" ht="15.75" hidden="1" customHeight="1">
      <c r="B54" s="86">
        <v>46274.0</v>
      </c>
      <c r="C54" s="91" t="s">
        <v>35</v>
      </c>
      <c r="D54" s="65">
        <v>4.0</v>
      </c>
      <c r="E54" s="87">
        <v>878.0</v>
      </c>
      <c r="F54" s="87">
        <v>3512.0</v>
      </c>
      <c r="G54" s="65" t="s">
        <v>3932</v>
      </c>
      <c r="H54" s="65"/>
      <c r="I54" s="65" t="s">
        <v>175</v>
      </c>
      <c r="J54" s="65" t="s">
        <v>34</v>
      </c>
      <c r="K54" s="65"/>
      <c r="L54" s="65" t="s">
        <v>3934</v>
      </c>
      <c r="M54" s="89">
        <v>31.0</v>
      </c>
      <c r="N54" s="90">
        <v>46281.0</v>
      </c>
      <c r="O54" s="42" t="b">
        <v>0</v>
      </c>
      <c r="P54" s="44">
        <v>46282.0</v>
      </c>
      <c r="Q54" s="34"/>
      <c r="R54" s="34"/>
      <c r="S54" s="34"/>
      <c r="T54" s="34"/>
    </row>
    <row r="55" ht="15.75" hidden="1" customHeight="1">
      <c r="B55" s="86">
        <v>46274.0</v>
      </c>
      <c r="C55" s="91"/>
      <c r="D55" s="65">
        <v>400.0</v>
      </c>
      <c r="E55" s="87">
        <v>34.2</v>
      </c>
      <c r="F55" s="87">
        <v>13680.0</v>
      </c>
      <c r="G55" s="65" t="s">
        <v>3937</v>
      </c>
      <c r="H55" s="65" t="s">
        <v>3939</v>
      </c>
      <c r="I55" s="65" t="s">
        <v>39</v>
      </c>
      <c r="J55" s="65" t="s">
        <v>175</v>
      </c>
      <c r="K55" s="65" t="s">
        <v>3941</v>
      </c>
      <c r="M55" s="89">
        <v>31.0</v>
      </c>
      <c r="N55" s="90">
        <v>46286.0</v>
      </c>
      <c r="O55" s="42" t="b">
        <v>0</v>
      </c>
      <c r="P55" s="44"/>
      <c r="Q55" s="34"/>
      <c r="R55" s="34"/>
      <c r="S55" s="34"/>
      <c r="T55" s="34"/>
    </row>
    <row r="56" ht="15.75" hidden="1" customHeight="1">
      <c r="B56" s="86">
        <v>46274.0</v>
      </c>
      <c r="C56" s="91" t="s">
        <v>35</v>
      </c>
      <c r="D56" s="65">
        <v>1.0</v>
      </c>
      <c r="E56" s="87">
        <v>13550.0</v>
      </c>
      <c r="F56" s="87">
        <v>13550.0</v>
      </c>
      <c r="G56" s="65" t="s">
        <v>3942</v>
      </c>
      <c r="H56" s="65"/>
      <c r="I56" s="65" t="s">
        <v>221</v>
      </c>
      <c r="J56" s="65" t="s">
        <v>34</v>
      </c>
      <c r="K56" s="65"/>
      <c r="L56" s="65" t="s">
        <v>3943</v>
      </c>
      <c r="M56" s="89">
        <v>31.0</v>
      </c>
      <c r="N56" s="90">
        <v>46275.0</v>
      </c>
      <c r="O56" s="42" t="b">
        <v>0</v>
      </c>
      <c r="P56" s="44">
        <v>46276.0</v>
      </c>
      <c r="Q56" s="34"/>
      <c r="R56" s="34"/>
      <c r="S56" s="34"/>
      <c r="T56" s="34"/>
    </row>
    <row r="57" ht="15.75" hidden="1" customHeight="1">
      <c r="B57" s="86">
        <v>46274.0</v>
      </c>
      <c r="C57" s="91" t="s">
        <v>3946</v>
      </c>
      <c r="D57" s="65">
        <v>20.0</v>
      </c>
      <c r="E57" s="87">
        <v>315.0</v>
      </c>
      <c r="F57" s="87">
        <v>6300.0</v>
      </c>
      <c r="G57" s="65" t="s">
        <v>3948</v>
      </c>
      <c r="H57" s="65" t="s">
        <v>3949</v>
      </c>
      <c r="I57" s="65" t="s">
        <v>59</v>
      </c>
      <c r="J57" s="65" t="s">
        <v>34</v>
      </c>
      <c r="K57" s="65"/>
      <c r="L57" s="65" t="s">
        <v>46</v>
      </c>
      <c r="M57" s="89">
        <v>31.0</v>
      </c>
      <c r="N57" s="90">
        <v>46274.0</v>
      </c>
      <c r="O57" s="42" t="b">
        <v>0</v>
      </c>
      <c r="P57" s="44"/>
      <c r="Q57" s="34"/>
      <c r="R57" s="34"/>
      <c r="S57" s="34"/>
      <c r="T57" s="34"/>
    </row>
    <row r="58" ht="15.75" customHeight="1">
      <c r="B58" s="86">
        <v>46274.0</v>
      </c>
      <c r="C58" s="91" t="s">
        <v>3950</v>
      </c>
      <c r="D58" s="65">
        <v>1.0</v>
      </c>
      <c r="E58" s="87">
        <v>13550.0</v>
      </c>
      <c r="F58" s="87">
        <v>13550.0</v>
      </c>
      <c r="G58" s="65" t="s">
        <v>3952</v>
      </c>
      <c r="H58" s="65"/>
      <c r="I58" s="65" t="s">
        <v>221</v>
      </c>
      <c r="J58" s="65" t="s">
        <v>34</v>
      </c>
      <c r="K58" s="65"/>
      <c r="L58" s="65"/>
      <c r="M58" s="89">
        <v>31.0</v>
      </c>
      <c r="N58" s="93" t="s">
        <v>3686</v>
      </c>
      <c r="O58" s="42" t="b">
        <v>0</v>
      </c>
      <c r="P58" s="44"/>
      <c r="Q58" s="34"/>
      <c r="R58" s="34"/>
      <c r="S58" s="34"/>
      <c r="T58" s="34"/>
    </row>
    <row r="59" ht="15.75" hidden="1" customHeight="1">
      <c r="B59" s="86">
        <v>46275.0</v>
      </c>
      <c r="C59" s="91" t="s">
        <v>3953</v>
      </c>
      <c r="D59" s="65">
        <v>300.0</v>
      </c>
      <c r="E59" s="87">
        <v>171.6</v>
      </c>
      <c r="F59" s="87">
        <v>51480.0</v>
      </c>
      <c r="G59" s="65" t="s">
        <v>3954</v>
      </c>
      <c r="H59" s="65" t="s">
        <v>3955</v>
      </c>
      <c r="I59" s="65" t="s">
        <v>41</v>
      </c>
      <c r="J59" s="65" t="s">
        <v>34</v>
      </c>
      <c r="K59" s="65"/>
      <c r="L59" s="65" t="s">
        <v>46</v>
      </c>
      <c r="M59" s="89">
        <v>31.0</v>
      </c>
      <c r="N59" s="90">
        <v>46276.0</v>
      </c>
      <c r="O59" s="42" t="b">
        <v>0</v>
      </c>
      <c r="P59" s="44">
        <v>46280.0</v>
      </c>
      <c r="Q59" s="34"/>
      <c r="R59" s="34"/>
      <c r="S59" s="34"/>
      <c r="T59" s="34"/>
    </row>
    <row r="60" ht="15.0" hidden="1" customHeight="1">
      <c r="B60" s="86">
        <v>46275.0</v>
      </c>
      <c r="C60" s="98">
        <v>9413.0</v>
      </c>
      <c r="D60" s="65">
        <v>5.0</v>
      </c>
      <c r="E60" s="87">
        <v>1350.0</v>
      </c>
      <c r="F60" s="87">
        <v>6750.0</v>
      </c>
      <c r="G60" s="65" t="s">
        <v>3958</v>
      </c>
      <c r="H60" s="65"/>
      <c r="I60" s="65" t="s">
        <v>41</v>
      </c>
      <c r="J60" s="65" t="s">
        <v>34</v>
      </c>
      <c r="K60" s="65"/>
      <c r="L60" s="65" t="s">
        <v>3960</v>
      </c>
      <c r="M60" s="89">
        <v>31.0</v>
      </c>
      <c r="N60" s="90">
        <v>46279.0</v>
      </c>
      <c r="O60" s="42" t="b">
        <v>0</v>
      </c>
      <c r="P60" s="44">
        <v>46280.0</v>
      </c>
      <c r="Q60" s="34"/>
      <c r="R60" s="34"/>
      <c r="S60" s="34"/>
      <c r="T60" s="34"/>
    </row>
    <row r="61" ht="15.0" hidden="1" customHeight="1">
      <c r="B61" s="86">
        <v>46275.0</v>
      </c>
      <c r="C61" s="98">
        <v>10230.0</v>
      </c>
      <c r="D61" s="65">
        <v>20.0</v>
      </c>
      <c r="E61" s="87">
        <v>154.0</v>
      </c>
      <c r="F61" s="87">
        <v>3080.0</v>
      </c>
      <c r="G61" s="65" t="s">
        <v>3962</v>
      </c>
      <c r="H61" s="65" t="s">
        <v>3963</v>
      </c>
      <c r="I61" s="65" t="s">
        <v>41</v>
      </c>
      <c r="J61" s="65" t="s">
        <v>34</v>
      </c>
      <c r="K61" s="65"/>
      <c r="L61" s="65" t="s">
        <v>46</v>
      </c>
      <c r="M61" s="89">
        <v>31.0</v>
      </c>
      <c r="N61" s="90">
        <v>46276.0</v>
      </c>
      <c r="O61" s="42" t="b">
        <v>0</v>
      </c>
      <c r="P61" s="44">
        <v>46280.0</v>
      </c>
      <c r="Q61" s="34"/>
      <c r="R61" s="34"/>
      <c r="S61" s="34"/>
      <c r="T61" s="34"/>
    </row>
    <row r="62" ht="15.75" customHeight="1">
      <c r="B62" s="86">
        <v>46275.0</v>
      </c>
      <c r="C62" s="91" t="s">
        <v>3967</v>
      </c>
      <c r="D62" s="65" t="s">
        <v>3968</v>
      </c>
      <c r="E62" s="87" t="s">
        <v>35</v>
      </c>
      <c r="F62" s="87">
        <v>17023.2</v>
      </c>
      <c r="G62" s="65" t="s">
        <v>3970</v>
      </c>
      <c r="H62" s="65" t="s">
        <v>3971</v>
      </c>
      <c r="I62" s="65" t="s">
        <v>41</v>
      </c>
      <c r="J62" s="65" t="s">
        <v>34</v>
      </c>
      <c r="K62" s="65"/>
      <c r="L62" s="65" t="s">
        <v>96</v>
      </c>
      <c r="M62" s="89">
        <v>31.0</v>
      </c>
      <c r="N62" s="93" t="s">
        <v>194</v>
      </c>
      <c r="O62" s="42" t="b">
        <v>0</v>
      </c>
      <c r="P62" s="44"/>
      <c r="Q62" s="34"/>
      <c r="R62" s="34"/>
      <c r="S62" s="34"/>
      <c r="T62" s="34"/>
    </row>
    <row r="63" ht="15.75" hidden="1" customHeight="1">
      <c r="B63" s="86">
        <v>46275.0</v>
      </c>
      <c r="C63" s="91" t="s">
        <v>3972</v>
      </c>
      <c r="D63" s="65">
        <v>1.0</v>
      </c>
      <c r="E63" s="87">
        <v>780.0</v>
      </c>
      <c r="F63" s="87">
        <v>780.0</v>
      </c>
      <c r="G63" s="65" t="s">
        <v>3974</v>
      </c>
      <c r="H63" s="65" t="s">
        <v>3975</v>
      </c>
      <c r="I63" s="65" t="s">
        <v>221</v>
      </c>
      <c r="J63" s="65" t="s">
        <v>34</v>
      </c>
      <c r="K63" s="65"/>
      <c r="L63" s="65" t="s">
        <v>3976</v>
      </c>
      <c r="M63" s="89">
        <v>31.0</v>
      </c>
      <c r="N63" s="90">
        <v>46276.0</v>
      </c>
      <c r="O63" s="42" t="b">
        <v>0</v>
      </c>
      <c r="P63" s="44"/>
      <c r="Q63" s="34"/>
      <c r="R63" s="34"/>
      <c r="S63" s="34"/>
      <c r="T63" s="34"/>
    </row>
    <row r="64" ht="15.75" hidden="1" customHeight="1">
      <c r="B64" s="86">
        <v>46275.0</v>
      </c>
      <c r="C64" s="91" t="s">
        <v>35</v>
      </c>
      <c r="D64" s="65">
        <v>15.0</v>
      </c>
      <c r="E64" s="87">
        <v>28.38</v>
      </c>
      <c r="F64" s="87">
        <v>425.7</v>
      </c>
      <c r="G64" s="65" t="s">
        <v>3978</v>
      </c>
      <c r="H64" s="65" t="s">
        <v>3979</v>
      </c>
      <c r="I64" s="65" t="s">
        <v>240</v>
      </c>
      <c r="J64" s="65" t="s">
        <v>40</v>
      </c>
      <c r="K64" s="65" t="s">
        <v>3980</v>
      </c>
      <c r="L64" s="65" t="s">
        <v>365</v>
      </c>
      <c r="M64" s="89">
        <v>31.0</v>
      </c>
      <c r="N64" s="90">
        <v>46287.0</v>
      </c>
      <c r="O64" s="42" t="b">
        <v>0</v>
      </c>
      <c r="P64" s="44">
        <v>46287.0</v>
      </c>
      <c r="Q64" s="34"/>
      <c r="R64" s="34"/>
      <c r="S64" s="34"/>
      <c r="T64" s="34"/>
    </row>
    <row r="65" ht="15.75" hidden="1" customHeight="1">
      <c r="B65" s="86">
        <v>46275.0</v>
      </c>
      <c r="C65" s="91" t="s">
        <v>3983</v>
      </c>
      <c r="D65" s="65">
        <v>3.0</v>
      </c>
      <c r="E65" s="87">
        <v>6100.0</v>
      </c>
      <c r="F65" s="87">
        <v>18300.0</v>
      </c>
      <c r="G65" s="65" t="s">
        <v>3985</v>
      </c>
      <c r="H65" s="65" t="s">
        <v>3986</v>
      </c>
      <c r="I65" s="65" t="s">
        <v>41</v>
      </c>
      <c r="J65" s="65" t="s">
        <v>34</v>
      </c>
      <c r="K65" s="65"/>
      <c r="L65" s="65" t="s">
        <v>2251</v>
      </c>
      <c r="M65" s="89" t="s">
        <v>3464</v>
      </c>
      <c r="N65" s="90">
        <v>46280.0</v>
      </c>
      <c r="O65" s="42" t="b">
        <v>0</v>
      </c>
      <c r="P65" s="44">
        <v>46281.0</v>
      </c>
      <c r="Q65" s="34"/>
      <c r="R65" s="34"/>
      <c r="S65" s="34"/>
      <c r="T65" s="34"/>
    </row>
    <row r="66" ht="15.75" hidden="1" customHeight="1">
      <c r="B66" s="86">
        <v>46275.0</v>
      </c>
      <c r="C66" s="91" t="s">
        <v>35</v>
      </c>
      <c r="D66" s="65">
        <v>300.0</v>
      </c>
      <c r="E66" s="87">
        <v>95.0</v>
      </c>
      <c r="F66" s="87">
        <v>28500.0</v>
      </c>
      <c r="G66" s="65" t="s">
        <v>3988</v>
      </c>
      <c r="H66" s="65"/>
      <c r="I66" s="65" t="s">
        <v>41</v>
      </c>
      <c r="J66" s="65" t="s">
        <v>40</v>
      </c>
      <c r="K66" s="65"/>
      <c r="L66" s="65" t="s">
        <v>3526</v>
      </c>
      <c r="M66" s="89">
        <v>31.0</v>
      </c>
      <c r="N66" s="90">
        <v>46279.0</v>
      </c>
      <c r="O66" s="42" t="b">
        <v>1</v>
      </c>
      <c r="P66" s="44"/>
      <c r="Q66" s="34"/>
      <c r="R66" s="34"/>
      <c r="S66" s="34"/>
      <c r="T66" s="34"/>
    </row>
    <row r="67" ht="15.75" hidden="1" customHeight="1">
      <c r="B67" s="86">
        <v>46276.0</v>
      </c>
      <c r="C67" s="91" t="s">
        <v>3990</v>
      </c>
      <c r="D67" s="65">
        <v>50.0</v>
      </c>
      <c r="E67" s="87">
        <v>108.0</v>
      </c>
      <c r="F67" s="87">
        <v>5400.0</v>
      </c>
      <c r="G67" s="65" t="s">
        <v>3992</v>
      </c>
      <c r="H67" s="65" t="s">
        <v>3993</v>
      </c>
      <c r="I67" s="65" t="s">
        <v>32</v>
      </c>
      <c r="J67" s="65" t="s">
        <v>34</v>
      </c>
      <c r="K67" s="65"/>
      <c r="L67" s="65" t="s">
        <v>46</v>
      </c>
      <c r="M67" s="89">
        <v>31.0</v>
      </c>
      <c r="N67" s="90">
        <v>46282.0</v>
      </c>
      <c r="O67" s="42" t="b">
        <v>0</v>
      </c>
      <c r="P67" s="44">
        <v>46283.0</v>
      </c>
      <c r="Q67" s="34"/>
      <c r="R67" s="34"/>
      <c r="S67" s="34"/>
      <c r="T67" s="34"/>
    </row>
    <row r="68" ht="15.75" hidden="1" customHeight="1">
      <c r="B68" s="86">
        <v>46276.0</v>
      </c>
      <c r="C68" s="91" t="s">
        <v>3996</v>
      </c>
      <c r="D68" s="65">
        <v>100.0</v>
      </c>
      <c r="E68" s="87">
        <v>315.0</v>
      </c>
      <c r="F68" s="87">
        <v>31500.0</v>
      </c>
      <c r="G68" s="65" t="s">
        <v>3997</v>
      </c>
      <c r="H68" s="65" t="s">
        <v>3818</v>
      </c>
      <c r="I68" s="65" t="s">
        <v>41</v>
      </c>
      <c r="J68" s="65" t="s">
        <v>34</v>
      </c>
      <c r="K68" s="65"/>
      <c r="L68" s="65" t="s">
        <v>46</v>
      </c>
      <c r="M68" s="89">
        <v>31.0</v>
      </c>
      <c r="N68" s="90">
        <v>46280.0</v>
      </c>
      <c r="O68" s="42" t="b">
        <v>0</v>
      </c>
      <c r="P68" s="44">
        <v>46281.0</v>
      </c>
      <c r="Q68" s="34"/>
      <c r="R68" s="33"/>
      <c r="S68" s="34"/>
      <c r="T68" s="34"/>
    </row>
    <row r="69" ht="15.75" hidden="1" customHeight="1">
      <c r="B69" s="86">
        <v>46276.0</v>
      </c>
      <c r="C69" s="91" t="s">
        <v>3999</v>
      </c>
      <c r="D69" s="65">
        <v>160.0</v>
      </c>
      <c r="E69" s="87">
        <v>315.0</v>
      </c>
      <c r="F69" s="87">
        <v>50400.0</v>
      </c>
      <c r="G69" s="65" t="s">
        <v>3817</v>
      </c>
      <c r="H69" s="65" t="s">
        <v>3818</v>
      </c>
      <c r="I69" s="65" t="s">
        <v>175</v>
      </c>
      <c r="J69" s="65" t="s">
        <v>34</v>
      </c>
      <c r="K69" s="65"/>
      <c r="L69" s="65" t="s">
        <v>46</v>
      </c>
      <c r="M69" s="89">
        <v>31.0</v>
      </c>
      <c r="N69" s="90">
        <v>46280.0</v>
      </c>
      <c r="O69" s="42" t="b">
        <v>0</v>
      </c>
      <c r="P69" s="44">
        <v>46281.0</v>
      </c>
      <c r="Q69" s="34"/>
      <c r="R69" s="33"/>
      <c r="S69" s="34"/>
      <c r="T69" s="34"/>
    </row>
    <row r="70" ht="15.75" hidden="1" customHeight="1">
      <c r="B70" s="86">
        <v>46276.0</v>
      </c>
      <c r="C70" s="98">
        <v>10338.0</v>
      </c>
      <c r="D70" s="65">
        <v>300.0</v>
      </c>
      <c r="E70" s="87">
        <v>450.0</v>
      </c>
      <c r="F70" s="87">
        <v>13500.0</v>
      </c>
      <c r="G70" s="65" t="s">
        <v>4001</v>
      </c>
      <c r="H70" s="65" t="s">
        <v>4002</v>
      </c>
      <c r="I70" s="65" t="s">
        <v>41</v>
      </c>
      <c r="J70" s="65" t="s">
        <v>40</v>
      </c>
      <c r="K70" s="65"/>
      <c r="L70" s="65" t="s">
        <v>46</v>
      </c>
      <c r="M70" s="89">
        <v>31.0</v>
      </c>
      <c r="N70" s="90">
        <v>46280.0</v>
      </c>
      <c r="O70" s="42" t="b">
        <v>0</v>
      </c>
      <c r="P70" s="44"/>
      <c r="Q70" s="34"/>
      <c r="R70" s="33"/>
      <c r="S70" s="34"/>
      <c r="T70" s="34"/>
    </row>
    <row r="71" ht="15.75" hidden="1" customHeight="1">
      <c r="B71" s="86">
        <v>46276.0</v>
      </c>
      <c r="C71" s="91" t="s">
        <v>4003</v>
      </c>
      <c r="D71" s="65" t="s">
        <v>4004</v>
      </c>
      <c r="E71" s="87" t="s">
        <v>35</v>
      </c>
      <c r="F71" s="87">
        <v>24684.72</v>
      </c>
      <c r="G71" s="65" t="s">
        <v>4005</v>
      </c>
      <c r="H71" s="65" t="s">
        <v>4006</v>
      </c>
      <c r="I71" s="65" t="s">
        <v>41</v>
      </c>
      <c r="J71" s="65" t="s">
        <v>34</v>
      </c>
      <c r="K71" s="65"/>
      <c r="L71" s="65" t="s">
        <v>96</v>
      </c>
      <c r="M71" s="89">
        <v>31.0</v>
      </c>
      <c r="N71" s="90">
        <v>46281.0</v>
      </c>
      <c r="O71" s="42" t="b">
        <v>0</v>
      </c>
      <c r="P71" s="44"/>
      <c r="Q71" s="34"/>
      <c r="R71" s="33"/>
      <c r="S71" s="34"/>
      <c r="T71" s="34"/>
    </row>
    <row r="72" ht="15.75" hidden="1" customHeight="1">
      <c r="B72" s="86">
        <v>46276.0</v>
      </c>
      <c r="C72" s="91" t="s">
        <v>4009</v>
      </c>
      <c r="D72" s="65">
        <v>96.0</v>
      </c>
      <c r="E72" s="87">
        <v>44.9</v>
      </c>
      <c r="F72" s="87">
        <v>4310.4</v>
      </c>
      <c r="G72" s="65" t="s">
        <v>4010</v>
      </c>
      <c r="H72" s="65" t="s">
        <v>4011</v>
      </c>
      <c r="I72" s="65" t="s">
        <v>41</v>
      </c>
      <c r="J72" s="65" t="s">
        <v>34</v>
      </c>
      <c r="K72" s="65"/>
      <c r="L72" s="65" t="s">
        <v>96</v>
      </c>
      <c r="M72" s="89">
        <v>31.0</v>
      </c>
      <c r="N72" s="90">
        <v>46283.0</v>
      </c>
      <c r="O72" s="42" t="b">
        <v>0</v>
      </c>
      <c r="P72" s="44">
        <v>46286.0</v>
      </c>
      <c r="Q72" s="34"/>
      <c r="R72" s="33"/>
      <c r="S72" s="34"/>
      <c r="T72" s="34"/>
    </row>
    <row r="73" ht="15.75" hidden="1" customHeight="1">
      <c r="B73" s="86">
        <v>46276.0</v>
      </c>
      <c r="C73" s="91" t="s">
        <v>4013</v>
      </c>
      <c r="D73" s="65">
        <v>20.0</v>
      </c>
      <c r="E73" s="87">
        <v>93.6</v>
      </c>
      <c r="F73" s="87">
        <v>1872.0</v>
      </c>
      <c r="G73" s="65" t="s">
        <v>4015</v>
      </c>
      <c r="H73" s="65" t="s">
        <v>3780</v>
      </c>
      <c r="I73" s="65" t="s">
        <v>39</v>
      </c>
      <c r="J73" s="65" t="s">
        <v>40</v>
      </c>
      <c r="K73" s="65"/>
      <c r="L73" s="65" t="s">
        <v>279</v>
      </c>
      <c r="M73" s="89">
        <v>1.0</v>
      </c>
      <c r="N73" s="90">
        <v>46280.0</v>
      </c>
      <c r="O73" s="42" t="b">
        <v>0</v>
      </c>
      <c r="P73" s="44">
        <v>46281.0</v>
      </c>
      <c r="Q73" s="34"/>
      <c r="R73" s="33"/>
      <c r="S73" s="34"/>
      <c r="T73" s="34"/>
    </row>
    <row r="74" ht="15.75" hidden="1" customHeight="1">
      <c r="B74" s="86">
        <v>46276.0</v>
      </c>
      <c r="C74" s="91" t="s">
        <v>4020</v>
      </c>
      <c r="D74" s="65" t="s">
        <v>4021</v>
      </c>
      <c r="E74" s="87" t="s">
        <v>35</v>
      </c>
      <c r="F74" s="87">
        <v>7942.2</v>
      </c>
      <c r="G74" s="65" t="s">
        <v>4022</v>
      </c>
      <c r="H74" s="65" t="s">
        <v>4023</v>
      </c>
      <c r="I74" s="65" t="s">
        <v>41</v>
      </c>
      <c r="J74" s="65" t="s">
        <v>34</v>
      </c>
      <c r="K74" s="65"/>
      <c r="L74" s="65" t="s">
        <v>719</v>
      </c>
      <c r="M74" s="89">
        <v>31.0</v>
      </c>
      <c r="N74" s="90">
        <v>46279.0</v>
      </c>
      <c r="O74" s="42" t="b">
        <v>0</v>
      </c>
      <c r="P74" s="44"/>
      <c r="Q74" s="34"/>
      <c r="R74" s="33"/>
      <c r="S74" s="34"/>
      <c r="T74" s="34"/>
    </row>
    <row r="75" ht="15.75" hidden="1" customHeight="1">
      <c r="B75" s="86">
        <v>46276.0</v>
      </c>
      <c r="C75" s="91" t="s">
        <v>4020</v>
      </c>
      <c r="D75" s="65" t="s">
        <v>3847</v>
      </c>
      <c r="E75" s="87" t="s">
        <v>35</v>
      </c>
      <c r="F75" s="87">
        <v>7942.2</v>
      </c>
      <c r="G75" s="65" t="s">
        <v>4025</v>
      </c>
      <c r="H75" s="65" t="s">
        <v>4026</v>
      </c>
      <c r="I75" s="65" t="s">
        <v>32</v>
      </c>
      <c r="J75" s="65" t="s">
        <v>34</v>
      </c>
      <c r="K75" s="65" t="s">
        <v>4028</v>
      </c>
      <c r="L75" s="65" t="s">
        <v>719</v>
      </c>
      <c r="M75" s="89">
        <v>31.0</v>
      </c>
      <c r="N75" s="90">
        <v>46280.0</v>
      </c>
      <c r="O75" s="42" t="b">
        <v>0</v>
      </c>
      <c r="P75" s="44"/>
      <c r="Q75" s="34"/>
      <c r="R75" s="33"/>
      <c r="S75" s="33"/>
      <c r="T75" s="33"/>
    </row>
    <row r="76" ht="15.75" hidden="1" customHeight="1">
      <c r="B76" s="86">
        <v>46276.0</v>
      </c>
      <c r="C76" s="91"/>
      <c r="D76" s="65">
        <v>150.0</v>
      </c>
      <c r="E76" s="87">
        <v>18.85</v>
      </c>
      <c r="F76" s="87">
        <v>2827.58</v>
      </c>
      <c r="G76" s="65" t="s">
        <v>4029</v>
      </c>
      <c r="H76" s="65"/>
      <c r="I76" s="65" t="s">
        <v>41</v>
      </c>
      <c r="J76" s="65" t="s">
        <v>34</v>
      </c>
      <c r="K76" s="65"/>
      <c r="L76" s="65" t="s">
        <v>160</v>
      </c>
      <c r="M76" s="89">
        <v>31.0</v>
      </c>
      <c r="N76" s="90">
        <v>46280.0</v>
      </c>
      <c r="O76" s="42" t="b">
        <v>0</v>
      </c>
      <c r="P76" s="44">
        <v>46281.0</v>
      </c>
      <c r="Q76" s="34"/>
      <c r="R76" s="34"/>
      <c r="S76" s="34"/>
      <c r="T76" s="34"/>
    </row>
    <row r="77" ht="15.75" hidden="1" customHeight="1">
      <c r="B77" s="86">
        <v>46276.0</v>
      </c>
      <c r="C77" s="91" t="s">
        <v>4034</v>
      </c>
      <c r="D77" s="65">
        <v>22.0</v>
      </c>
      <c r="E77" s="87">
        <v>336.8</v>
      </c>
      <c r="F77" s="87">
        <v>7409.6</v>
      </c>
      <c r="G77" s="65" t="s">
        <v>280</v>
      </c>
      <c r="H77" s="65"/>
      <c r="I77" s="65" t="s">
        <v>175</v>
      </c>
      <c r="J77" s="65" t="s">
        <v>34</v>
      </c>
      <c r="K77" s="65"/>
      <c r="L77" s="65" t="s">
        <v>3906</v>
      </c>
      <c r="M77" s="89">
        <v>31.0</v>
      </c>
      <c r="N77" s="90">
        <v>46280.0</v>
      </c>
      <c r="O77" s="42" t="b">
        <v>0</v>
      </c>
      <c r="P77" s="44"/>
      <c r="Q77" s="34"/>
      <c r="R77" s="34"/>
      <c r="S77" s="34"/>
      <c r="T77" s="34"/>
    </row>
    <row r="78" ht="15.75" customHeight="1">
      <c r="B78" s="86">
        <v>46276.0</v>
      </c>
      <c r="C78" s="91" t="s">
        <v>35</v>
      </c>
      <c r="D78" s="65">
        <v>100.0</v>
      </c>
      <c r="E78" s="87" t="s">
        <v>35</v>
      </c>
      <c r="F78" s="87" t="s">
        <v>35</v>
      </c>
      <c r="G78" s="65" t="s">
        <v>4039</v>
      </c>
      <c r="H78" s="65" t="s">
        <v>4041</v>
      </c>
      <c r="I78" s="65" t="s">
        <v>175</v>
      </c>
      <c r="J78" s="65" t="s">
        <v>34</v>
      </c>
      <c r="K78" s="65"/>
      <c r="L78" s="65" t="s">
        <v>4043</v>
      </c>
      <c r="M78" s="89">
        <v>31.0</v>
      </c>
      <c r="N78" s="93" t="s">
        <v>194</v>
      </c>
      <c r="O78" s="42" t="b">
        <v>0</v>
      </c>
      <c r="P78" s="44"/>
      <c r="Q78" s="34"/>
      <c r="R78" s="34"/>
      <c r="S78" s="34"/>
      <c r="T78" s="34"/>
    </row>
    <row r="79" ht="15.75" hidden="1" customHeight="1">
      <c r="B79" s="86">
        <v>46276.0</v>
      </c>
      <c r="C79" s="91" t="s">
        <v>35</v>
      </c>
      <c r="D79" s="65">
        <v>30.0</v>
      </c>
      <c r="E79" s="87" t="s">
        <v>35</v>
      </c>
      <c r="F79" s="87" t="s">
        <v>35</v>
      </c>
      <c r="G79" s="65" t="s">
        <v>4046</v>
      </c>
      <c r="H79" s="65" t="s">
        <v>4041</v>
      </c>
      <c r="I79" s="65" t="s">
        <v>32</v>
      </c>
      <c r="J79" s="65" t="s">
        <v>40</v>
      </c>
      <c r="K79" s="65"/>
      <c r="L79" s="65" t="s">
        <v>4043</v>
      </c>
      <c r="M79" s="89">
        <v>31.0</v>
      </c>
      <c r="N79" s="90">
        <v>46288.0</v>
      </c>
      <c r="O79" s="42" t="b">
        <v>0</v>
      </c>
      <c r="P79" s="44">
        <v>46290.0</v>
      </c>
      <c r="Q79" s="34"/>
      <c r="R79" s="34"/>
      <c r="S79" s="34"/>
      <c r="T79" s="34"/>
    </row>
    <row r="80" ht="15.75" hidden="1" customHeight="1">
      <c r="B80" s="86">
        <v>46276.0</v>
      </c>
      <c r="C80" s="91" t="s">
        <v>35</v>
      </c>
      <c r="D80" s="65">
        <v>100.0</v>
      </c>
      <c r="E80" s="87" t="s">
        <v>35</v>
      </c>
      <c r="F80" s="87" t="s">
        <v>35</v>
      </c>
      <c r="G80" s="65" t="s">
        <v>4047</v>
      </c>
      <c r="H80" s="65" t="s">
        <v>4041</v>
      </c>
      <c r="I80" s="65" t="s">
        <v>32</v>
      </c>
      <c r="J80" s="65" t="s">
        <v>40</v>
      </c>
      <c r="K80" s="65"/>
      <c r="L80" s="65" t="s">
        <v>4043</v>
      </c>
      <c r="M80" s="89">
        <v>31.0</v>
      </c>
      <c r="N80" s="90">
        <v>46290.0</v>
      </c>
      <c r="O80" s="42" t="b">
        <v>0</v>
      </c>
      <c r="P80" s="44">
        <v>46293.0</v>
      </c>
      <c r="Q80" s="34"/>
      <c r="R80" s="34"/>
      <c r="S80" s="34"/>
      <c r="T80" s="34"/>
    </row>
    <row r="81" ht="15.75" hidden="1" customHeight="1">
      <c r="B81" s="86">
        <v>46276.0</v>
      </c>
      <c r="C81" s="91" t="s">
        <v>35</v>
      </c>
      <c r="D81" s="65">
        <v>70.0</v>
      </c>
      <c r="E81" s="87" t="s">
        <v>35</v>
      </c>
      <c r="F81" s="87" t="s">
        <v>35</v>
      </c>
      <c r="G81" s="65" t="s">
        <v>4050</v>
      </c>
      <c r="H81" s="65" t="s">
        <v>4041</v>
      </c>
      <c r="I81" s="65" t="s">
        <v>32</v>
      </c>
      <c r="J81" s="65" t="s">
        <v>40</v>
      </c>
      <c r="K81" s="65"/>
      <c r="L81" s="65" t="s">
        <v>4043</v>
      </c>
      <c r="M81" s="89">
        <v>31.0</v>
      </c>
      <c r="N81" s="90">
        <v>47384.0</v>
      </c>
      <c r="O81" s="42" t="b">
        <v>0</v>
      </c>
      <c r="P81" s="44">
        <v>46290.0</v>
      </c>
      <c r="Q81" s="34"/>
      <c r="R81" s="34"/>
      <c r="S81" s="34"/>
      <c r="T81" s="34"/>
    </row>
    <row r="82" ht="15.75" customHeight="1">
      <c r="B82" s="86">
        <v>46276.0</v>
      </c>
      <c r="C82" s="91" t="s">
        <v>35</v>
      </c>
      <c r="D82" s="65">
        <v>14.0</v>
      </c>
      <c r="E82" s="87" t="s">
        <v>35</v>
      </c>
      <c r="F82" s="87" t="s">
        <v>35</v>
      </c>
      <c r="G82" s="65" t="s">
        <v>4052</v>
      </c>
      <c r="H82" s="65" t="s">
        <v>4041</v>
      </c>
      <c r="I82" s="65" t="s">
        <v>175</v>
      </c>
      <c r="J82" s="65" t="s">
        <v>34</v>
      </c>
      <c r="K82" s="65"/>
      <c r="L82" s="65" t="s">
        <v>4043</v>
      </c>
      <c r="M82" s="89">
        <v>31.0</v>
      </c>
      <c r="N82" s="93" t="s">
        <v>194</v>
      </c>
      <c r="O82" s="42" t="b">
        <v>0</v>
      </c>
      <c r="P82" s="44"/>
      <c r="Q82" s="34"/>
      <c r="R82" s="34"/>
      <c r="S82" s="34"/>
      <c r="T82" s="34"/>
    </row>
    <row r="83" ht="15.75" hidden="1" customHeight="1">
      <c r="B83" s="86">
        <v>46279.0</v>
      </c>
      <c r="C83" s="91" t="s">
        <v>35</v>
      </c>
      <c r="D83" s="65">
        <v>195.0</v>
      </c>
      <c r="E83" s="87">
        <v>395.0</v>
      </c>
      <c r="F83" s="87">
        <v>77025.0</v>
      </c>
      <c r="G83" s="65" t="s">
        <v>4058</v>
      </c>
      <c r="H83" s="65"/>
      <c r="I83" s="65" t="s">
        <v>59</v>
      </c>
      <c r="J83" s="65" t="s">
        <v>34</v>
      </c>
      <c r="K83" s="65"/>
      <c r="L83" s="65" t="s">
        <v>4060</v>
      </c>
      <c r="M83" s="89">
        <v>31.0</v>
      </c>
      <c r="N83" s="90">
        <v>46281.0</v>
      </c>
      <c r="O83" s="42" t="b">
        <v>0</v>
      </c>
      <c r="P83" s="44"/>
      <c r="Q83" s="34"/>
      <c r="R83" s="34"/>
      <c r="S83" s="34"/>
      <c r="T83" s="34"/>
    </row>
    <row r="84" ht="15.75" hidden="1" customHeight="1">
      <c r="B84" s="86">
        <v>46279.0</v>
      </c>
      <c r="C84" s="91" t="s">
        <v>4062</v>
      </c>
      <c r="D84" s="65">
        <v>180.0</v>
      </c>
      <c r="E84" s="87">
        <v>73.99</v>
      </c>
      <c r="F84" s="87">
        <v>13318.2</v>
      </c>
      <c r="G84" s="65" t="s">
        <v>4063</v>
      </c>
      <c r="H84" s="65" t="s">
        <v>545</v>
      </c>
      <c r="I84" s="65" t="s">
        <v>240</v>
      </c>
      <c r="J84" s="65" t="s">
        <v>3254</v>
      </c>
      <c r="K84" s="65"/>
      <c r="L84" s="65" t="s">
        <v>96</v>
      </c>
      <c r="M84" s="89">
        <v>1.0</v>
      </c>
      <c r="N84" s="90">
        <v>46283.0</v>
      </c>
      <c r="O84" s="42" t="b">
        <v>0</v>
      </c>
      <c r="P84" s="44"/>
      <c r="Q84" s="34"/>
      <c r="R84" s="34"/>
      <c r="S84" s="34"/>
      <c r="T84" s="34"/>
    </row>
    <row r="85" ht="15.75" hidden="1" customHeight="1">
      <c r="B85" s="86">
        <v>46279.0</v>
      </c>
      <c r="C85" s="91" t="s">
        <v>4066</v>
      </c>
      <c r="D85" s="65" t="s">
        <v>4067</v>
      </c>
      <c r="E85" s="87" t="s">
        <v>35</v>
      </c>
      <c r="F85" s="87">
        <v>11432.0</v>
      </c>
      <c r="G85" s="65" t="s">
        <v>4068</v>
      </c>
      <c r="H85" s="65" t="s">
        <v>4069</v>
      </c>
      <c r="I85" s="65" t="s">
        <v>41</v>
      </c>
      <c r="J85" s="65" t="s">
        <v>34</v>
      </c>
      <c r="K85" s="65"/>
      <c r="L85" s="65" t="s">
        <v>96</v>
      </c>
      <c r="M85" s="89">
        <v>31.0</v>
      </c>
      <c r="N85" s="90">
        <v>46283.0</v>
      </c>
      <c r="O85" s="42" t="b">
        <v>0</v>
      </c>
      <c r="P85" s="44"/>
      <c r="Q85" s="34"/>
      <c r="R85" s="34"/>
      <c r="S85" s="34"/>
      <c r="T85" s="34"/>
    </row>
    <row r="86" ht="15.75" hidden="1" customHeight="1">
      <c r="B86" s="48">
        <v>46279.0</v>
      </c>
      <c r="C86" s="91" t="s">
        <v>4070</v>
      </c>
      <c r="D86" s="65" t="s">
        <v>3805</v>
      </c>
      <c r="E86" s="87" t="s">
        <v>35</v>
      </c>
      <c r="F86" s="87">
        <v>14904.9</v>
      </c>
      <c r="G86" s="65" t="s">
        <v>4071</v>
      </c>
      <c r="H86" s="65" t="s">
        <v>4072</v>
      </c>
      <c r="I86" s="65" t="s">
        <v>41</v>
      </c>
      <c r="J86" s="65" t="s">
        <v>34</v>
      </c>
      <c r="K86" s="65"/>
      <c r="L86" s="65" t="s">
        <v>96</v>
      </c>
      <c r="M86" s="89">
        <v>31.0</v>
      </c>
      <c r="N86" s="90">
        <v>46281.0</v>
      </c>
      <c r="O86" s="42" t="b">
        <v>0</v>
      </c>
      <c r="P86" s="44"/>
      <c r="Q86" s="34"/>
      <c r="R86" s="33"/>
      <c r="S86" s="34"/>
      <c r="T86" s="34"/>
    </row>
    <row r="87" ht="15.75" hidden="1" customHeight="1">
      <c r="B87" s="86">
        <v>46279.0</v>
      </c>
      <c r="C87" s="91" t="s">
        <v>4077</v>
      </c>
      <c r="D87" s="65">
        <v>500.0</v>
      </c>
      <c r="E87" s="87">
        <v>5.4</v>
      </c>
      <c r="F87" s="87">
        <v>2700.0</v>
      </c>
      <c r="G87" s="65" t="s">
        <v>4078</v>
      </c>
      <c r="H87" s="65" t="s">
        <v>2579</v>
      </c>
      <c r="I87" s="65" t="s">
        <v>41</v>
      </c>
      <c r="J87" s="65" t="s">
        <v>34</v>
      </c>
      <c r="K87" s="65"/>
      <c r="L87" s="65" t="s">
        <v>1250</v>
      </c>
      <c r="M87" s="89">
        <v>31.0</v>
      </c>
      <c r="N87" s="90">
        <v>46280.0</v>
      </c>
      <c r="O87" s="42" t="b">
        <v>0</v>
      </c>
      <c r="P87" s="44"/>
      <c r="Q87" s="34"/>
      <c r="R87" s="33"/>
      <c r="S87" s="34"/>
      <c r="T87" s="34"/>
    </row>
    <row r="88" ht="15.75" hidden="1" customHeight="1">
      <c r="B88" s="86">
        <v>46279.0</v>
      </c>
      <c r="C88" s="91" t="s">
        <v>35</v>
      </c>
      <c r="D88" s="65">
        <v>50.0</v>
      </c>
      <c r="E88" s="87">
        <v>315.0</v>
      </c>
      <c r="F88" s="87">
        <v>15750.0</v>
      </c>
      <c r="G88" s="65" t="s">
        <v>4081</v>
      </c>
      <c r="H88" s="65"/>
      <c r="I88" s="65" t="s">
        <v>41</v>
      </c>
      <c r="J88" s="65" t="s">
        <v>34</v>
      </c>
      <c r="K88" s="65"/>
      <c r="L88" s="65" t="s">
        <v>4082</v>
      </c>
      <c r="M88" s="89">
        <v>31.0</v>
      </c>
      <c r="N88" s="90">
        <v>46280.0</v>
      </c>
      <c r="O88" s="42" t="b">
        <v>0</v>
      </c>
      <c r="P88" s="44">
        <v>46281.0</v>
      </c>
      <c r="Q88" s="34"/>
      <c r="R88" s="33"/>
      <c r="S88" s="34"/>
      <c r="T88" s="34"/>
    </row>
    <row r="89" ht="15.75" hidden="1" customHeight="1">
      <c r="B89" s="86">
        <v>46279.0</v>
      </c>
      <c r="C89" s="91" t="s">
        <v>4085</v>
      </c>
      <c r="D89" s="65">
        <v>20.0</v>
      </c>
      <c r="E89" s="87">
        <v>315.0</v>
      </c>
      <c r="F89" s="87">
        <v>6300.0</v>
      </c>
      <c r="G89" s="65" t="s">
        <v>3817</v>
      </c>
      <c r="H89" s="65" t="s">
        <v>3818</v>
      </c>
      <c r="I89" s="65" t="s">
        <v>59</v>
      </c>
      <c r="J89" s="65" t="s">
        <v>34</v>
      </c>
      <c r="K89" s="65"/>
      <c r="L89" s="65" t="s">
        <v>46</v>
      </c>
      <c r="M89" s="89">
        <v>31.0</v>
      </c>
      <c r="N89" s="90">
        <v>46279.0</v>
      </c>
      <c r="O89" s="42" t="b">
        <v>0</v>
      </c>
      <c r="P89" s="44"/>
      <c r="Q89" s="34"/>
      <c r="R89" s="33"/>
      <c r="S89" s="34"/>
      <c r="T89" s="34"/>
    </row>
    <row r="90" ht="15.75" customHeight="1">
      <c r="B90" s="86">
        <v>46279.0</v>
      </c>
      <c r="C90" s="91" t="s">
        <v>4086</v>
      </c>
      <c r="D90" s="65">
        <v>40.0</v>
      </c>
      <c r="E90" s="87">
        <v>342.0</v>
      </c>
      <c r="F90" s="87">
        <v>13680.0</v>
      </c>
      <c r="G90" s="65" t="s">
        <v>4087</v>
      </c>
      <c r="H90" s="65" t="s">
        <v>4088</v>
      </c>
      <c r="I90" s="65" t="s">
        <v>175</v>
      </c>
      <c r="J90" s="65" t="s">
        <v>34</v>
      </c>
      <c r="K90" s="65"/>
      <c r="L90" s="65" t="s">
        <v>46</v>
      </c>
      <c r="M90" s="89">
        <v>31.0</v>
      </c>
      <c r="N90" s="93" t="s">
        <v>194</v>
      </c>
      <c r="O90" s="42" t="b">
        <v>0</v>
      </c>
      <c r="P90" s="44"/>
      <c r="Q90" s="34"/>
      <c r="R90" s="34"/>
      <c r="S90" s="34"/>
      <c r="T90" s="34"/>
    </row>
    <row r="91" ht="15.75" hidden="1" customHeight="1">
      <c r="B91" s="86">
        <v>46279.0</v>
      </c>
      <c r="C91" s="91" t="s">
        <v>4089</v>
      </c>
      <c r="D91" s="65" t="s">
        <v>4090</v>
      </c>
      <c r="E91" s="87" t="s">
        <v>35</v>
      </c>
      <c r="F91" s="87">
        <v>12906.3</v>
      </c>
      <c r="G91" s="65" t="s">
        <v>3678</v>
      </c>
      <c r="H91" s="65" t="s">
        <v>3679</v>
      </c>
      <c r="I91" s="65" t="s">
        <v>41</v>
      </c>
      <c r="J91" s="65" t="s">
        <v>34</v>
      </c>
      <c r="K91" s="65"/>
      <c r="L91" s="65" t="s">
        <v>96</v>
      </c>
      <c r="M91" s="89">
        <v>31.0</v>
      </c>
      <c r="N91" s="90">
        <v>46283.0</v>
      </c>
      <c r="O91" s="42" t="b">
        <v>0</v>
      </c>
      <c r="P91" s="44">
        <v>46286.0</v>
      </c>
      <c r="Q91" s="34"/>
      <c r="R91" s="34"/>
      <c r="S91" s="34"/>
      <c r="T91" s="34"/>
    </row>
    <row r="92" ht="15.75" hidden="1" customHeight="1">
      <c r="B92" s="86">
        <v>46279.0</v>
      </c>
      <c r="C92" s="91" t="s">
        <v>4092</v>
      </c>
      <c r="D92" s="65" t="s">
        <v>4094</v>
      </c>
      <c r="E92" s="87" t="s">
        <v>35</v>
      </c>
      <c r="F92" s="87">
        <v>14373.4</v>
      </c>
      <c r="G92" s="65" t="s">
        <v>4095</v>
      </c>
      <c r="H92" s="65" t="s">
        <v>4096</v>
      </c>
      <c r="I92" s="65" t="s">
        <v>41</v>
      </c>
      <c r="J92" s="65" t="s">
        <v>34</v>
      </c>
      <c r="K92" s="65"/>
      <c r="L92" s="65" t="s">
        <v>96</v>
      </c>
      <c r="M92" s="89">
        <v>31.0</v>
      </c>
      <c r="N92" s="90">
        <v>46283.0</v>
      </c>
      <c r="O92" s="42" t="b">
        <v>0</v>
      </c>
      <c r="P92" s="44">
        <v>46286.0</v>
      </c>
      <c r="Q92" s="34"/>
      <c r="R92" s="34"/>
      <c r="S92" s="34"/>
      <c r="T92" s="34"/>
    </row>
    <row r="93" ht="15.75" hidden="1" customHeight="1">
      <c r="B93" s="86">
        <v>46279.0</v>
      </c>
      <c r="C93" s="91" t="s">
        <v>4103</v>
      </c>
      <c r="D93" s="65">
        <v>5.0</v>
      </c>
      <c r="E93" s="87">
        <v>1090.0</v>
      </c>
      <c r="F93" s="87">
        <v>5450.0</v>
      </c>
      <c r="G93" s="65" t="s">
        <v>3928</v>
      </c>
      <c r="H93" s="65" t="s">
        <v>4105</v>
      </c>
      <c r="I93" s="65" t="s">
        <v>175</v>
      </c>
      <c r="J93" s="65" t="s">
        <v>34</v>
      </c>
      <c r="K93" s="65"/>
      <c r="L93" s="65" t="s">
        <v>167</v>
      </c>
      <c r="M93" s="89">
        <v>31.0</v>
      </c>
      <c r="N93" s="90">
        <v>46283.0</v>
      </c>
      <c r="O93" s="42" t="b">
        <v>0</v>
      </c>
      <c r="P93" s="44">
        <v>46286.0</v>
      </c>
      <c r="Q93" s="34"/>
      <c r="R93" s="34"/>
      <c r="S93" s="34"/>
      <c r="T93" s="34"/>
    </row>
    <row r="94" ht="15.75" hidden="1" customHeight="1">
      <c r="B94" s="86">
        <v>46279.0</v>
      </c>
      <c r="C94" s="91" t="s">
        <v>4107</v>
      </c>
      <c r="D94" s="65" t="s">
        <v>3847</v>
      </c>
      <c r="E94" s="87" t="s">
        <v>35</v>
      </c>
      <c r="F94" s="87">
        <v>7096.0</v>
      </c>
      <c r="G94" s="65" t="s">
        <v>4109</v>
      </c>
      <c r="H94" s="65"/>
      <c r="I94" s="65" t="s">
        <v>41</v>
      </c>
      <c r="J94" s="65" t="s">
        <v>34</v>
      </c>
      <c r="K94" s="65"/>
      <c r="L94" s="65" t="s">
        <v>87</v>
      </c>
      <c r="M94" s="89">
        <v>31.0</v>
      </c>
      <c r="N94" s="90">
        <v>46283.0</v>
      </c>
      <c r="O94" s="42" t="b">
        <v>0</v>
      </c>
      <c r="P94" s="44"/>
      <c r="Q94" s="34"/>
      <c r="R94" s="34"/>
      <c r="S94" s="34"/>
      <c r="T94" s="34"/>
    </row>
    <row r="95" ht="15.75" hidden="1" customHeight="1">
      <c r="B95" s="86">
        <v>46279.0</v>
      </c>
      <c r="C95" s="91" t="s">
        <v>4110</v>
      </c>
      <c r="D95" s="65">
        <v>50.0</v>
      </c>
      <c r="E95" s="87">
        <v>18.0</v>
      </c>
      <c r="F95" s="87">
        <v>900.0</v>
      </c>
      <c r="G95" s="65" t="s">
        <v>4111</v>
      </c>
      <c r="H95" s="65" t="s">
        <v>2709</v>
      </c>
      <c r="I95" s="65" t="s">
        <v>59</v>
      </c>
      <c r="J95" s="65" t="s">
        <v>34</v>
      </c>
      <c r="K95" s="65"/>
      <c r="L95" s="65" t="s">
        <v>87</v>
      </c>
      <c r="M95" s="89">
        <v>31.0</v>
      </c>
      <c r="N95" s="90">
        <v>46279.0</v>
      </c>
      <c r="O95" s="42" t="b">
        <v>0</v>
      </c>
      <c r="P95" s="44"/>
      <c r="Q95" s="34"/>
      <c r="R95" s="34"/>
      <c r="S95" s="34"/>
      <c r="T95" s="34"/>
    </row>
    <row r="96" ht="15.75" hidden="1" customHeight="1">
      <c r="B96" s="86">
        <v>46280.0</v>
      </c>
      <c r="C96" s="91" t="s">
        <v>35</v>
      </c>
      <c r="D96" s="65">
        <v>3.0</v>
      </c>
      <c r="E96" s="87">
        <v>7250.0</v>
      </c>
      <c r="F96" s="87">
        <v>21750.0</v>
      </c>
      <c r="G96" s="65" t="s">
        <v>1070</v>
      </c>
      <c r="H96" s="65"/>
      <c r="I96" s="65" t="s">
        <v>157</v>
      </c>
      <c r="J96" s="65" t="s">
        <v>34</v>
      </c>
      <c r="K96" s="65"/>
      <c r="L96" s="65" t="s">
        <v>4112</v>
      </c>
      <c r="M96" s="89">
        <v>31.0</v>
      </c>
      <c r="N96" s="90">
        <v>46280.0</v>
      </c>
      <c r="O96" s="42" t="b">
        <v>0</v>
      </c>
      <c r="P96" s="44">
        <v>46281.0</v>
      </c>
      <c r="Q96" s="34"/>
      <c r="R96" s="34"/>
      <c r="S96" s="34"/>
      <c r="T96" s="34"/>
    </row>
    <row r="97" ht="15.75" hidden="1" customHeight="1">
      <c r="B97" s="86">
        <v>46280.0</v>
      </c>
      <c r="C97" s="91" t="s">
        <v>35</v>
      </c>
      <c r="D97" s="65">
        <v>2.0</v>
      </c>
      <c r="E97" s="87">
        <v>7150.0</v>
      </c>
      <c r="F97" s="87">
        <v>14300.0</v>
      </c>
      <c r="G97" s="65" t="s">
        <v>4116</v>
      </c>
      <c r="H97" s="65"/>
      <c r="I97" s="65" t="s">
        <v>157</v>
      </c>
      <c r="J97" s="65" t="s">
        <v>34</v>
      </c>
      <c r="K97" s="65"/>
      <c r="L97" s="65" t="s">
        <v>4112</v>
      </c>
      <c r="M97" s="89">
        <v>31.0</v>
      </c>
      <c r="N97" s="90">
        <v>46280.0</v>
      </c>
      <c r="O97" s="42" t="b">
        <v>0</v>
      </c>
      <c r="P97" s="44">
        <v>46281.0</v>
      </c>
      <c r="Q97" s="34"/>
      <c r="R97" s="33"/>
      <c r="S97" s="34"/>
      <c r="T97" s="34"/>
    </row>
    <row r="98" ht="15.75" hidden="1" customHeight="1">
      <c r="B98" s="86">
        <v>46280.0</v>
      </c>
      <c r="C98" s="91"/>
      <c r="D98" s="65">
        <v>500.0</v>
      </c>
      <c r="E98" s="87">
        <v>2.8</v>
      </c>
      <c r="F98" s="87">
        <v>1400.0</v>
      </c>
      <c r="G98" s="65" t="s">
        <v>4118</v>
      </c>
      <c r="H98" s="65" t="s">
        <v>2574</v>
      </c>
      <c r="I98" s="65" t="s">
        <v>59</v>
      </c>
      <c r="J98" s="65" t="s">
        <v>34</v>
      </c>
      <c r="K98" s="65"/>
      <c r="L98" s="65" t="s">
        <v>160</v>
      </c>
      <c r="M98" s="89">
        <v>31.0</v>
      </c>
      <c r="N98" s="90">
        <v>46281.0</v>
      </c>
      <c r="O98" s="42" t="b">
        <v>0</v>
      </c>
      <c r="P98" s="44"/>
      <c r="Q98" s="34"/>
      <c r="R98" s="33"/>
      <c r="S98" s="34"/>
      <c r="T98" s="34"/>
    </row>
    <row r="99" ht="15.75" hidden="1" customHeight="1">
      <c r="B99" s="86">
        <v>46280.0</v>
      </c>
      <c r="C99" s="91" t="s">
        <v>4123</v>
      </c>
      <c r="D99" s="65">
        <v>500.0</v>
      </c>
      <c r="E99" s="87">
        <v>160.0</v>
      </c>
      <c r="F99" s="87">
        <v>80000.0</v>
      </c>
      <c r="G99" s="65" t="s">
        <v>4124</v>
      </c>
      <c r="H99" s="65"/>
      <c r="I99" s="65" t="s">
        <v>4125</v>
      </c>
      <c r="J99" s="65" t="s">
        <v>34</v>
      </c>
      <c r="K99" s="65"/>
      <c r="L99" s="65" t="s">
        <v>140</v>
      </c>
      <c r="M99" s="89">
        <v>31.0</v>
      </c>
      <c r="N99" s="90">
        <v>46282.0</v>
      </c>
      <c r="O99" s="42" t="b">
        <v>0</v>
      </c>
      <c r="P99" s="44">
        <v>46283.0</v>
      </c>
      <c r="Q99" s="34"/>
      <c r="R99" s="34"/>
      <c r="S99" s="34"/>
      <c r="T99" s="34"/>
    </row>
    <row r="100" ht="15.75" hidden="1" customHeight="1">
      <c r="A100" s="123"/>
      <c r="B100" s="86">
        <v>46280.0</v>
      </c>
      <c r="C100" s="91" t="s">
        <v>4128</v>
      </c>
      <c r="D100" s="65">
        <v>5.0</v>
      </c>
      <c r="E100" s="87">
        <v>261.0</v>
      </c>
      <c r="F100" s="87">
        <v>1305.0</v>
      </c>
      <c r="G100" s="65" t="s">
        <v>4129</v>
      </c>
      <c r="H100" s="65" t="s">
        <v>4130</v>
      </c>
      <c r="I100" s="65" t="s">
        <v>32</v>
      </c>
      <c r="J100" s="65" t="s">
        <v>34</v>
      </c>
      <c r="K100" s="65"/>
      <c r="L100" s="65" t="s">
        <v>87</v>
      </c>
      <c r="M100" s="89">
        <v>31.0</v>
      </c>
      <c r="N100" s="90">
        <v>46283.0</v>
      </c>
      <c r="O100" s="100" t="b">
        <v>0</v>
      </c>
      <c r="P100" s="48"/>
      <c r="Q100" s="124"/>
      <c r="R100" s="124"/>
      <c r="S100" s="124"/>
      <c r="T100" s="124"/>
      <c r="U100" s="123"/>
      <c r="V100" s="123"/>
      <c r="W100" s="123"/>
      <c r="X100" s="123"/>
      <c r="Y100" s="123"/>
      <c r="Z100" s="123"/>
    </row>
    <row r="101" ht="15.75" hidden="1" customHeight="1">
      <c r="B101" s="86">
        <v>46280.0</v>
      </c>
      <c r="C101" s="91" t="s">
        <v>4133</v>
      </c>
      <c r="D101" s="65" t="s">
        <v>4134</v>
      </c>
      <c r="E101" s="87" t="s">
        <v>35</v>
      </c>
      <c r="F101" s="87">
        <v>8868.0</v>
      </c>
      <c r="G101" s="65" t="s">
        <v>4136</v>
      </c>
      <c r="H101" s="65" t="s">
        <v>4137</v>
      </c>
      <c r="I101" s="65" t="s">
        <v>32</v>
      </c>
      <c r="J101" s="65" t="s">
        <v>34</v>
      </c>
      <c r="K101" s="65"/>
      <c r="L101" s="65" t="s">
        <v>96</v>
      </c>
      <c r="M101" s="89">
        <v>1.0</v>
      </c>
      <c r="N101" s="90">
        <v>46283.0</v>
      </c>
      <c r="O101" s="42" t="b">
        <v>0</v>
      </c>
      <c r="P101" s="44">
        <v>46290.0</v>
      </c>
      <c r="Q101" s="34"/>
      <c r="R101" s="34"/>
      <c r="S101" s="34"/>
      <c r="T101" s="35"/>
    </row>
    <row r="102" ht="15.75" hidden="1" customHeight="1">
      <c r="B102" s="86">
        <v>46280.0</v>
      </c>
      <c r="C102" s="91" t="s">
        <v>35</v>
      </c>
      <c r="D102" s="65">
        <v>50.0</v>
      </c>
      <c r="E102" s="87">
        <v>35.0</v>
      </c>
      <c r="F102" s="87">
        <v>38500.0</v>
      </c>
      <c r="G102" s="65" t="s">
        <v>4139</v>
      </c>
      <c r="H102" s="65" t="s">
        <v>4140</v>
      </c>
      <c r="I102" s="65" t="s">
        <v>32</v>
      </c>
      <c r="J102" s="65" t="s">
        <v>34</v>
      </c>
      <c r="K102" s="65"/>
      <c r="L102" s="65" t="s">
        <v>308</v>
      </c>
      <c r="M102" s="89">
        <v>31.0</v>
      </c>
      <c r="N102" s="90">
        <v>46283.0</v>
      </c>
      <c r="O102" s="42" t="b">
        <v>0</v>
      </c>
      <c r="P102" s="44"/>
      <c r="Q102" s="34"/>
      <c r="R102" s="34"/>
      <c r="S102" s="34"/>
      <c r="T102" s="34"/>
    </row>
    <row r="103" ht="15.75" hidden="1" customHeight="1">
      <c r="B103" s="86">
        <v>46280.0</v>
      </c>
      <c r="C103" s="91" t="s">
        <v>35</v>
      </c>
      <c r="D103" s="65">
        <v>50.0</v>
      </c>
      <c r="E103" s="87">
        <v>60.0</v>
      </c>
      <c r="F103" s="87">
        <v>6000.0</v>
      </c>
      <c r="G103" s="65" t="s">
        <v>4142</v>
      </c>
      <c r="H103" s="65" t="s">
        <v>4143</v>
      </c>
      <c r="I103" s="65" t="s">
        <v>32</v>
      </c>
      <c r="J103" s="65" t="s">
        <v>34</v>
      </c>
      <c r="K103" s="65"/>
      <c r="L103" s="65" t="s">
        <v>308</v>
      </c>
      <c r="M103" s="89">
        <v>31.0</v>
      </c>
      <c r="N103" s="90">
        <v>46283.0</v>
      </c>
      <c r="O103" s="42" t="b">
        <v>0</v>
      </c>
      <c r="P103" s="44"/>
      <c r="Q103" s="34"/>
      <c r="R103" s="34"/>
      <c r="S103" s="34"/>
      <c r="T103" s="34"/>
    </row>
    <row r="104" ht="15.75" hidden="1" customHeight="1">
      <c r="B104" s="86">
        <v>46280.0</v>
      </c>
      <c r="C104" s="91" t="s">
        <v>35</v>
      </c>
      <c r="D104" s="65">
        <v>50.0</v>
      </c>
      <c r="E104" s="87">
        <v>95.0</v>
      </c>
      <c r="F104" s="87">
        <v>33250.0</v>
      </c>
      <c r="G104" s="65" t="s">
        <v>4145</v>
      </c>
      <c r="H104" s="65" t="s">
        <v>4146</v>
      </c>
      <c r="I104" s="65" t="s">
        <v>32</v>
      </c>
      <c r="J104" s="65" t="s">
        <v>34</v>
      </c>
      <c r="K104" s="65"/>
      <c r="L104" s="65" t="s">
        <v>308</v>
      </c>
      <c r="M104" s="89">
        <v>31.0</v>
      </c>
      <c r="N104" s="90">
        <v>46283.0</v>
      </c>
      <c r="O104" s="42" t="b">
        <v>0</v>
      </c>
      <c r="P104" s="44"/>
      <c r="Q104" s="34"/>
      <c r="R104" s="34"/>
      <c r="S104" s="34"/>
      <c r="T104" s="34"/>
    </row>
    <row r="105" ht="15.75" hidden="1" customHeight="1">
      <c r="B105" s="86">
        <v>46280.0</v>
      </c>
      <c r="C105" s="91" t="s">
        <v>4147</v>
      </c>
      <c r="D105" s="65" t="s">
        <v>4149</v>
      </c>
      <c r="E105" s="87" t="s">
        <v>35</v>
      </c>
      <c r="F105" s="87">
        <v>23929.32</v>
      </c>
      <c r="G105" s="65" t="s">
        <v>4150</v>
      </c>
      <c r="H105" s="65" t="s">
        <v>4151</v>
      </c>
      <c r="I105" s="65" t="s">
        <v>79</v>
      </c>
      <c r="J105" s="65" t="s">
        <v>40</v>
      </c>
      <c r="K105" s="65"/>
      <c r="L105" s="65" t="s">
        <v>96</v>
      </c>
      <c r="M105" s="89" t="s">
        <v>79</v>
      </c>
      <c r="N105" s="90">
        <v>46283.0</v>
      </c>
      <c r="O105" s="42" t="b">
        <v>0</v>
      </c>
      <c r="P105" s="44"/>
      <c r="Q105" s="34"/>
      <c r="R105" s="34"/>
      <c r="S105" s="34"/>
      <c r="T105" s="34"/>
    </row>
    <row r="106" ht="15.75" hidden="1" customHeight="1">
      <c r="B106" s="86">
        <v>46280.0</v>
      </c>
      <c r="C106" s="91" t="s">
        <v>4152</v>
      </c>
      <c r="D106" s="65">
        <v>100.0</v>
      </c>
      <c r="E106" s="87">
        <v>285.0</v>
      </c>
      <c r="F106" s="87">
        <v>28500.0</v>
      </c>
      <c r="G106" s="65" t="s">
        <v>4153</v>
      </c>
      <c r="H106" s="65"/>
      <c r="I106" s="65" t="s">
        <v>32</v>
      </c>
      <c r="J106" s="65" t="s">
        <v>34</v>
      </c>
      <c r="K106" s="65"/>
      <c r="L106" s="65" t="s">
        <v>868</v>
      </c>
      <c r="M106" s="89">
        <v>31.0</v>
      </c>
      <c r="N106" s="90">
        <v>46283.0</v>
      </c>
      <c r="O106" s="42" t="b">
        <v>0</v>
      </c>
      <c r="P106" s="44">
        <v>46286.0</v>
      </c>
      <c r="Q106" s="34"/>
      <c r="R106" s="34"/>
      <c r="S106" s="34"/>
      <c r="T106" s="34"/>
    </row>
    <row r="107" ht="15.75" hidden="1" customHeight="1">
      <c r="B107" s="48">
        <v>46280.0</v>
      </c>
      <c r="C107" s="91" t="s">
        <v>4155</v>
      </c>
      <c r="D107" s="65">
        <v>80.0</v>
      </c>
      <c r="E107" s="87">
        <v>9.7</v>
      </c>
      <c r="F107" s="87">
        <v>776.0</v>
      </c>
      <c r="G107" s="65" t="s">
        <v>4156</v>
      </c>
      <c r="H107" s="65" t="s">
        <v>361</v>
      </c>
      <c r="I107" s="65" t="s">
        <v>59</v>
      </c>
      <c r="J107" s="65" t="s">
        <v>34</v>
      </c>
      <c r="K107" s="65"/>
      <c r="L107" s="65" t="s">
        <v>87</v>
      </c>
      <c r="M107" s="89">
        <v>31.0</v>
      </c>
      <c r="N107" s="90">
        <v>46280.0</v>
      </c>
      <c r="O107" s="42" t="b">
        <v>0</v>
      </c>
      <c r="P107" s="44"/>
      <c r="Q107" s="34"/>
      <c r="R107" s="34"/>
      <c r="S107" s="34"/>
      <c r="T107" s="34"/>
    </row>
    <row r="108" ht="15.75" hidden="1" customHeight="1">
      <c r="B108" s="86">
        <v>46280.0</v>
      </c>
      <c r="C108" s="91" t="s">
        <v>4158</v>
      </c>
      <c r="D108" s="65" t="s">
        <v>4067</v>
      </c>
      <c r="E108" s="87" t="s">
        <v>35</v>
      </c>
      <c r="F108" s="87">
        <v>16674.4</v>
      </c>
      <c r="G108" s="65" t="s">
        <v>4159</v>
      </c>
      <c r="H108" s="65" t="s">
        <v>4160</v>
      </c>
      <c r="I108" s="65" t="s">
        <v>32</v>
      </c>
      <c r="J108" s="65" t="s">
        <v>34</v>
      </c>
      <c r="K108" s="65"/>
      <c r="L108" s="65" t="s">
        <v>96</v>
      </c>
      <c r="M108" s="89">
        <v>31.0</v>
      </c>
      <c r="N108" s="90">
        <v>46283.0</v>
      </c>
      <c r="O108" s="42" t="b">
        <v>0</v>
      </c>
      <c r="P108" s="44"/>
      <c r="Q108" s="34"/>
      <c r="R108" s="34"/>
      <c r="S108" s="34"/>
      <c r="T108" s="34"/>
    </row>
    <row r="109" ht="15.75" hidden="1" customHeight="1">
      <c r="B109" s="86">
        <v>46280.0</v>
      </c>
      <c r="C109" s="91" t="s">
        <v>4164</v>
      </c>
      <c r="D109" s="65" t="s">
        <v>4165</v>
      </c>
      <c r="E109" s="87" t="s">
        <v>35</v>
      </c>
      <c r="F109" s="87">
        <v>18312.06</v>
      </c>
      <c r="G109" s="65" t="s">
        <v>4166</v>
      </c>
      <c r="H109" s="65" t="s">
        <v>4167</v>
      </c>
      <c r="I109" s="65" t="s">
        <v>32</v>
      </c>
      <c r="J109" s="65" t="s">
        <v>34</v>
      </c>
      <c r="K109" s="65"/>
      <c r="L109" s="65" t="s">
        <v>96</v>
      </c>
      <c r="M109" s="89">
        <v>31.0</v>
      </c>
      <c r="N109" s="90">
        <v>46283.0</v>
      </c>
      <c r="O109" s="42" t="b">
        <v>0</v>
      </c>
      <c r="P109" s="44"/>
      <c r="Q109" s="34"/>
      <c r="R109" s="34"/>
      <c r="S109" s="34"/>
      <c r="T109" s="34"/>
    </row>
    <row r="110" ht="15.75" hidden="1" customHeight="1">
      <c r="B110" s="86">
        <v>46281.0</v>
      </c>
      <c r="C110" s="91" t="s">
        <v>35</v>
      </c>
      <c r="D110" s="65">
        <v>1500.0</v>
      </c>
      <c r="E110" s="87">
        <v>13.47</v>
      </c>
      <c r="F110" s="87">
        <v>20205.0</v>
      </c>
      <c r="G110" s="65" t="s">
        <v>4170</v>
      </c>
      <c r="H110" s="65" t="s">
        <v>4171</v>
      </c>
      <c r="I110" s="65" t="s">
        <v>41</v>
      </c>
      <c r="J110" s="65" t="s">
        <v>40</v>
      </c>
      <c r="K110" s="65" t="s">
        <v>4172</v>
      </c>
      <c r="L110" s="65" t="s">
        <v>160</v>
      </c>
      <c r="M110" s="89">
        <v>31.0</v>
      </c>
      <c r="N110" s="90">
        <v>46283.0</v>
      </c>
      <c r="O110" s="42" t="b">
        <v>0</v>
      </c>
      <c r="P110" s="44"/>
      <c r="Q110" s="34"/>
      <c r="R110" s="34"/>
      <c r="S110" s="34"/>
      <c r="T110" s="34"/>
    </row>
    <row r="111" ht="15.75" hidden="1" customHeight="1">
      <c r="B111" s="86">
        <v>46281.0</v>
      </c>
      <c r="C111" s="91" t="s">
        <v>4174</v>
      </c>
      <c r="D111" s="65" t="s">
        <v>3773</v>
      </c>
      <c r="E111" s="87" t="s">
        <v>35</v>
      </c>
      <c r="F111" s="87">
        <v>12600.0</v>
      </c>
      <c r="G111" s="65" t="s">
        <v>4175</v>
      </c>
      <c r="H111" s="65" t="s">
        <v>4176</v>
      </c>
      <c r="I111" s="65" t="s">
        <v>59</v>
      </c>
      <c r="J111" s="65" t="s">
        <v>34</v>
      </c>
      <c r="K111" s="65"/>
      <c r="L111" s="65" t="s">
        <v>87</v>
      </c>
      <c r="M111" s="89">
        <v>31.0</v>
      </c>
      <c r="N111" s="90">
        <v>46283.0</v>
      </c>
      <c r="O111" s="42" t="b">
        <v>0</v>
      </c>
      <c r="P111" s="44"/>
      <c r="Q111" s="34"/>
      <c r="R111" s="34"/>
      <c r="S111" s="34"/>
      <c r="T111" s="34"/>
    </row>
    <row r="112" ht="15.75" hidden="1" customHeight="1">
      <c r="B112" s="86">
        <v>46281.0</v>
      </c>
      <c r="C112" s="91" t="s">
        <v>4179</v>
      </c>
      <c r="D112" s="65">
        <v>48.0</v>
      </c>
      <c r="E112" s="87">
        <v>20.7</v>
      </c>
      <c r="F112" s="87">
        <v>993.6</v>
      </c>
      <c r="G112" s="65" t="s">
        <v>4181</v>
      </c>
      <c r="H112" s="65" t="s">
        <v>4182</v>
      </c>
      <c r="I112" s="65" t="s">
        <v>4183</v>
      </c>
      <c r="J112" s="65" t="s">
        <v>3254</v>
      </c>
      <c r="K112" s="65"/>
      <c r="L112" s="65" t="s">
        <v>241</v>
      </c>
      <c r="M112" s="89">
        <v>31.0</v>
      </c>
      <c r="N112" s="93"/>
      <c r="O112" s="42" t="b">
        <v>0</v>
      </c>
      <c r="P112" s="44"/>
      <c r="Q112" s="34"/>
      <c r="R112" s="34"/>
      <c r="S112" s="34"/>
      <c r="T112" s="34"/>
    </row>
    <row r="113" ht="15.75" hidden="1" customHeight="1">
      <c r="B113" s="86">
        <v>46281.0</v>
      </c>
      <c r="C113" s="91" t="s">
        <v>4185</v>
      </c>
      <c r="D113" s="65">
        <v>100.0</v>
      </c>
      <c r="E113" s="87">
        <v>14.4</v>
      </c>
      <c r="F113" s="87">
        <v>288.0</v>
      </c>
      <c r="G113" s="65" t="s">
        <v>4186</v>
      </c>
      <c r="H113" s="65" t="s">
        <v>2930</v>
      </c>
      <c r="I113" s="65" t="s">
        <v>175</v>
      </c>
      <c r="J113" s="65" t="s">
        <v>34</v>
      </c>
      <c r="K113" s="65"/>
      <c r="L113" s="65" t="s">
        <v>87</v>
      </c>
      <c r="M113" s="89">
        <v>31.0</v>
      </c>
      <c r="N113" s="90">
        <v>46283.0</v>
      </c>
      <c r="O113" s="42" t="b">
        <v>0</v>
      </c>
      <c r="P113" s="44"/>
      <c r="Q113" s="34"/>
      <c r="R113" s="34"/>
      <c r="S113" s="34"/>
      <c r="T113" s="34"/>
    </row>
    <row r="114" ht="15.75" hidden="1" customHeight="1">
      <c r="B114" s="86">
        <v>46281.0</v>
      </c>
      <c r="C114" s="91" t="s">
        <v>4185</v>
      </c>
      <c r="D114" s="65">
        <v>100.0</v>
      </c>
      <c r="E114" s="87">
        <v>54.0</v>
      </c>
      <c r="F114" s="87">
        <v>1080.0</v>
      </c>
      <c r="G114" s="65" t="s">
        <v>4189</v>
      </c>
      <c r="H114" s="65" t="s">
        <v>4190</v>
      </c>
      <c r="I114" s="65" t="s">
        <v>175</v>
      </c>
      <c r="J114" s="65" t="s">
        <v>34</v>
      </c>
      <c r="K114" s="65"/>
      <c r="L114" s="65" t="s">
        <v>87</v>
      </c>
      <c r="M114" s="89">
        <v>31.0</v>
      </c>
      <c r="N114" s="90">
        <v>46283.0</v>
      </c>
      <c r="O114" s="42" t="b">
        <v>0</v>
      </c>
      <c r="P114" s="44"/>
      <c r="Q114" s="34"/>
      <c r="R114" s="34"/>
      <c r="S114" s="34"/>
      <c r="T114" s="34"/>
    </row>
    <row r="115" ht="15.75" hidden="1" customHeight="1">
      <c r="B115" s="86">
        <v>46281.0</v>
      </c>
      <c r="C115" s="91" t="s">
        <v>4193</v>
      </c>
      <c r="D115" s="65">
        <v>60.0</v>
      </c>
      <c r="E115" s="87">
        <v>115.0</v>
      </c>
      <c r="F115" s="87">
        <v>6900.0</v>
      </c>
      <c r="G115" s="65" t="s">
        <v>4194</v>
      </c>
      <c r="H115" s="65" t="s">
        <v>4195</v>
      </c>
      <c r="I115" s="65" t="s">
        <v>59</v>
      </c>
      <c r="J115" s="65" t="s">
        <v>34</v>
      </c>
      <c r="K115" s="65"/>
      <c r="L115" s="65" t="s">
        <v>87</v>
      </c>
      <c r="M115" s="89">
        <v>31.0</v>
      </c>
      <c r="N115" s="90">
        <v>46291.0</v>
      </c>
      <c r="O115" s="42" t="b">
        <v>0</v>
      </c>
      <c r="P115" s="44"/>
      <c r="Q115" s="34"/>
      <c r="R115" s="34"/>
      <c r="S115" s="34"/>
      <c r="T115" s="34"/>
    </row>
    <row r="116" ht="15.75" customHeight="1">
      <c r="B116" s="86">
        <v>46281.0</v>
      </c>
      <c r="C116" s="91" t="s">
        <v>4197</v>
      </c>
      <c r="D116" s="65">
        <v>100.0</v>
      </c>
      <c r="E116" s="87">
        <v>480.0</v>
      </c>
      <c r="F116" s="87">
        <v>48000.0</v>
      </c>
      <c r="G116" s="65" t="s">
        <v>4198</v>
      </c>
      <c r="H116" s="65"/>
      <c r="I116" s="65" t="s">
        <v>4199</v>
      </c>
      <c r="J116" s="65" t="s">
        <v>34</v>
      </c>
      <c r="K116" s="65"/>
      <c r="L116" s="65" t="s">
        <v>4200</v>
      </c>
      <c r="M116" s="89">
        <v>31.0</v>
      </c>
      <c r="N116" s="93" t="s">
        <v>194</v>
      </c>
      <c r="O116" s="42" t="b">
        <v>0</v>
      </c>
      <c r="P116" s="44"/>
      <c r="Q116" s="34"/>
      <c r="R116" s="34"/>
      <c r="S116" s="34"/>
      <c r="T116" s="34"/>
    </row>
    <row r="117" ht="15.75" hidden="1" customHeight="1">
      <c r="B117" s="48">
        <v>46281.0</v>
      </c>
      <c r="C117" s="91" t="s">
        <v>4201</v>
      </c>
      <c r="D117" s="65">
        <v>20.0</v>
      </c>
      <c r="E117" s="87">
        <v>260.0</v>
      </c>
      <c r="F117" s="87">
        <v>5200.0</v>
      </c>
      <c r="G117" s="65" t="s">
        <v>4203</v>
      </c>
      <c r="H117" s="65" t="s">
        <v>2197</v>
      </c>
      <c r="I117" s="65" t="s">
        <v>59</v>
      </c>
      <c r="J117" s="65" t="s">
        <v>34</v>
      </c>
      <c r="K117" s="65"/>
      <c r="L117" s="65" t="s">
        <v>87</v>
      </c>
      <c r="M117" s="89">
        <v>31.0</v>
      </c>
      <c r="N117" s="90">
        <v>46283.0</v>
      </c>
      <c r="O117" s="42" t="b">
        <v>0</v>
      </c>
      <c r="P117" s="44"/>
      <c r="Q117" s="33"/>
      <c r="R117" s="34"/>
      <c r="S117" s="34"/>
      <c r="T117" s="34"/>
    </row>
    <row r="118" ht="15.75" hidden="1" customHeight="1">
      <c r="B118" s="86">
        <v>46281.0</v>
      </c>
      <c r="C118" s="91" t="s">
        <v>4207</v>
      </c>
      <c r="D118" s="65" t="s">
        <v>3886</v>
      </c>
      <c r="E118" s="87" t="s">
        <v>35</v>
      </c>
      <c r="F118" s="87">
        <v>3109.72</v>
      </c>
      <c r="G118" s="65" t="s">
        <v>4208</v>
      </c>
      <c r="H118" s="65" t="s">
        <v>4209</v>
      </c>
      <c r="I118" s="65" t="s">
        <v>240</v>
      </c>
      <c r="J118" s="65" t="s">
        <v>3254</v>
      </c>
      <c r="K118" s="65"/>
      <c r="L118" s="65" t="s">
        <v>96</v>
      </c>
      <c r="M118" s="89">
        <v>1.0</v>
      </c>
      <c r="N118" s="90">
        <v>46290.0</v>
      </c>
      <c r="O118" s="42" t="b">
        <v>0</v>
      </c>
      <c r="P118" s="44">
        <v>46293.0</v>
      </c>
      <c r="Q118" s="34"/>
      <c r="R118" s="35"/>
      <c r="S118" s="34"/>
      <c r="T118" s="35"/>
    </row>
    <row r="119" ht="15.75" hidden="1" customHeight="1">
      <c r="B119" s="86">
        <v>46281.0</v>
      </c>
      <c r="C119" s="91" t="s">
        <v>4212</v>
      </c>
      <c r="D119" s="65" t="s">
        <v>3886</v>
      </c>
      <c r="E119" s="87" t="s">
        <v>35</v>
      </c>
      <c r="F119" s="87">
        <v>3025.8</v>
      </c>
      <c r="G119" s="65" t="s">
        <v>4214</v>
      </c>
      <c r="H119" s="65" t="s">
        <v>4215</v>
      </c>
      <c r="I119" s="65" t="s">
        <v>4216</v>
      </c>
      <c r="J119" s="65" t="s">
        <v>3254</v>
      </c>
      <c r="K119" s="65"/>
      <c r="L119" s="65" t="s">
        <v>96</v>
      </c>
      <c r="M119" s="89">
        <v>1.0</v>
      </c>
      <c r="N119" s="90">
        <v>46290.0</v>
      </c>
      <c r="O119" s="42" t="b">
        <v>0</v>
      </c>
      <c r="P119" s="44">
        <v>46293.0</v>
      </c>
      <c r="Q119" s="34"/>
      <c r="R119" s="35"/>
      <c r="S119" s="34"/>
      <c r="T119" s="35"/>
    </row>
    <row r="120" ht="15.75" hidden="1" customHeight="1">
      <c r="B120" s="86">
        <v>46281.0</v>
      </c>
      <c r="C120" s="91" t="s">
        <v>4219</v>
      </c>
      <c r="D120" s="65" t="s">
        <v>3847</v>
      </c>
      <c r="E120" s="87" t="s">
        <v>35</v>
      </c>
      <c r="F120" s="87">
        <v>5697.18</v>
      </c>
      <c r="G120" s="65" t="s">
        <v>4222</v>
      </c>
      <c r="H120" s="65" t="s">
        <v>4223</v>
      </c>
      <c r="I120" s="65" t="s">
        <v>41</v>
      </c>
      <c r="J120" s="65" t="s">
        <v>34</v>
      </c>
      <c r="K120" s="65"/>
      <c r="L120" s="65" t="s">
        <v>719</v>
      </c>
      <c r="M120" s="89">
        <v>31.0</v>
      </c>
      <c r="N120" s="90">
        <v>46288.0</v>
      </c>
      <c r="O120" s="42" t="b">
        <v>0</v>
      </c>
      <c r="P120" s="44"/>
      <c r="Q120" s="34"/>
      <c r="R120" s="35"/>
      <c r="S120" s="34"/>
      <c r="T120" s="35"/>
    </row>
    <row r="121" ht="15.75" hidden="1" customHeight="1">
      <c r="B121" s="86">
        <v>46281.0</v>
      </c>
      <c r="C121" s="91" t="s">
        <v>4225</v>
      </c>
      <c r="D121" s="65">
        <v>100.0</v>
      </c>
      <c r="E121" s="87">
        <v>315.0</v>
      </c>
      <c r="F121" s="87">
        <v>31500.0</v>
      </c>
      <c r="G121" s="65" t="s">
        <v>4228</v>
      </c>
      <c r="H121" s="65" t="s">
        <v>3818</v>
      </c>
      <c r="I121" s="65" t="s">
        <v>32</v>
      </c>
      <c r="J121" s="65" t="s">
        <v>34</v>
      </c>
      <c r="K121" s="125" t="s">
        <v>4229</v>
      </c>
      <c r="L121" s="65" t="s">
        <v>46</v>
      </c>
      <c r="M121" s="89">
        <v>31.0</v>
      </c>
      <c r="N121" s="90">
        <v>46283.0</v>
      </c>
      <c r="O121" s="42" t="b">
        <v>0</v>
      </c>
      <c r="P121" s="44">
        <v>46287.0</v>
      </c>
      <c r="Q121" s="34"/>
      <c r="R121" s="35"/>
      <c r="S121" s="34"/>
      <c r="T121" s="35"/>
    </row>
    <row r="122" ht="15.75" hidden="1" customHeight="1">
      <c r="B122" s="86">
        <v>46281.0</v>
      </c>
      <c r="C122" s="91" t="s">
        <v>4232</v>
      </c>
      <c r="D122" s="65">
        <v>40.0</v>
      </c>
      <c r="E122" s="87">
        <v>330.0</v>
      </c>
      <c r="F122" s="87">
        <v>13200.0</v>
      </c>
      <c r="G122" s="65" t="s">
        <v>4228</v>
      </c>
      <c r="H122" s="65" t="s">
        <v>3818</v>
      </c>
      <c r="I122" s="65" t="s">
        <v>59</v>
      </c>
      <c r="J122" s="65" t="s">
        <v>34</v>
      </c>
      <c r="K122" s="65"/>
      <c r="L122" s="65" t="s">
        <v>46</v>
      </c>
      <c r="M122" s="89">
        <v>31.0</v>
      </c>
      <c r="N122" s="90">
        <v>46281.0</v>
      </c>
      <c r="O122" s="42" t="b">
        <v>0</v>
      </c>
      <c r="P122" s="44"/>
      <c r="Q122" s="34"/>
      <c r="R122" s="35"/>
      <c r="S122" s="34"/>
      <c r="T122" s="35"/>
    </row>
    <row r="123" ht="15.75" hidden="1" customHeight="1">
      <c r="B123" s="86">
        <v>46281.0</v>
      </c>
      <c r="C123" s="91" t="s">
        <v>4234</v>
      </c>
      <c r="D123" s="65">
        <v>880.0</v>
      </c>
      <c r="E123" s="87">
        <v>148.75</v>
      </c>
      <c r="F123" s="87">
        <v>130900.0</v>
      </c>
      <c r="G123" s="65" t="s">
        <v>3962</v>
      </c>
      <c r="H123" s="65" t="s">
        <v>4236</v>
      </c>
      <c r="I123" s="65" t="s">
        <v>41</v>
      </c>
      <c r="J123" s="65" t="s">
        <v>34</v>
      </c>
      <c r="K123" s="65"/>
      <c r="L123" s="65" t="s">
        <v>46</v>
      </c>
      <c r="M123" s="89">
        <v>31.0</v>
      </c>
      <c r="N123" s="90">
        <v>46283.0</v>
      </c>
      <c r="O123" s="42" t="b">
        <v>0</v>
      </c>
      <c r="P123" s="44">
        <v>46287.0</v>
      </c>
      <c r="Q123" s="34"/>
      <c r="R123" s="35"/>
      <c r="S123" s="34"/>
      <c r="T123" s="35"/>
    </row>
    <row r="124" ht="15.75" hidden="1" customHeight="1">
      <c r="B124" s="86">
        <v>46281.0</v>
      </c>
      <c r="C124" s="91" t="s">
        <v>4239</v>
      </c>
      <c r="D124" s="65">
        <v>4.0</v>
      </c>
      <c r="E124" s="87">
        <v>368.0</v>
      </c>
      <c r="F124" s="87">
        <v>1472.0</v>
      </c>
      <c r="G124" s="65" t="s">
        <v>4242</v>
      </c>
      <c r="H124" s="65" t="s">
        <v>443</v>
      </c>
      <c r="I124" s="65" t="s">
        <v>59</v>
      </c>
      <c r="J124" s="65" t="s">
        <v>34</v>
      </c>
      <c r="K124" s="65"/>
      <c r="L124" s="65" t="s">
        <v>151</v>
      </c>
      <c r="M124" s="89">
        <v>31.0</v>
      </c>
      <c r="N124" s="90">
        <v>46281.0</v>
      </c>
      <c r="O124" s="42" t="b">
        <v>0</v>
      </c>
      <c r="P124" s="44"/>
      <c r="Q124" s="34"/>
      <c r="R124" s="35"/>
      <c r="S124" s="34"/>
      <c r="T124" s="35"/>
    </row>
    <row r="125" ht="15.75" hidden="1" customHeight="1">
      <c r="B125" s="86">
        <v>46282.0</v>
      </c>
      <c r="C125" s="91" t="s">
        <v>35</v>
      </c>
      <c r="D125" s="65">
        <v>1.0</v>
      </c>
      <c r="E125" s="87">
        <v>7100.0</v>
      </c>
      <c r="F125" s="87">
        <v>7100.0</v>
      </c>
      <c r="G125" s="65" t="s">
        <v>2519</v>
      </c>
      <c r="H125" s="65"/>
      <c r="I125" s="65" t="s">
        <v>221</v>
      </c>
      <c r="J125" s="65" t="s">
        <v>34</v>
      </c>
      <c r="K125" s="65"/>
      <c r="L125" s="65" t="s">
        <v>3533</v>
      </c>
      <c r="M125" s="89">
        <v>31.0</v>
      </c>
      <c r="N125" s="90">
        <v>46282.0</v>
      </c>
      <c r="O125" s="42" t="b">
        <v>0</v>
      </c>
      <c r="P125" s="44">
        <v>46283.0</v>
      </c>
      <c r="Q125" s="34"/>
      <c r="R125" s="35"/>
      <c r="S125" s="34"/>
      <c r="T125" s="35"/>
    </row>
    <row r="126" ht="15.75" hidden="1" customHeight="1">
      <c r="B126" s="86">
        <v>46282.0</v>
      </c>
      <c r="C126" s="91" t="s">
        <v>35</v>
      </c>
      <c r="D126" s="65">
        <v>100.0</v>
      </c>
      <c r="E126" s="87">
        <v>395.0</v>
      </c>
      <c r="F126" s="87">
        <v>39105.0</v>
      </c>
      <c r="G126" s="65" t="s">
        <v>4246</v>
      </c>
      <c r="H126" s="65"/>
      <c r="I126" s="65" t="s">
        <v>4247</v>
      </c>
      <c r="J126" s="65" t="s">
        <v>3254</v>
      </c>
      <c r="K126" s="65"/>
      <c r="L126" s="65" t="s">
        <v>4060</v>
      </c>
      <c r="M126" s="89">
        <v>31.0</v>
      </c>
      <c r="N126" s="90">
        <v>46287.0</v>
      </c>
      <c r="O126" s="42" t="b">
        <v>0</v>
      </c>
      <c r="P126" s="44">
        <v>46288.0</v>
      </c>
      <c r="Q126" s="34"/>
      <c r="R126" s="35"/>
      <c r="S126" s="34"/>
      <c r="T126" s="34"/>
    </row>
    <row r="127" ht="15.75" hidden="1" customHeight="1">
      <c r="B127" s="86">
        <v>46282.0</v>
      </c>
      <c r="C127" s="98"/>
      <c r="D127" s="65">
        <v>100.0</v>
      </c>
      <c r="E127" s="87">
        <v>40.5</v>
      </c>
      <c r="F127" s="87">
        <v>4050.0</v>
      </c>
      <c r="G127" s="65" t="s">
        <v>4250</v>
      </c>
      <c r="H127" s="65" t="s">
        <v>4252</v>
      </c>
      <c r="I127" s="65" t="s">
        <v>41</v>
      </c>
      <c r="J127" s="65" t="s">
        <v>34</v>
      </c>
      <c r="K127" s="65"/>
      <c r="L127" s="65" t="s">
        <v>3943</v>
      </c>
      <c r="M127" s="89">
        <v>31.0</v>
      </c>
      <c r="N127" s="90">
        <v>46283.0</v>
      </c>
      <c r="O127" s="42" t="b">
        <v>0</v>
      </c>
      <c r="P127" s="44">
        <v>46286.0</v>
      </c>
      <c r="Q127" s="34"/>
      <c r="R127" s="34"/>
      <c r="S127" s="34"/>
      <c r="T127" s="34"/>
    </row>
    <row r="128" ht="15.75" hidden="1" customHeight="1">
      <c r="B128" s="86">
        <v>46282.0</v>
      </c>
      <c r="C128" s="65"/>
      <c r="D128" s="65">
        <v>100.0</v>
      </c>
      <c r="E128" s="87">
        <v>23.4</v>
      </c>
      <c r="F128" s="87">
        <v>2340.0</v>
      </c>
      <c r="G128" s="65" t="s">
        <v>4257</v>
      </c>
      <c r="H128" s="65" t="s">
        <v>4258</v>
      </c>
      <c r="I128" s="65" t="s">
        <v>41</v>
      </c>
      <c r="J128" s="65" t="s">
        <v>34</v>
      </c>
      <c r="K128" s="65"/>
      <c r="L128" s="65" t="s">
        <v>3943</v>
      </c>
      <c r="M128" s="89">
        <v>31.0</v>
      </c>
      <c r="N128" s="90">
        <v>46283.0</v>
      </c>
      <c r="O128" s="42" t="b">
        <v>0</v>
      </c>
      <c r="P128" s="44">
        <v>46286.0</v>
      </c>
      <c r="Q128" s="34"/>
      <c r="R128" s="34"/>
      <c r="S128" s="34"/>
      <c r="T128" s="34"/>
    </row>
    <row r="129" ht="15.75" hidden="1" customHeight="1">
      <c r="B129" s="86">
        <v>46282.0</v>
      </c>
      <c r="C129" s="65"/>
      <c r="D129" s="65">
        <v>100.0</v>
      </c>
      <c r="E129" s="87">
        <v>27.0</v>
      </c>
      <c r="F129" s="87">
        <v>2700.0</v>
      </c>
      <c r="G129" s="65" t="s">
        <v>4262</v>
      </c>
      <c r="H129" s="65" t="s">
        <v>4263</v>
      </c>
      <c r="I129" s="65" t="s">
        <v>41</v>
      </c>
      <c r="J129" s="65" t="s">
        <v>34</v>
      </c>
      <c r="K129" s="65"/>
      <c r="L129" s="65" t="s">
        <v>3943</v>
      </c>
      <c r="M129" s="89">
        <v>31.0</v>
      </c>
      <c r="N129" s="90">
        <v>46283.0</v>
      </c>
      <c r="O129" s="42" t="b">
        <v>0</v>
      </c>
      <c r="P129" s="44">
        <v>46286.0</v>
      </c>
      <c r="Q129" s="34"/>
      <c r="R129" s="34"/>
      <c r="S129" s="34"/>
      <c r="T129" s="34"/>
    </row>
    <row r="130" ht="15.75" hidden="1" customHeight="1">
      <c r="B130" s="86">
        <v>46282.0</v>
      </c>
      <c r="C130" s="65"/>
      <c r="D130" s="65">
        <v>100.0</v>
      </c>
      <c r="E130" s="87">
        <v>40.5</v>
      </c>
      <c r="F130" s="87">
        <v>4050.0</v>
      </c>
      <c r="G130" s="65" t="s">
        <v>4265</v>
      </c>
      <c r="H130" s="65" t="s">
        <v>4266</v>
      </c>
      <c r="I130" s="65" t="s">
        <v>41</v>
      </c>
      <c r="J130" s="65" t="s">
        <v>34</v>
      </c>
      <c r="K130" s="65"/>
      <c r="L130" s="65" t="s">
        <v>3943</v>
      </c>
      <c r="M130" s="89">
        <v>31.0</v>
      </c>
      <c r="N130" s="90">
        <v>46283.0</v>
      </c>
      <c r="O130" s="42" t="b">
        <v>0</v>
      </c>
      <c r="P130" s="44">
        <v>46286.0</v>
      </c>
      <c r="Q130" s="34"/>
      <c r="R130" s="34"/>
      <c r="S130" s="34"/>
      <c r="T130" s="34"/>
    </row>
    <row r="131" ht="15.75" hidden="1" customHeight="1">
      <c r="B131" s="86">
        <v>46282.0</v>
      </c>
      <c r="C131" s="65"/>
      <c r="D131" s="65">
        <v>60.0</v>
      </c>
      <c r="E131" s="87">
        <v>52.2</v>
      </c>
      <c r="F131" s="87">
        <v>3132.0</v>
      </c>
      <c r="G131" s="65" t="s">
        <v>4270</v>
      </c>
      <c r="H131" s="65" t="s">
        <v>4272</v>
      </c>
      <c r="I131" s="65" t="s">
        <v>41</v>
      </c>
      <c r="J131" s="65" t="s">
        <v>34</v>
      </c>
      <c r="K131" s="65"/>
      <c r="L131" s="65" t="s">
        <v>3943</v>
      </c>
      <c r="M131" s="89">
        <v>31.0</v>
      </c>
      <c r="N131" s="90">
        <v>46283.0</v>
      </c>
      <c r="O131" s="42" t="b">
        <v>0</v>
      </c>
      <c r="P131" s="44">
        <v>46286.0</v>
      </c>
      <c r="Q131" s="34"/>
      <c r="R131" s="34"/>
      <c r="S131" s="34"/>
      <c r="T131" s="34"/>
    </row>
    <row r="132" ht="15.75" hidden="1" customHeight="1">
      <c r="B132" s="86">
        <v>46282.0</v>
      </c>
      <c r="C132" s="65"/>
      <c r="D132" s="65">
        <v>400.0</v>
      </c>
      <c r="E132" s="87">
        <v>6.75</v>
      </c>
      <c r="F132" s="87">
        <v>2700.0</v>
      </c>
      <c r="G132" s="65" t="s">
        <v>4274</v>
      </c>
      <c r="H132" s="65" t="s">
        <v>4275</v>
      </c>
      <c r="I132" s="65" t="s">
        <v>41</v>
      </c>
      <c r="J132" s="65" t="s">
        <v>34</v>
      </c>
      <c r="K132" s="65"/>
      <c r="L132" s="65" t="s">
        <v>3943</v>
      </c>
      <c r="M132" s="89">
        <v>31.0</v>
      </c>
      <c r="N132" s="90">
        <v>46283.0</v>
      </c>
      <c r="O132" s="42" t="b">
        <v>0</v>
      </c>
      <c r="P132" s="44">
        <v>46286.0</v>
      </c>
      <c r="Q132" s="34"/>
      <c r="R132" s="34"/>
      <c r="S132" s="34"/>
      <c r="T132" s="34"/>
    </row>
    <row r="133" ht="15.75" hidden="1" customHeight="1">
      <c r="B133" s="86">
        <v>46282.0</v>
      </c>
      <c r="C133" s="65">
        <v>32071.0</v>
      </c>
      <c r="D133" s="65">
        <v>1.0</v>
      </c>
      <c r="E133" s="87">
        <v>569.9</v>
      </c>
      <c r="F133" s="87">
        <v>569.9</v>
      </c>
      <c r="G133" s="65" t="s">
        <v>4278</v>
      </c>
      <c r="H133" s="65" t="s">
        <v>4279</v>
      </c>
      <c r="I133" s="65" t="s">
        <v>4183</v>
      </c>
      <c r="J133" s="65" t="s">
        <v>34</v>
      </c>
      <c r="K133" s="65"/>
      <c r="L133" s="65" t="s">
        <v>96</v>
      </c>
      <c r="M133" s="89">
        <v>1.0</v>
      </c>
      <c r="N133" s="90">
        <v>46286.0</v>
      </c>
      <c r="O133" s="42" t="b">
        <v>0</v>
      </c>
      <c r="P133" s="44"/>
      <c r="Q133" s="34"/>
      <c r="R133" s="34"/>
      <c r="S133" s="34"/>
      <c r="T133" s="34"/>
    </row>
    <row r="134" ht="15.75" hidden="1" customHeight="1">
      <c r="B134" s="86">
        <v>46282.0</v>
      </c>
      <c r="C134" s="65">
        <v>90.0</v>
      </c>
      <c r="D134" s="65">
        <v>38.0</v>
      </c>
      <c r="E134" s="87">
        <v>250.0</v>
      </c>
      <c r="F134" s="87">
        <v>9500.0</v>
      </c>
      <c r="G134" s="65" t="s">
        <v>2482</v>
      </c>
      <c r="H134" s="65"/>
      <c r="I134" s="65" t="s">
        <v>32</v>
      </c>
      <c r="J134" s="65" t="s">
        <v>40</v>
      </c>
      <c r="K134" s="65"/>
      <c r="L134" s="65" t="s">
        <v>3815</v>
      </c>
      <c r="M134" s="126">
        <v>46053.0</v>
      </c>
      <c r="N134" s="90">
        <v>46283.0</v>
      </c>
      <c r="O134" s="42" t="b">
        <v>0</v>
      </c>
      <c r="P134" s="44">
        <v>46290.0</v>
      </c>
      <c r="Q134" s="34"/>
      <c r="R134" s="34"/>
      <c r="S134" s="34"/>
      <c r="T134" s="34"/>
    </row>
    <row r="135" ht="15.75" hidden="1" customHeight="1">
      <c r="B135" s="86">
        <v>46282.0</v>
      </c>
      <c r="C135" s="65">
        <v>90.0</v>
      </c>
      <c r="D135" s="65">
        <v>11.0</v>
      </c>
      <c r="E135" s="87">
        <v>439.0</v>
      </c>
      <c r="F135" s="87">
        <v>4829.0</v>
      </c>
      <c r="G135" s="65" t="s">
        <v>4286</v>
      </c>
      <c r="H135" s="65"/>
      <c r="I135" s="65" t="s">
        <v>32</v>
      </c>
      <c r="J135" s="65" t="s">
        <v>40</v>
      </c>
      <c r="K135" s="65"/>
      <c r="L135" s="65" t="s">
        <v>3815</v>
      </c>
      <c r="M135" s="126">
        <v>46053.0</v>
      </c>
      <c r="N135" s="90">
        <v>46283.0</v>
      </c>
      <c r="O135" s="42" t="b">
        <v>0</v>
      </c>
      <c r="P135" s="44">
        <v>46290.0</v>
      </c>
      <c r="Q135" s="34"/>
      <c r="R135" s="34"/>
      <c r="S135" s="34"/>
      <c r="T135" s="34"/>
    </row>
    <row r="136" ht="15.75" hidden="1" customHeight="1">
      <c r="B136" s="86">
        <v>46282.0</v>
      </c>
      <c r="C136" s="65">
        <v>90.0</v>
      </c>
      <c r="D136" s="65"/>
      <c r="E136" s="87">
        <v>450.0</v>
      </c>
      <c r="F136" s="87">
        <v>2250.0</v>
      </c>
      <c r="G136" s="65" t="s">
        <v>579</v>
      </c>
      <c r="H136" s="65"/>
      <c r="I136" s="65" t="s">
        <v>32</v>
      </c>
      <c r="J136" s="65" t="s">
        <v>40</v>
      </c>
      <c r="K136" s="65"/>
      <c r="L136" s="65" t="s">
        <v>3815</v>
      </c>
      <c r="M136" s="126">
        <v>46053.0</v>
      </c>
      <c r="N136" s="90">
        <v>46283.0</v>
      </c>
      <c r="O136" s="42" t="b">
        <v>0</v>
      </c>
      <c r="P136" s="44">
        <v>46290.0</v>
      </c>
      <c r="Q136" s="34"/>
      <c r="R136" s="34"/>
      <c r="S136" s="34"/>
      <c r="T136" s="34"/>
    </row>
    <row r="137" ht="15.75" hidden="1" customHeight="1">
      <c r="B137" s="86">
        <v>46282.0</v>
      </c>
      <c r="C137" s="65">
        <v>90.0</v>
      </c>
      <c r="D137" s="65"/>
      <c r="E137" s="87">
        <v>75.0</v>
      </c>
      <c r="F137" s="87">
        <v>4275.0</v>
      </c>
      <c r="G137" s="65" t="s">
        <v>1418</v>
      </c>
      <c r="H137" s="65"/>
      <c r="I137" s="65" t="s">
        <v>32</v>
      </c>
      <c r="J137" s="65" t="s">
        <v>40</v>
      </c>
      <c r="K137" s="65"/>
      <c r="L137" s="65" t="s">
        <v>3815</v>
      </c>
      <c r="M137" s="126">
        <v>46053.0</v>
      </c>
      <c r="N137" s="90">
        <v>46283.0</v>
      </c>
      <c r="O137" s="42" t="b">
        <v>0</v>
      </c>
      <c r="P137" s="44">
        <v>46290.0</v>
      </c>
      <c r="Q137" s="34"/>
      <c r="R137" s="34"/>
      <c r="S137" s="34"/>
      <c r="T137" s="34"/>
    </row>
    <row r="138" ht="15.75" hidden="1" customHeight="1">
      <c r="B138" s="86">
        <v>46282.0</v>
      </c>
      <c r="C138" s="65" t="s">
        <v>35</v>
      </c>
      <c r="D138" s="65">
        <v>20.0</v>
      </c>
      <c r="E138" s="87">
        <v>1750.0</v>
      </c>
      <c r="F138" s="87">
        <v>35000.0</v>
      </c>
      <c r="G138" s="65" t="s">
        <v>4299</v>
      </c>
      <c r="H138" s="65"/>
      <c r="I138" s="65" t="s">
        <v>221</v>
      </c>
      <c r="J138" s="65" t="s">
        <v>34</v>
      </c>
      <c r="K138" s="65"/>
      <c r="L138" s="65" t="s">
        <v>4301</v>
      </c>
      <c r="M138" s="89">
        <v>31.0</v>
      </c>
      <c r="N138" s="90">
        <v>46283.0</v>
      </c>
      <c r="O138" s="42" t="b">
        <v>0</v>
      </c>
      <c r="P138" s="44"/>
      <c r="Q138" s="34"/>
      <c r="R138" s="34"/>
      <c r="S138" s="34"/>
      <c r="T138" s="34"/>
    </row>
    <row r="139" ht="15.75" customHeight="1">
      <c r="B139" s="86">
        <v>46282.0</v>
      </c>
      <c r="C139" s="65">
        <v>10582.0</v>
      </c>
      <c r="D139" s="65" t="s">
        <v>3698</v>
      </c>
      <c r="E139" s="87" t="s">
        <v>35</v>
      </c>
      <c r="F139" s="87">
        <v>4010.0</v>
      </c>
      <c r="G139" s="65" t="s">
        <v>4305</v>
      </c>
      <c r="H139" s="65" t="s">
        <v>4306</v>
      </c>
      <c r="I139" s="65" t="s">
        <v>41</v>
      </c>
      <c r="J139" s="65" t="s">
        <v>34</v>
      </c>
      <c r="K139" s="65"/>
      <c r="L139" s="65" t="s">
        <v>46</v>
      </c>
      <c r="M139" s="89" t="s">
        <v>3464</v>
      </c>
      <c r="N139" s="93" t="s">
        <v>194</v>
      </c>
      <c r="O139" s="42" t="b">
        <v>0</v>
      </c>
      <c r="P139" s="44"/>
      <c r="Q139" s="34"/>
      <c r="R139" s="34"/>
      <c r="S139" s="34"/>
      <c r="T139" s="34"/>
    </row>
    <row r="140" ht="15.75" hidden="1" customHeight="1">
      <c r="B140" s="86">
        <v>46282.0</v>
      </c>
      <c r="C140" s="65">
        <v>1249.0</v>
      </c>
      <c r="D140" s="65">
        <v>7.0</v>
      </c>
      <c r="E140" s="87">
        <v>670.0</v>
      </c>
      <c r="F140" s="87">
        <v>4690.0</v>
      </c>
      <c r="G140" s="65" t="s">
        <v>4309</v>
      </c>
      <c r="H140" s="65"/>
      <c r="I140" s="65" t="s">
        <v>32</v>
      </c>
      <c r="J140" s="65" t="s">
        <v>34</v>
      </c>
      <c r="K140" s="65"/>
      <c r="L140" s="65" t="s">
        <v>3976</v>
      </c>
      <c r="M140" s="89">
        <v>31.0</v>
      </c>
      <c r="N140" s="90">
        <v>46290.0</v>
      </c>
      <c r="O140" s="42" t="b">
        <v>0</v>
      </c>
      <c r="P140" s="44"/>
      <c r="Q140" s="34"/>
      <c r="R140" s="34"/>
      <c r="S140" s="34"/>
      <c r="T140" s="34"/>
    </row>
    <row r="141" ht="15.75" hidden="1" customHeight="1">
      <c r="B141" s="86">
        <v>46282.0</v>
      </c>
      <c r="C141" s="65">
        <v>1249.0</v>
      </c>
      <c r="D141" s="65">
        <v>6.0</v>
      </c>
      <c r="E141" s="87">
        <v>420.0</v>
      </c>
      <c r="F141" s="87">
        <v>2520.0</v>
      </c>
      <c r="G141" s="65" t="s">
        <v>4311</v>
      </c>
      <c r="H141" s="65"/>
      <c r="I141" s="65" t="s">
        <v>32</v>
      </c>
      <c r="J141" s="65" t="s">
        <v>34</v>
      </c>
      <c r="K141" s="65"/>
      <c r="L141" s="65" t="s">
        <v>3976</v>
      </c>
      <c r="M141" s="89">
        <v>31.0</v>
      </c>
      <c r="N141" s="90">
        <v>46290.0</v>
      </c>
      <c r="O141" s="42" t="b">
        <v>0</v>
      </c>
      <c r="P141" s="44"/>
      <c r="Q141" s="34"/>
      <c r="R141" s="34"/>
      <c r="S141" s="34"/>
      <c r="T141" s="34"/>
    </row>
    <row r="142" ht="15.75" hidden="1" customHeight="1">
      <c r="B142" s="86">
        <v>46282.0</v>
      </c>
      <c r="C142" s="65">
        <v>4560.0</v>
      </c>
      <c r="D142" s="65">
        <v>24.0</v>
      </c>
      <c r="E142" s="87">
        <v>3880.0</v>
      </c>
      <c r="F142" s="87">
        <v>93120.0</v>
      </c>
      <c r="G142" s="65" t="s">
        <v>4315</v>
      </c>
      <c r="H142" s="65" t="s">
        <v>4316</v>
      </c>
      <c r="I142" s="65" t="s">
        <v>175</v>
      </c>
      <c r="J142" s="65" t="s">
        <v>34</v>
      </c>
      <c r="K142" s="65"/>
      <c r="L142" s="65" t="s">
        <v>151</v>
      </c>
      <c r="M142" s="89">
        <v>31.0</v>
      </c>
      <c r="N142" s="90">
        <v>46289.0</v>
      </c>
      <c r="O142" s="42" t="b">
        <v>0</v>
      </c>
      <c r="P142" s="44"/>
      <c r="Q142" s="34"/>
      <c r="R142" s="34"/>
      <c r="S142" s="34"/>
      <c r="T142" s="34"/>
    </row>
    <row r="143" ht="15.75" hidden="1" customHeight="1">
      <c r="B143" s="86">
        <v>46282.0</v>
      </c>
      <c r="C143" s="65">
        <v>21924.0</v>
      </c>
      <c r="D143" s="65">
        <v>300.0</v>
      </c>
      <c r="E143" s="87">
        <v>4.0</v>
      </c>
      <c r="F143" s="87">
        <v>1200.0</v>
      </c>
      <c r="G143" s="65" t="s">
        <v>4319</v>
      </c>
      <c r="H143" s="65"/>
      <c r="I143" s="65" t="s">
        <v>41</v>
      </c>
      <c r="J143" s="65" t="s">
        <v>34</v>
      </c>
      <c r="K143" s="65"/>
      <c r="L143" s="65" t="s">
        <v>87</v>
      </c>
      <c r="M143" s="89">
        <v>31.0</v>
      </c>
      <c r="N143" s="90">
        <v>46283.0</v>
      </c>
      <c r="O143" s="42" t="b">
        <v>0</v>
      </c>
      <c r="P143" s="44"/>
      <c r="Q143" s="34"/>
      <c r="R143" s="34"/>
      <c r="S143" s="34"/>
      <c r="T143" s="34"/>
    </row>
    <row r="144" ht="15.75" hidden="1" customHeight="1">
      <c r="B144" s="86">
        <v>46282.0</v>
      </c>
      <c r="C144" s="65">
        <v>21924.0</v>
      </c>
      <c r="D144" s="65">
        <v>200.0</v>
      </c>
      <c r="E144" s="87">
        <v>4.6</v>
      </c>
      <c r="F144" s="87">
        <v>920.0</v>
      </c>
      <c r="G144" s="65" t="s">
        <v>4324</v>
      </c>
      <c r="H144" s="65" t="s">
        <v>4325</v>
      </c>
      <c r="I144" s="65" t="s">
        <v>41</v>
      </c>
      <c r="J144" s="65" t="s">
        <v>34</v>
      </c>
      <c r="K144" s="65"/>
      <c r="L144" s="65" t="s">
        <v>87</v>
      </c>
      <c r="M144" s="89">
        <v>31.0</v>
      </c>
      <c r="N144" s="90">
        <v>46283.0</v>
      </c>
      <c r="O144" s="42" t="b">
        <v>0</v>
      </c>
      <c r="P144" s="44"/>
      <c r="Q144" s="34"/>
      <c r="R144" s="34"/>
      <c r="S144" s="34"/>
      <c r="T144" s="34"/>
    </row>
    <row r="145" ht="15.75" hidden="1" customHeight="1">
      <c r="B145" s="86">
        <v>46282.0</v>
      </c>
      <c r="C145" s="65">
        <v>21924.0</v>
      </c>
      <c r="D145" s="65">
        <v>80.0</v>
      </c>
      <c r="E145" s="87">
        <v>6.3</v>
      </c>
      <c r="F145" s="87">
        <v>504.0</v>
      </c>
      <c r="G145" s="65" t="s">
        <v>4328</v>
      </c>
      <c r="H145" s="65" t="s">
        <v>4329</v>
      </c>
      <c r="I145" s="65" t="s">
        <v>41</v>
      </c>
      <c r="J145" s="65" t="s">
        <v>34</v>
      </c>
      <c r="K145" s="65"/>
      <c r="L145" s="65" t="s">
        <v>87</v>
      </c>
      <c r="M145" s="89">
        <v>31.0</v>
      </c>
      <c r="N145" s="90">
        <v>46283.0</v>
      </c>
      <c r="O145" s="42" t="b">
        <v>0</v>
      </c>
      <c r="P145" s="44"/>
      <c r="Q145" s="34"/>
      <c r="R145" s="34"/>
      <c r="S145" s="34"/>
      <c r="T145" s="34"/>
    </row>
    <row r="146" ht="15.75" hidden="1" customHeight="1">
      <c r="B146" s="86">
        <v>46282.0</v>
      </c>
      <c r="C146" s="65">
        <v>21924.0</v>
      </c>
      <c r="D146" s="65">
        <v>60.0</v>
      </c>
      <c r="E146" s="87">
        <v>8.1</v>
      </c>
      <c r="F146" s="87">
        <v>486.0</v>
      </c>
      <c r="G146" s="65" t="s">
        <v>4333</v>
      </c>
      <c r="H146" s="65" t="s">
        <v>4334</v>
      </c>
      <c r="I146" s="65" t="s">
        <v>41</v>
      </c>
      <c r="J146" s="65" t="s">
        <v>34</v>
      </c>
      <c r="K146" s="65"/>
      <c r="L146" s="65" t="s">
        <v>87</v>
      </c>
      <c r="M146" s="89">
        <v>31.0</v>
      </c>
      <c r="N146" s="90">
        <v>46283.0</v>
      </c>
      <c r="O146" s="42" t="b">
        <v>0</v>
      </c>
      <c r="P146" s="44"/>
      <c r="Q146" s="34"/>
      <c r="R146" s="34"/>
      <c r="S146" s="34"/>
      <c r="T146" s="34"/>
    </row>
    <row r="147" ht="15.75" hidden="1" customHeight="1">
      <c r="B147" s="86">
        <v>46282.0</v>
      </c>
      <c r="C147" s="65">
        <v>21925.0</v>
      </c>
      <c r="D147" s="65">
        <v>100.0</v>
      </c>
      <c r="E147" s="87">
        <v>40.5</v>
      </c>
      <c r="F147" s="87">
        <v>4050.0</v>
      </c>
      <c r="G147" s="65" t="s">
        <v>4336</v>
      </c>
      <c r="H147" s="65" t="s">
        <v>4338</v>
      </c>
      <c r="I147" s="65" t="s">
        <v>41</v>
      </c>
      <c r="J147" s="65" t="s">
        <v>34</v>
      </c>
      <c r="K147" s="65"/>
      <c r="L147" s="65" t="s">
        <v>87</v>
      </c>
      <c r="M147" s="89">
        <v>31.0</v>
      </c>
      <c r="N147" s="90">
        <v>46283.0</v>
      </c>
      <c r="O147" s="42" t="b">
        <v>0</v>
      </c>
      <c r="P147" s="44"/>
      <c r="Q147" s="34"/>
      <c r="R147" s="34"/>
      <c r="S147" s="34"/>
      <c r="T147" s="34"/>
    </row>
    <row r="148" ht="15.75" hidden="1" customHeight="1">
      <c r="B148" s="86">
        <v>46282.0</v>
      </c>
      <c r="C148" s="65">
        <v>21925.0</v>
      </c>
      <c r="D148" s="65">
        <v>50.0</v>
      </c>
      <c r="E148" s="87">
        <v>54.0</v>
      </c>
      <c r="F148" s="87">
        <v>2700.0</v>
      </c>
      <c r="G148" s="65" t="s">
        <v>4342</v>
      </c>
      <c r="H148" s="65" t="s">
        <v>3448</v>
      </c>
      <c r="I148" s="65" t="s">
        <v>41</v>
      </c>
      <c r="J148" s="65" t="s">
        <v>34</v>
      </c>
      <c r="K148" s="65"/>
      <c r="L148" s="65" t="s">
        <v>87</v>
      </c>
      <c r="M148" s="89">
        <v>31.0</v>
      </c>
      <c r="N148" s="90">
        <v>46283.0</v>
      </c>
      <c r="O148" s="42" t="b">
        <v>0</v>
      </c>
      <c r="P148" s="44"/>
      <c r="Q148" s="34"/>
      <c r="R148" s="34"/>
      <c r="S148" s="34"/>
      <c r="T148" s="34"/>
    </row>
    <row r="149" ht="15.75" hidden="1" customHeight="1">
      <c r="B149" s="86">
        <v>46282.0</v>
      </c>
      <c r="C149" s="65">
        <v>21925.0</v>
      </c>
      <c r="D149" s="65">
        <v>100.0</v>
      </c>
      <c r="E149" s="87">
        <v>9.0</v>
      </c>
      <c r="F149" s="87">
        <v>900.0</v>
      </c>
      <c r="G149" s="65" t="s">
        <v>4345</v>
      </c>
      <c r="H149" s="65" t="s">
        <v>4346</v>
      </c>
      <c r="I149" s="65" t="s">
        <v>41</v>
      </c>
      <c r="J149" s="65" t="s">
        <v>34</v>
      </c>
      <c r="K149" s="65"/>
      <c r="L149" s="65" t="s">
        <v>87</v>
      </c>
      <c r="M149" s="89">
        <v>31.0</v>
      </c>
      <c r="N149" s="90">
        <v>46283.0</v>
      </c>
      <c r="O149" s="42" t="b">
        <v>0</v>
      </c>
      <c r="P149" s="44"/>
      <c r="Q149" s="34"/>
      <c r="R149" s="34"/>
      <c r="S149" s="34"/>
      <c r="T149" s="34"/>
    </row>
    <row r="150" ht="15.75" hidden="1" customHeight="1">
      <c r="B150" s="86">
        <v>46282.0</v>
      </c>
      <c r="C150" s="65">
        <v>21925.0</v>
      </c>
      <c r="D150" s="65">
        <v>100.0</v>
      </c>
      <c r="E150" s="87">
        <v>8.1</v>
      </c>
      <c r="F150" s="87">
        <v>810.0</v>
      </c>
      <c r="G150" s="65" t="s">
        <v>4349</v>
      </c>
      <c r="H150" s="65" t="s">
        <v>4350</v>
      </c>
      <c r="I150" s="65" t="s">
        <v>41</v>
      </c>
      <c r="J150" s="65" t="s">
        <v>34</v>
      </c>
      <c r="K150" s="65"/>
      <c r="L150" s="65" t="s">
        <v>87</v>
      </c>
      <c r="M150" s="89">
        <v>31.0</v>
      </c>
      <c r="N150" s="90">
        <v>46283.0</v>
      </c>
      <c r="O150" s="42" t="b">
        <v>0</v>
      </c>
      <c r="P150" s="44"/>
      <c r="Q150" s="34"/>
      <c r="R150" s="34"/>
      <c r="S150" s="34"/>
      <c r="T150" s="34"/>
    </row>
    <row r="151" ht="15.0" hidden="1" customHeight="1">
      <c r="B151" s="86">
        <v>46282.0</v>
      </c>
      <c r="C151" s="65">
        <v>21925.0</v>
      </c>
      <c r="D151" s="65">
        <v>100.0</v>
      </c>
      <c r="E151" s="87">
        <v>8.5</v>
      </c>
      <c r="F151" s="87">
        <v>850.0</v>
      </c>
      <c r="G151" s="65" t="s">
        <v>4353</v>
      </c>
      <c r="H151" s="65" t="s">
        <v>4354</v>
      </c>
      <c r="I151" s="65" t="s">
        <v>41</v>
      </c>
      <c r="J151" s="65" t="s">
        <v>34</v>
      </c>
      <c r="K151" s="65"/>
      <c r="L151" s="65" t="s">
        <v>87</v>
      </c>
      <c r="M151" s="89">
        <v>31.0</v>
      </c>
      <c r="N151" s="90">
        <v>46283.0</v>
      </c>
      <c r="O151" s="42" t="b">
        <v>0</v>
      </c>
      <c r="P151" s="44"/>
      <c r="Q151" s="34"/>
      <c r="R151" s="33"/>
      <c r="S151" s="34"/>
      <c r="T151" s="34"/>
    </row>
    <row r="152" ht="15.75" hidden="1" customHeight="1">
      <c r="B152" s="86">
        <v>46282.0</v>
      </c>
      <c r="C152" s="65">
        <v>21925.0</v>
      </c>
      <c r="D152" s="65">
        <v>50.0</v>
      </c>
      <c r="E152" s="87">
        <v>31.5</v>
      </c>
      <c r="F152" s="87">
        <v>1575.0</v>
      </c>
      <c r="G152" s="65" t="s">
        <v>4356</v>
      </c>
      <c r="H152" s="65" t="s">
        <v>4358</v>
      </c>
      <c r="I152" s="65" t="s">
        <v>41</v>
      </c>
      <c r="J152" s="65" t="s">
        <v>34</v>
      </c>
      <c r="K152" s="65"/>
      <c r="L152" s="65" t="s">
        <v>87</v>
      </c>
      <c r="M152" s="89">
        <v>31.0</v>
      </c>
      <c r="N152" s="90">
        <v>46283.0</v>
      </c>
      <c r="O152" s="42" t="b">
        <v>0</v>
      </c>
      <c r="P152" s="44"/>
      <c r="Q152" s="34"/>
      <c r="R152" s="34"/>
      <c r="S152" s="34"/>
      <c r="T152" s="34"/>
    </row>
    <row r="153" ht="15.75" hidden="1" customHeight="1">
      <c r="B153" s="86">
        <v>46282.0</v>
      </c>
      <c r="C153" s="65">
        <v>21926.0</v>
      </c>
      <c r="D153" s="65">
        <v>24.0</v>
      </c>
      <c r="E153" s="87">
        <v>28.8</v>
      </c>
      <c r="F153" s="87">
        <v>691.2</v>
      </c>
      <c r="G153" s="65" t="s">
        <v>4362</v>
      </c>
      <c r="H153" s="65" t="s">
        <v>4364</v>
      </c>
      <c r="I153" s="65" t="s">
        <v>41</v>
      </c>
      <c r="J153" s="65" t="s">
        <v>34</v>
      </c>
      <c r="K153" s="65"/>
      <c r="L153" s="65" t="s">
        <v>87</v>
      </c>
      <c r="M153" s="89">
        <v>31.0</v>
      </c>
      <c r="N153" s="90">
        <v>46283.0</v>
      </c>
      <c r="O153" s="42" t="b">
        <v>0</v>
      </c>
      <c r="P153" s="44"/>
      <c r="Q153" s="34"/>
      <c r="R153" s="34"/>
      <c r="S153" s="34"/>
      <c r="T153" s="34"/>
    </row>
    <row r="154" ht="15.75" hidden="1" customHeight="1">
      <c r="B154" s="86">
        <v>46282.0</v>
      </c>
      <c r="C154" s="65">
        <v>21926.0</v>
      </c>
      <c r="D154" s="65">
        <v>50.0</v>
      </c>
      <c r="E154" s="87">
        <v>22.5</v>
      </c>
      <c r="F154" s="87">
        <v>1125.0</v>
      </c>
      <c r="G154" s="65" t="s">
        <v>4368</v>
      </c>
      <c r="H154" s="65" t="s">
        <v>4369</v>
      </c>
      <c r="I154" s="65" t="s">
        <v>41</v>
      </c>
      <c r="J154" s="65" t="s">
        <v>34</v>
      </c>
      <c r="K154" s="65"/>
      <c r="L154" s="65" t="s">
        <v>87</v>
      </c>
      <c r="M154" s="89">
        <v>31.0</v>
      </c>
      <c r="N154" s="90">
        <v>46283.0</v>
      </c>
      <c r="O154" s="42" t="b">
        <v>0</v>
      </c>
      <c r="P154" s="44"/>
      <c r="Q154" s="34"/>
      <c r="R154" s="34"/>
      <c r="S154" s="34"/>
      <c r="T154" s="35"/>
    </row>
    <row r="155" ht="15.75" hidden="1" customHeight="1">
      <c r="B155" s="86">
        <v>46282.0</v>
      </c>
      <c r="C155" s="65">
        <v>21926.0</v>
      </c>
      <c r="D155" s="65">
        <v>30.0</v>
      </c>
      <c r="E155" s="87">
        <v>29.7</v>
      </c>
      <c r="F155" s="87">
        <v>891.0</v>
      </c>
      <c r="G155" s="65" t="s">
        <v>4374</v>
      </c>
      <c r="H155" s="65" t="s">
        <v>4375</v>
      </c>
      <c r="I155" s="65" t="s">
        <v>41</v>
      </c>
      <c r="J155" s="65" t="s">
        <v>34</v>
      </c>
      <c r="K155" s="65"/>
      <c r="L155" s="65" t="s">
        <v>87</v>
      </c>
      <c r="M155" s="89">
        <v>31.0</v>
      </c>
      <c r="N155" s="90">
        <v>46283.0</v>
      </c>
      <c r="O155" s="42" t="b">
        <v>0</v>
      </c>
      <c r="P155" s="44"/>
      <c r="Q155" s="34"/>
      <c r="R155" s="34"/>
      <c r="S155" s="34"/>
      <c r="T155" s="35"/>
    </row>
    <row r="156" ht="15.75" hidden="1" customHeight="1">
      <c r="B156" s="86">
        <v>46282.0</v>
      </c>
      <c r="C156" s="65">
        <v>21927.0</v>
      </c>
      <c r="D156" s="65">
        <v>80.0</v>
      </c>
      <c r="E156" s="87">
        <v>9.9</v>
      </c>
      <c r="F156" s="87">
        <v>792.0</v>
      </c>
      <c r="G156" s="65" t="s">
        <v>4377</v>
      </c>
      <c r="H156" s="65" t="s">
        <v>4378</v>
      </c>
      <c r="I156" s="65" t="s">
        <v>41</v>
      </c>
      <c r="J156" s="65" t="s">
        <v>34</v>
      </c>
      <c r="K156" s="65"/>
      <c r="L156" s="65" t="s">
        <v>87</v>
      </c>
      <c r="M156" s="89">
        <v>31.0</v>
      </c>
      <c r="N156" s="90">
        <v>46283.0</v>
      </c>
      <c r="O156" s="42" t="b">
        <v>0</v>
      </c>
      <c r="P156" s="44"/>
      <c r="Q156" s="34"/>
      <c r="R156" s="34"/>
      <c r="S156" s="34"/>
      <c r="T156" s="35"/>
    </row>
    <row r="157" ht="15.75" hidden="1" customHeight="1">
      <c r="B157" s="86">
        <v>46282.0</v>
      </c>
      <c r="C157" s="65">
        <v>21927.0</v>
      </c>
      <c r="D157" s="65">
        <v>100.0</v>
      </c>
      <c r="E157" s="87">
        <v>11.7</v>
      </c>
      <c r="F157" s="87">
        <v>1170.0</v>
      </c>
      <c r="G157" s="65" t="s">
        <v>4382</v>
      </c>
      <c r="H157" s="65" t="s">
        <v>4383</v>
      </c>
      <c r="I157" s="65" t="s">
        <v>41</v>
      </c>
      <c r="J157" s="65" t="s">
        <v>34</v>
      </c>
      <c r="K157" s="65"/>
      <c r="L157" s="65" t="s">
        <v>87</v>
      </c>
      <c r="M157" s="89">
        <v>31.0</v>
      </c>
      <c r="N157" s="90">
        <v>46283.0</v>
      </c>
      <c r="O157" s="42" t="b">
        <v>0</v>
      </c>
      <c r="P157" s="44"/>
      <c r="Q157" s="34"/>
      <c r="R157" s="34"/>
      <c r="S157" s="34"/>
      <c r="T157" s="35"/>
    </row>
    <row r="158" ht="15.75" hidden="1" customHeight="1">
      <c r="B158" s="86">
        <v>46282.0</v>
      </c>
      <c r="C158" s="65">
        <v>21927.0</v>
      </c>
      <c r="D158" s="65">
        <v>100.0</v>
      </c>
      <c r="E158" s="87">
        <v>27.9</v>
      </c>
      <c r="F158" s="87">
        <v>2790.0</v>
      </c>
      <c r="G158" s="65" t="s">
        <v>4385</v>
      </c>
      <c r="H158" s="65" t="s">
        <v>102</v>
      </c>
      <c r="I158" s="65" t="s">
        <v>41</v>
      </c>
      <c r="J158" s="65" t="s">
        <v>34</v>
      </c>
      <c r="K158" s="65"/>
      <c r="L158" s="65" t="s">
        <v>87</v>
      </c>
      <c r="M158" s="89">
        <v>31.0</v>
      </c>
      <c r="N158" s="90">
        <v>46283.0</v>
      </c>
      <c r="O158" s="42" t="b">
        <v>0</v>
      </c>
      <c r="P158" s="44"/>
      <c r="Q158" s="34"/>
      <c r="R158" s="34"/>
      <c r="S158" s="34"/>
      <c r="T158" s="34"/>
    </row>
    <row r="159" ht="15.75" hidden="1" customHeight="1">
      <c r="B159" s="86">
        <v>46282.0</v>
      </c>
      <c r="C159" s="65">
        <v>21927.0</v>
      </c>
      <c r="D159" s="65">
        <v>200.0</v>
      </c>
      <c r="E159" s="87">
        <v>21.0</v>
      </c>
      <c r="F159" s="87">
        <v>4200.0</v>
      </c>
      <c r="G159" s="65" t="s">
        <v>4387</v>
      </c>
      <c r="H159" s="65" t="s">
        <v>4388</v>
      </c>
      <c r="I159" s="65" t="s">
        <v>41</v>
      </c>
      <c r="J159" s="65" t="s">
        <v>34</v>
      </c>
      <c r="K159" s="65"/>
      <c r="L159" s="65" t="s">
        <v>87</v>
      </c>
      <c r="M159" s="89">
        <v>31.0</v>
      </c>
      <c r="N159" s="93" t="s">
        <v>4390</v>
      </c>
      <c r="O159" s="42" t="b">
        <v>0</v>
      </c>
      <c r="P159" s="44"/>
      <c r="Q159" s="34"/>
      <c r="R159" s="34"/>
      <c r="S159" s="34"/>
      <c r="T159" s="34"/>
    </row>
    <row r="160" ht="15.75" hidden="1" customHeight="1">
      <c r="B160" s="86">
        <v>46282.0</v>
      </c>
      <c r="C160" s="65">
        <v>21959.0</v>
      </c>
      <c r="D160" s="65">
        <v>100.0</v>
      </c>
      <c r="E160" s="87">
        <v>72.0</v>
      </c>
      <c r="F160" s="87">
        <v>7200.0</v>
      </c>
      <c r="G160" s="65" t="s">
        <v>4391</v>
      </c>
      <c r="H160" s="65" t="s">
        <v>4392</v>
      </c>
      <c r="I160" s="65" t="s">
        <v>59</v>
      </c>
      <c r="J160" s="65" t="s">
        <v>34</v>
      </c>
      <c r="K160" s="65"/>
      <c r="L160" s="65" t="s">
        <v>87</v>
      </c>
      <c r="M160" s="89">
        <v>31.0</v>
      </c>
      <c r="N160" s="90">
        <v>46288.0</v>
      </c>
      <c r="O160" s="42" t="b">
        <v>0</v>
      </c>
      <c r="P160" s="44"/>
      <c r="Q160" s="34"/>
      <c r="R160" s="34"/>
      <c r="S160" s="34"/>
      <c r="T160" s="34"/>
    </row>
    <row r="161" ht="15.75" hidden="1" customHeight="1">
      <c r="B161" s="86">
        <v>46282.0</v>
      </c>
      <c r="C161" s="65">
        <v>21959.0</v>
      </c>
      <c r="D161" s="65">
        <v>80.0</v>
      </c>
      <c r="E161" s="87">
        <v>9.9</v>
      </c>
      <c r="F161" s="87">
        <v>792.0</v>
      </c>
      <c r="G161" s="65" t="s">
        <v>4394</v>
      </c>
      <c r="H161" s="65" t="s">
        <v>4395</v>
      </c>
      <c r="I161" s="65" t="s">
        <v>59</v>
      </c>
      <c r="J161" s="65" t="s">
        <v>34</v>
      </c>
      <c r="K161" s="65"/>
      <c r="L161" s="65" t="s">
        <v>87</v>
      </c>
      <c r="M161" s="89">
        <v>31.0</v>
      </c>
      <c r="N161" s="90">
        <v>46288.0</v>
      </c>
      <c r="O161" s="42" t="b">
        <v>0</v>
      </c>
      <c r="P161" s="44"/>
      <c r="Q161" s="34"/>
      <c r="R161" s="34"/>
      <c r="S161" s="34"/>
      <c r="T161" s="34"/>
    </row>
    <row r="162" ht="15.75" hidden="1" customHeight="1">
      <c r="B162" s="86">
        <v>46282.0</v>
      </c>
      <c r="C162" s="65">
        <v>21959.0</v>
      </c>
      <c r="D162" s="65">
        <v>60.0</v>
      </c>
      <c r="E162" s="87">
        <v>13.5</v>
      </c>
      <c r="F162" s="87">
        <v>810.0</v>
      </c>
      <c r="G162" s="65" t="s">
        <v>4399</v>
      </c>
      <c r="H162" s="65" t="s">
        <v>4400</v>
      </c>
      <c r="I162" s="65" t="s">
        <v>59</v>
      </c>
      <c r="J162" s="65" t="s">
        <v>34</v>
      </c>
      <c r="K162" s="65"/>
      <c r="L162" s="65" t="s">
        <v>87</v>
      </c>
      <c r="M162" s="89">
        <v>31.0</v>
      </c>
      <c r="N162" s="90">
        <v>46288.0</v>
      </c>
      <c r="O162" s="42" t="b">
        <v>0</v>
      </c>
      <c r="P162" s="44"/>
      <c r="Q162" s="34"/>
      <c r="R162" s="34"/>
      <c r="S162" s="34"/>
      <c r="T162" s="34"/>
    </row>
    <row r="163" ht="15.75" hidden="1" customHeight="1">
      <c r="B163" s="86">
        <v>46282.0</v>
      </c>
      <c r="C163" s="65">
        <v>21959.0</v>
      </c>
      <c r="D163" s="65">
        <v>100.0</v>
      </c>
      <c r="E163" s="87">
        <v>5.5</v>
      </c>
      <c r="F163" s="87">
        <v>550.0</v>
      </c>
      <c r="G163" s="65" t="s">
        <v>4402</v>
      </c>
      <c r="H163" s="65" t="s">
        <v>4403</v>
      </c>
      <c r="I163" s="65" t="s">
        <v>59</v>
      </c>
      <c r="J163" s="65" t="s">
        <v>34</v>
      </c>
      <c r="K163" s="65"/>
      <c r="L163" s="65" t="s">
        <v>87</v>
      </c>
      <c r="M163" s="89">
        <v>31.0</v>
      </c>
      <c r="N163" s="90">
        <v>46288.0</v>
      </c>
      <c r="O163" s="42" t="b">
        <v>0</v>
      </c>
      <c r="P163" s="44"/>
      <c r="Q163" s="34"/>
      <c r="R163" s="34"/>
      <c r="S163" s="34"/>
      <c r="T163" s="34"/>
    </row>
    <row r="164" ht="15.75" hidden="1" customHeight="1">
      <c r="B164" s="86">
        <v>46282.0</v>
      </c>
      <c r="C164" s="65">
        <v>2.60917001E8</v>
      </c>
      <c r="D164" s="65">
        <v>2.0</v>
      </c>
      <c r="E164" s="87">
        <v>2735.0</v>
      </c>
      <c r="F164" s="87">
        <v>5470.0</v>
      </c>
      <c r="G164" s="65" t="s">
        <v>4405</v>
      </c>
      <c r="H164" s="65" t="s">
        <v>4406</v>
      </c>
      <c r="I164" s="65" t="s">
        <v>41</v>
      </c>
      <c r="J164" s="65" t="s">
        <v>34</v>
      </c>
      <c r="K164" s="65"/>
      <c r="L164" s="65" t="s">
        <v>4407</v>
      </c>
      <c r="M164" s="89"/>
      <c r="N164" s="90">
        <v>46283.0</v>
      </c>
      <c r="O164" s="42" t="b">
        <v>0</v>
      </c>
      <c r="P164" s="44">
        <v>46293.0</v>
      </c>
      <c r="Q164" s="34"/>
      <c r="R164" s="34"/>
      <c r="S164" s="34"/>
      <c r="T164" s="34"/>
    </row>
    <row r="165" ht="15.75" hidden="1" customHeight="1">
      <c r="B165" s="86">
        <v>46282.0</v>
      </c>
      <c r="C165" s="65">
        <v>2.60917001E8</v>
      </c>
      <c r="D165" s="65">
        <v>1.0</v>
      </c>
      <c r="E165" s="87">
        <v>1825.0</v>
      </c>
      <c r="F165" s="87">
        <v>1825.0</v>
      </c>
      <c r="G165" s="65" t="s">
        <v>4408</v>
      </c>
      <c r="H165" s="65" t="s">
        <v>4409</v>
      </c>
      <c r="I165" s="65" t="s">
        <v>41</v>
      </c>
      <c r="J165" s="65" t="s">
        <v>34</v>
      </c>
      <c r="K165" s="65"/>
      <c r="L165" s="65" t="s">
        <v>4407</v>
      </c>
      <c r="M165" s="89"/>
      <c r="N165" s="90">
        <v>46283.0</v>
      </c>
      <c r="O165" s="42" t="b">
        <v>0</v>
      </c>
      <c r="P165" s="44">
        <v>46293.0</v>
      </c>
      <c r="Q165" s="34"/>
      <c r="R165" s="34"/>
      <c r="S165" s="34"/>
      <c r="T165" s="34"/>
    </row>
    <row r="166" ht="15.75" hidden="1" customHeight="1">
      <c r="B166" s="86">
        <v>46283.0</v>
      </c>
      <c r="C166" s="65">
        <v>22080.0</v>
      </c>
      <c r="D166" s="65">
        <v>100.0</v>
      </c>
      <c r="E166" s="87">
        <v>305.0</v>
      </c>
      <c r="F166" s="87">
        <v>30500.0</v>
      </c>
      <c r="G166" s="65" t="s">
        <v>4413</v>
      </c>
      <c r="H166" s="65" t="s">
        <v>506</v>
      </c>
      <c r="I166" s="65" t="s">
        <v>41</v>
      </c>
      <c r="J166" s="65" t="s">
        <v>34</v>
      </c>
      <c r="K166" s="65"/>
      <c r="L166" s="65" t="s">
        <v>87</v>
      </c>
      <c r="M166" s="89">
        <v>31.0</v>
      </c>
      <c r="N166" s="90">
        <v>46283.0</v>
      </c>
      <c r="O166" s="42" t="b">
        <v>0</v>
      </c>
      <c r="P166" s="44"/>
      <c r="Q166" s="34"/>
      <c r="R166" s="34"/>
      <c r="S166" s="34"/>
      <c r="T166" s="34"/>
    </row>
    <row r="167" ht="15.75" hidden="1" customHeight="1">
      <c r="B167" s="86">
        <v>46283.0</v>
      </c>
      <c r="C167" s="65">
        <v>22080.0</v>
      </c>
      <c r="D167" s="65">
        <v>60.0</v>
      </c>
      <c r="E167" s="87">
        <v>234.0</v>
      </c>
      <c r="F167" s="87">
        <v>14040.0</v>
      </c>
      <c r="G167" s="65" t="s">
        <v>4415</v>
      </c>
      <c r="H167" s="65" t="s">
        <v>3769</v>
      </c>
      <c r="I167" s="65" t="s">
        <v>32</v>
      </c>
      <c r="J167" s="65" t="s">
        <v>34</v>
      </c>
      <c r="K167" s="65"/>
      <c r="L167" s="65" t="s">
        <v>87</v>
      </c>
      <c r="M167" s="89">
        <v>31.0</v>
      </c>
      <c r="N167" s="90">
        <v>46287.0</v>
      </c>
      <c r="O167" s="42" t="b">
        <v>0</v>
      </c>
      <c r="P167" s="44">
        <v>46288.0</v>
      </c>
      <c r="Q167" s="34"/>
      <c r="R167" s="34"/>
      <c r="S167" s="34"/>
      <c r="T167" s="34"/>
    </row>
    <row r="168" ht="15.75" hidden="1" customHeight="1">
      <c r="B168" s="86">
        <v>46283.0</v>
      </c>
      <c r="C168" s="65" t="s">
        <v>35</v>
      </c>
      <c r="D168" s="65">
        <v>500.0</v>
      </c>
      <c r="E168" s="87">
        <v>4.8</v>
      </c>
      <c r="F168" s="87">
        <v>2400.0</v>
      </c>
      <c r="G168" s="65" t="s">
        <v>4418</v>
      </c>
      <c r="H168" s="65" t="s">
        <v>4419</v>
      </c>
      <c r="I168" s="65" t="s">
        <v>59</v>
      </c>
      <c r="J168" s="65" t="s">
        <v>34</v>
      </c>
      <c r="K168" s="65"/>
      <c r="L168" s="65" t="s">
        <v>160</v>
      </c>
      <c r="M168" s="89">
        <v>31.0</v>
      </c>
      <c r="N168" s="90">
        <v>46283.0</v>
      </c>
      <c r="O168" s="42" t="b">
        <v>1</v>
      </c>
      <c r="P168" s="44">
        <v>46286.0</v>
      </c>
      <c r="Q168" s="34"/>
      <c r="R168" s="34"/>
      <c r="S168" s="34"/>
      <c r="T168" s="34"/>
    </row>
    <row r="169" ht="15.75" hidden="1" customHeight="1">
      <c r="B169" s="86">
        <v>46283.0</v>
      </c>
      <c r="C169" s="65" t="s">
        <v>35</v>
      </c>
      <c r="D169" s="65">
        <v>1500.0</v>
      </c>
      <c r="E169" s="87">
        <v>17.5</v>
      </c>
      <c r="F169" s="87">
        <v>20212.5</v>
      </c>
      <c r="G169" s="65" t="s">
        <v>4421</v>
      </c>
      <c r="H169" s="65" t="s">
        <v>4171</v>
      </c>
      <c r="I169" s="65"/>
      <c r="J169" s="65" t="s">
        <v>34</v>
      </c>
      <c r="K169" s="65"/>
      <c r="L169" s="65" t="s">
        <v>160</v>
      </c>
      <c r="M169" s="89">
        <v>31.0</v>
      </c>
      <c r="N169" s="90">
        <v>46285.0</v>
      </c>
      <c r="O169" s="42" t="b">
        <v>1</v>
      </c>
      <c r="P169" s="44">
        <v>46287.0</v>
      </c>
      <c r="Q169" s="34"/>
      <c r="R169" s="34"/>
      <c r="S169" s="34"/>
      <c r="T169" s="34"/>
    </row>
    <row r="170" ht="15.75" customHeight="1">
      <c r="B170" s="86">
        <v>46286.0</v>
      </c>
      <c r="C170" s="65">
        <v>4588.0</v>
      </c>
      <c r="D170" s="65">
        <v>1000.0</v>
      </c>
      <c r="E170" s="87">
        <v>32.31</v>
      </c>
      <c r="F170" s="87">
        <v>32310.0</v>
      </c>
      <c r="G170" s="65" t="s">
        <v>4424</v>
      </c>
      <c r="H170" s="65" t="s">
        <v>4425</v>
      </c>
      <c r="I170" s="65" t="s">
        <v>32</v>
      </c>
      <c r="J170" s="65" t="s">
        <v>40</v>
      </c>
      <c r="K170" s="65"/>
      <c r="L170" s="65" t="s">
        <v>151</v>
      </c>
      <c r="M170" s="89">
        <v>31.0</v>
      </c>
      <c r="N170" s="93" t="s">
        <v>194</v>
      </c>
      <c r="O170" s="42" t="b">
        <v>0</v>
      </c>
      <c r="P170" s="44"/>
      <c r="Q170" s="34"/>
      <c r="R170" s="34"/>
      <c r="S170" s="34"/>
      <c r="T170" s="34"/>
    </row>
    <row r="171" ht="15.75" customHeight="1">
      <c r="B171" s="86">
        <v>46286.0</v>
      </c>
      <c r="C171" s="65">
        <v>4588.0</v>
      </c>
      <c r="D171" s="65">
        <v>500.0</v>
      </c>
      <c r="E171" s="87">
        <v>44.9</v>
      </c>
      <c r="F171" s="87">
        <v>22450.0</v>
      </c>
      <c r="G171" s="65" t="s">
        <v>4428</v>
      </c>
      <c r="H171" s="65" t="s">
        <v>4429</v>
      </c>
      <c r="I171" s="65" t="s">
        <v>32</v>
      </c>
      <c r="J171" s="65" t="s">
        <v>40</v>
      </c>
      <c r="K171" s="65"/>
      <c r="L171" s="65" t="s">
        <v>151</v>
      </c>
      <c r="M171" s="89">
        <v>31.0</v>
      </c>
      <c r="N171" s="93" t="s">
        <v>194</v>
      </c>
      <c r="O171" s="42" t="b">
        <v>0</v>
      </c>
      <c r="P171" s="44"/>
      <c r="Q171" s="34"/>
      <c r="R171" s="34"/>
      <c r="S171" s="34"/>
      <c r="T171" s="34"/>
    </row>
    <row r="172" ht="15.75" hidden="1" customHeight="1">
      <c r="B172" s="86">
        <v>46286.0</v>
      </c>
      <c r="C172" s="65">
        <v>19.0</v>
      </c>
      <c r="D172" s="65">
        <v>250.0</v>
      </c>
      <c r="E172" s="87">
        <v>7.92</v>
      </c>
      <c r="F172" s="87">
        <v>1980.0</v>
      </c>
      <c r="G172" s="65" t="s">
        <v>2961</v>
      </c>
      <c r="H172" s="65" t="s">
        <v>4431</v>
      </c>
      <c r="I172" s="65" t="s">
        <v>59</v>
      </c>
      <c r="J172" s="65" t="s">
        <v>34</v>
      </c>
      <c r="K172" s="65"/>
      <c r="L172" s="65" t="s">
        <v>160</v>
      </c>
      <c r="M172" s="89">
        <v>31.0</v>
      </c>
      <c r="N172" s="90">
        <v>46286.0</v>
      </c>
      <c r="O172" s="42" t="b">
        <v>1</v>
      </c>
      <c r="P172" s="44">
        <v>46286.0</v>
      </c>
      <c r="Q172" s="34"/>
      <c r="R172" s="34"/>
      <c r="S172" s="34"/>
      <c r="T172" s="34"/>
    </row>
    <row r="173" ht="15.75" hidden="1" customHeight="1">
      <c r="B173" s="86">
        <v>46286.0</v>
      </c>
      <c r="C173" s="65">
        <v>19.0</v>
      </c>
      <c r="D173" s="65">
        <v>60.0</v>
      </c>
      <c r="E173" s="87">
        <v>11.2</v>
      </c>
      <c r="F173" s="87">
        <v>672.0</v>
      </c>
      <c r="G173" s="65" t="s">
        <v>4433</v>
      </c>
      <c r="H173" s="65" t="s">
        <v>4434</v>
      </c>
      <c r="I173" s="65" t="s">
        <v>4435</v>
      </c>
      <c r="J173" s="65" t="s">
        <v>34</v>
      </c>
      <c r="K173" s="65"/>
      <c r="L173" s="65" t="s">
        <v>160</v>
      </c>
      <c r="M173" s="89">
        <v>31.0</v>
      </c>
      <c r="N173" s="90">
        <v>46286.0</v>
      </c>
      <c r="O173" s="42" t="b">
        <v>1</v>
      </c>
      <c r="P173" s="44">
        <v>46286.0</v>
      </c>
      <c r="Q173" s="34"/>
      <c r="R173" s="34"/>
      <c r="S173" s="34"/>
      <c r="T173" s="34"/>
    </row>
    <row r="174" ht="15.75" hidden="1" customHeight="1">
      <c r="B174" s="86">
        <v>46287.0</v>
      </c>
      <c r="C174" s="65">
        <v>22319.0</v>
      </c>
      <c r="D174" s="65">
        <v>1500.0</v>
      </c>
      <c r="E174" s="87">
        <v>2.2</v>
      </c>
      <c r="F174" s="87">
        <v>3300.0</v>
      </c>
      <c r="G174" s="65" t="s">
        <v>4438</v>
      </c>
      <c r="H174" s="65" t="s">
        <v>4439</v>
      </c>
      <c r="I174" s="65" t="s">
        <v>59</v>
      </c>
      <c r="J174" s="65" t="s">
        <v>34</v>
      </c>
      <c r="K174" s="65"/>
      <c r="L174" s="65" t="s">
        <v>87</v>
      </c>
      <c r="M174" s="89">
        <v>31.0</v>
      </c>
      <c r="N174" s="90">
        <v>46288.0</v>
      </c>
      <c r="O174" s="42" t="b">
        <v>0</v>
      </c>
      <c r="P174" s="44"/>
      <c r="Q174" s="34"/>
      <c r="R174" s="34"/>
      <c r="S174" s="34"/>
      <c r="T174" s="34"/>
    </row>
    <row r="175" ht="15.75" hidden="1" customHeight="1">
      <c r="B175" s="86">
        <v>46287.0</v>
      </c>
      <c r="C175" s="65">
        <v>22320.0</v>
      </c>
      <c r="D175" s="65">
        <v>600.0</v>
      </c>
      <c r="E175" s="87">
        <v>32.2</v>
      </c>
      <c r="F175" s="87">
        <v>19320.0</v>
      </c>
      <c r="G175" s="65" t="s">
        <v>4444</v>
      </c>
      <c r="H175" s="65" t="s">
        <v>4445</v>
      </c>
      <c r="I175" s="65" t="s">
        <v>41</v>
      </c>
      <c r="J175" s="65" t="s">
        <v>34</v>
      </c>
      <c r="K175" s="65"/>
      <c r="L175" s="65" t="s">
        <v>87</v>
      </c>
      <c r="M175" s="89">
        <v>31.0</v>
      </c>
      <c r="N175" s="90">
        <v>46290.0</v>
      </c>
      <c r="O175" s="42" t="b">
        <v>0</v>
      </c>
      <c r="P175" s="44">
        <v>46293.0</v>
      </c>
      <c r="Q175" s="34"/>
      <c r="R175" s="34"/>
      <c r="S175" s="34"/>
      <c r="T175" s="34"/>
    </row>
    <row r="176" ht="15.75" customHeight="1">
      <c r="B176" s="86">
        <v>46287.0</v>
      </c>
      <c r="C176" s="65">
        <v>22340.0</v>
      </c>
      <c r="D176" s="65">
        <v>40.0</v>
      </c>
      <c r="E176" s="87">
        <v>16.0</v>
      </c>
      <c r="F176" s="87">
        <v>640.0</v>
      </c>
      <c r="G176" s="65" t="s">
        <v>4447</v>
      </c>
      <c r="H176" s="65" t="s">
        <v>4449</v>
      </c>
      <c r="I176" s="65" t="s">
        <v>41</v>
      </c>
      <c r="J176" s="65" t="s">
        <v>34</v>
      </c>
      <c r="K176" s="65"/>
      <c r="L176" s="65" t="s">
        <v>87</v>
      </c>
      <c r="M176" s="89">
        <v>31.0</v>
      </c>
      <c r="N176" s="93" t="s">
        <v>194</v>
      </c>
      <c r="O176" s="42" t="b">
        <v>0</v>
      </c>
      <c r="P176" s="44"/>
      <c r="Q176" s="34"/>
      <c r="R176" s="34"/>
      <c r="S176" s="34"/>
      <c r="T176" s="34"/>
    </row>
    <row r="177" ht="15.75" customHeight="1">
      <c r="B177" s="86">
        <v>46287.0</v>
      </c>
      <c r="C177" s="65">
        <v>22340.0</v>
      </c>
      <c r="D177" s="65">
        <v>20.0</v>
      </c>
      <c r="E177" s="87">
        <v>36.0</v>
      </c>
      <c r="F177" s="87">
        <v>720.0</v>
      </c>
      <c r="G177" s="65" t="s">
        <v>4451</v>
      </c>
      <c r="H177" s="65" t="s">
        <v>4452</v>
      </c>
      <c r="I177" s="65" t="s">
        <v>41</v>
      </c>
      <c r="J177" s="65" t="s">
        <v>34</v>
      </c>
      <c r="K177" s="65"/>
      <c r="L177" s="65" t="s">
        <v>87</v>
      </c>
      <c r="M177" s="89">
        <v>31.0</v>
      </c>
      <c r="N177" s="93" t="s">
        <v>194</v>
      </c>
      <c r="O177" s="42" t="b">
        <v>0</v>
      </c>
      <c r="P177" s="44"/>
      <c r="Q177" s="34"/>
      <c r="R177" s="34"/>
      <c r="S177" s="34"/>
      <c r="T177" s="34"/>
    </row>
    <row r="178" ht="15.75" customHeight="1">
      <c r="B178" s="86">
        <v>46287.0</v>
      </c>
      <c r="C178" s="65">
        <v>22342.0</v>
      </c>
      <c r="D178" s="65">
        <v>50.0</v>
      </c>
      <c r="E178" s="87">
        <v>22.5</v>
      </c>
      <c r="F178" s="87">
        <v>1125.0</v>
      </c>
      <c r="G178" s="65" t="s">
        <v>4456</v>
      </c>
      <c r="H178" s="65" t="s">
        <v>4369</v>
      </c>
      <c r="I178" s="65" t="s">
        <v>41</v>
      </c>
      <c r="J178" s="65" t="s">
        <v>34</v>
      </c>
      <c r="K178" s="65"/>
      <c r="L178" s="65" t="s">
        <v>87</v>
      </c>
      <c r="M178" s="89">
        <v>31.0</v>
      </c>
      <c r="N178" s="93" t="s">
        <v>194</v>
      </c>
      <c r="O178" s="42" t="b">
        <v>0</v>
      </c>
      <c r="P178" s="44"/>
      <c r="Q178" s="34"/>
      <c r="R178" s="34"/>
      <c r="S178" s="34"/>
      <c r="T178" s="34"/>
    </row>
    <row r="179" ht="15.75" customHeight="1">
      <c r="B179" s="86">
        <v>46287.0</v>
      </c>
      <c r="C179" s="65">
        <v>22342.0</v>
      </c>
      <c r="D179" s="65">
        <v>50.0</v>
      </c>
      <c r="E179" s="87">
        <v>8.1</v>
      </c>
      <c r="F179" s="87">
        <v>405.0</v>
      </c>
      <c r="G179" s="65" t="s">
        <v>4460</v>
      </c>
      <c r="H179" s="65" t="s">
        <v>4462</v>
      </c>
      <c r="I179" s="65" t="s">
        <v>41</v>
      </c>
      <c r="J179" s="65" t="s">
        <v>34</v>
      </c>
      <c r="K179" s="65"/>
      <c r="L179" s="65" t="s">
        <v>87</v>
      </c>
      <c r="M179" s="89">
        <v>31.0</v>
      </c>
      <c r="N179" s="93" t="s">
        <v>194</v>
      </c>
      <c r="O179" s="42" t="b">
        <v>0</v>
      </c>
      <c r="P179" s="44"/>
      <c r="Q179" s="34"/>
      <c r="R179" s="34"/>
      <c r="S179" s="34"/>
      <c r="T179" s="34"/>
    </row>
    <row r="180" ht="15.75" customHeight="1">
      <c r="B180" s="86">
        <v>46287.0</v>
      </c>
      <c r="C180" s="65">
        <v>22342.0</v>
      </c>
      <c r="D180" s="65">
        <v>30.0</v>
      </c>
      <c r="E180" s="87">
        <v>15.7</v>
      </c>
      <c r="F180" s="87">
        <v>471.0</v>
      </c>
      <c r="G180" s="65" t="s">
        <v>4464</v>
      </c>
      <c r="H180" s="65" t="s">
        <v>4465</v>
      </c>
      <c r="I180" s="65" t="s">
        <v>41</v>
      </c>
      <c r="J180" s="65" t="s">
        <v>34</v>
      </c>
      <c r="K180" s="65"/>
      <c r="L180" s="65" t="s">
        <v>87</v>
      </c>
      <c r="M180" s="89">
        <v>31.0</v>
      </c>
      <c r="N180" s="93" t="s">
        <v>194</v>
      </c>
      <c r="O180" s="42" t="b">
        <v>0</v>
      </c>
      <c r="P180" s="44"/>
      <c r="Q180" s="34"/>
      <c r="R180" s="34"/>
      <c r="S180" s="34"/>
      <c r="T180" s="34"/>
    </row>
    <row r="181" ht="15.75" customHeight="1">
      <c r="B181" s="86">
        <v>46287.0</v>
      </c>
      <c r="C181" s="65">
        <v>22342.0</v>
      </c>
      <c r="D181" s="65">
        <v>50.0</v>
      </c>
      <c r="E181" s="87">
        <v>11.2</v>
      </c>
      <c r="F181" s="87">
        <v>560.0</v>
      </c>
      <c r="G181" s="65" t="s">
        <v>4468</v>
      </c>
      <c r="H181" s="65" t="s">
        <v>4469</v>
      </c>
      <c r="I181" s="65" t="s">
        <v>41</v>
      </c>
      <c r="J181" s="65" t="s">
        <v>34</v>
      </c>
      <c r="K181" s="65"/>
      <c r="L181" s="65" t="s">
        <v>87</v>
      </c>
      <c r="M181" s="89">
        <v>31.0</v>
      </c>
      <c r="N181" s="93" t="s">
        <v>194</v>
      </c>
      <c r="O181" s="42" t="b">
        <v>0</v>
      </c>
      <c r="P181" s="44"/>
      <c r="Q181" s="34"/>
      <c r="R181" s="34"/>
      <c r="S181" s="34"/>
      <c r="T181" s="35"/>
    </row>
    <row r="182" ht="15.75" customHeight="1">
      <c r="B182" s="86">
        <v>46287.0</v>
      </c>
      <c r="C182" s="65">
        <v>22342.0</v>
      </c>
      <c r="D182" s="65">
        <v>30.0</v>
      </c>
      <c r="E182" s="87">
        <v>19.8</v>
      </c>
      <c r="F182" s="87">
        <v>594.0</v>
      </c>
      <c r="G182" s="65" t="s">
        <v>4471</v>
      </c>
      <c r="H182" s="65" t="s">
        <v>4472</v>
      </c>
      <c r="I182" s="65" t="s">
        <v>41</v>
      </c>
      <c r="J182" s="65" t="s">
        <v>34</v>
      </c>
      <c r="K182" s="65"/>
      <c r="L182" s="65" t="s">
        <v>87</v>
      </c>
      <c r="M182" s="89">
        <v>31.0</v>
      </c>
      <c r="N182" s="93" t="s">
        <v>194</v>
      </c>
      <c r="O182" s="42" t="b">
        <v>0</v>
      </c>
      <c r="P182" s="44"/>
      <c r="Q182" s="34"/>
      <c r="R182" s="34"/>
      <c r="S182" s="34"/>
      <c r="T182" s="34"/>
    </row>
    <row r="183" ht="15.75" hidden="1" customHeight="1">
      <c r="B183" s="86">
        <v>46287.0</v>
      </c>
      <c r="C183" s="65">
        <v>10731.0</v>
      </c>
      <c r="D183" s="65">
        <v>40.0</v>
      </c>
      <c r="E183" s="87">
        <v>261.0</v>
      </c>
      <c r="F183" s="87">
        <v>10440.0</v>
      </c>
      <c r="G183" s="65" t="s">
        <v>4476</v>
      </c>
      <c r="H183" s="65" t="s">
        <v>4477</v>
      </c>
      <c r="I183" s="65" t="s">
        <v>175</v>
      </c>
      <c r="J183" s="65" t="s">
        <v>34</v>
      </c>
      <c r="K183" s="65"/>
      <c r="L183" s="65" t="s">
        <v>46</v>
      </c>
      <c r="M183" s="89">
        <v>31.0</v>
      </c>
      <c r="N183" s="90">
        <v>46290.0</v>
      </c>
      <c r="O183" s="42" t="b">
        <v>0</v>
      </c>
      <c r="P183" s="44">
        <v>46293.0</v>
      </c>
      <c r="Q183" s="34"/>
      <c r="R183" s="34"/>
      <c r="S183" s="34"/>
      <c r="T183" s="34"/>
    </row>
    <row r="184" ht="15.75" customHeight="1">
      <c r="B184" s="86">
        <v>46287.0</v>
      </c>
      <c r="C184" s="65">
        <v>22341.0</v>
      </c>
      <c r="D184" s="65">
        <v>40.0</v>
      </c>
      <c r="E184" s="87">
        <v>18.0</v>
      </c>
      <c r="F184" s="87">
        <v>720.0</v>
      </c>
      <c r="G184" s="65" t="s">
        <v>4478</v>
      </c>
      <c r="H184" s="65" t="s">
        <v>4479</v>
      </c>
      <c r="I184" s="65" t="s">
        <v>41</v>
      </c>
      <c r="J184" s="65" t="s">
        <v>34</v>
      </c>
      <c r="K184" s="65"/>
      <c r="L184" s="65" t="s">
        <v>87</v>
      </c>
      <c r="M184" s="89">
        <v>31.0</v>
      </c>
      <c r="N184" s="93" t="s">
        <v>194</v>
      </c>
      <c r="O184" s="42" t="b">
        <v>0</v>
      </c>
      <c r="P184" s="44"/>
      <c r="Q184" s="34"/>
      <c r="R184" s="34"/>
      <c r="S184" s="34"/>
      <c r="T184" s="34"/>
    </row>
    <row r="185" ht="15.75" customHeight="1">
      <c r="B185" s="86">
        <v>46287.0</v>
      </c>
      <c r="C185" s="65">
        <v>22341.0</v>
      </c>
      <c r="D185" s="65">
        <v>20.0</v>
      </c>
      <c r="E185" s="87">
        <v>48.5</v>
      </c>
      <c r="F185" s="87">
        <v>970.0</v>
      </c>
      <c r="G185" s="65" t="s">
        <v>4481</v>
      </c>
      <c r="H185" s="65" t="s">
        <v>4482</v>
      </c>
      <c r="I185" s="65" t="s">
        <v>41</v>
      </c>
      <c r="J185" s="65" t="s">
        <v>34</v>
      </c>
      <c r="K185" s="65"/>
      <c r="L185" s="65" t="s">
        <v>87</v>
      </c>
      <c r="M185" s="89">
        <v>31.0</v>
      </c>
      <c r="N185" s="93" t="s">
        <v>194</v>
      </c>
      <c r="O185" s="42" t="b">
        <v>0</v>
      </c>
      <c r="P185" s="44"/>
      <c r="Q185" s="34"/>
      <c r="R185" s="34"/>
      <c r="S185" s="34"/>
      <c r="T185" s="34"/>
    </row>
    <row r="186" ht="15.75" customHeight="1">
      <c r="B186" s="86">
        <v>46287.0</v>
      </c>
      <c r="C186" s="65">
        <v>22341.0</v>
      </c>
      <c r="D186" s="65">
        <v>100.0</v>
      </c>
      <c r="E186" s="87">
        <v>6.3</v>
      </c>
      <c r="F186" s="87">
        <v>630.0</v>
      </c>
      <c r="G186" s="65" t="s">
        <v>4484</v>
      </c>
      <c r="H186" s="65" t="s">
        <v>4485</v>
      </c>
      <c r="I186" s="65" t="s">
        <v>41</v>
      </c>
      <c r="J186" s="65" t="s">
        <v>34</v>
      </c>
      <c r="K186" s="65"/>
      <c r="L186" s="65" t="s">
        <v>87</v>
      </c>
      <c r="M186" s="89">
        <v>31.0</v>
      </c>
      <c r="N186" s="93" t="s">
        <v>194</v>
      </c>
      <c r="O186" s="42" t="b">
        <v>0</v>
      </c>
      <c r="P186" s="44"/>
      <c r="Q186" s="34"/>
      <c r="R186" s="34"/>
      <c r="S186" s="34"/>
      <c r="T186" s="34"/>
    </row>
    <row r="187" ht="15.75" customHeight="1">
      <c r="B187" s="86">
        <v>46287.0</v>
      </c>
      <c r="C187" s="65">
        <v>22341.0</v>
      </c>
      <c r="D187" s="65">
        <v>20.0</v>
      </c>
      <c r="E187" s="87">
        <v>85.5</v>
      </c>
      <c r="F187" s="87">
        <v>1710.0</v>
      </c>
      <c r="G187" s="65" t="s">
        <v>4486</v>
      </c>
      <c r="H187" s="65" t="s">
        <v>4487</v>
      </c>
      <c r="I187" s="65" t="s">
        <v>41</v>
      </c>
      <c r="J187" s="65" t="s">
        <v>34</v>
      </c>
      <c r="K187" s="65"/>
      <c r="L187" s="65" t="s">
        <v>87</v>
      </c>
      <c r="M187" s="89">
        <v>31.0</v>
      </c>
      <c r="N187" s="93" t="s">
        <v>194</v>
      </c>
      <c r="O187" s="42" t="b">
        <v>0</v>
      </c>
      <c r="P187" s="44"/>
      <c r="Q187" s="34"/>
      <c r="R187" s="34"/>
      <c r="S187" s="34"/>
      <c r="T187" s="34"/>
    </row>
    <row r="188" ht="15.75" customHeight="1">
      <c r="B188" s="86">
        <v>46287.0</v>
      </c>
      <c r="C188" s="65">
        <v>22341.0</v>
      </c>
      <c r="D188" s="65">
        <v>100.0</v>
      </c>
      <c r="E188" s="87">
        <v>72.0</v>
      </c>
      <c r="F188" s="87">
        <v>7200.0</v>
      </c>
      <c r="G188" s="65" t="s">
        <v>4488</v>
      </c>
      <c r="H188" s="65" t="s">
        <v>4392</v>
      </c>
      <c r="I188" s="65" t="s">
        <v>41</v>
      </c>
      <c r="J188" s="65" t="s">
        <v>34</v>
      </c>
      <c r="K188" s="65"/>
      <c r="L188" s="65" t="s">
        <v>87</v>
      </c>
      <c r="M188" s="89">
        <v>31.0</v>
      </c>
      <c r="N188" s="93" t="s">
        <v>194</v>
      </c>
      <c r="O188" s="42" t="b">
        <v>0</v>
      </c>
      <c r="P188" s="44"/>
      <c r="Q188" s="34"/>
      <c r="R188" s="34"/>
      <c r="S188" s="34"/>
      <c r="T188" s="34"/>
    </row>
    <row r="189" ht="15.75" customHeight="1">
      <c r="B189" s="86">
        <v>46287.0</v>
      </c>
      <c r="C189" s="65">
        <v>22341.0</v>
      </c>
      <c r="D189" s="65">
        <v>50.0</v>
      </c>
      <c r="E189" s="87">
        <v>36.0</v>
      </c>
      <c r="F189" s="87">
        <v>1800.0</v>
      </c>
      <c r="G189" s="65" t="s">
        <v>4491</v>
      </c>
      <c r="H189" s="65" t="s">
        <v>4492</v>
      </c>
      <c r="I189" s="65" t="s">
        <v>41</v>
      </c>
      <c r="J189" s="65" t="s">
        <v>34</v>
      </c>
      <c r="K189" s="65"/>
      <c r="L189" s="65" t="s">
        <v>87</v>
      </c>
      <c r="M189" s="89">
        <v>31.0</v>
      </c>
      <c r="N189" s="93" t="s">
        <v>194</v>
      </c>
      <c r="O189" s="42" t="b">
        <v>0</v>
      </c>
      <c r="P189" s="44"/>
      <c r="Q189" s="34"/>
      <c r="R189" s="34"/>
      <c r="S189" s="34"/>
      <c r="T189" s="34"/>
    </row>
    <row r="190" ht="15.75" customHeight="1">
      <c r="B190" s="86">
        <v>46287.0</v>
      </c>
      <c r="C190" s="65">
        <v>22341.0</v>
      </c>
      <c r="D190" s="65">
        <v>50.0</v>
      </c>
      <c r="E190" s="87">
        <v>19.8</v>
      </c>
      <c r="F190" s="87">
        <v>990.0</v>
      </c>
      <c r="G190" s="65" t="s">
        <v>4494</v>
      </c>
      <c r="H190" s="65" t="s">
        <v>4495</v>
      </c>
      <c r="I190" s="65" t="s">
        <v>41</v>
      </c>
      <c r="J190" s="65" t="s">
        <v>34</v>
      </c>
      <c r="K190" s="65"/>
      <c r="L190" s="65" t="s">
        <v>87</v>
      </c>
      <c r="M190" s="89">
        <v>31.0</v>
      </c>
      <c r="N190" s="93" t="s">
        <v>194</v>
      </c>
      <c r="O190" s="42" t="b">
        <v>0</v>
      </c>
      <c r="P190" s="44"/>
      <c r="Q190" s="34"/>
      <c r="R190" s="34"/>
      <c r="S190" s="34"/>
      <c r="T190" s="34"/>
    </row>
    <row r="191" ht="15.75" customHeight="1">
      <c r="B191" s="86">
        <v>46287.0</v>
      </c>
      <c r="C191" s="65">
        <v>22341.0</v>
      </c>
      <c r="D191" s="65">
        <v>30.0</v>
      </c>
      <c r="E191" s="87">
        <v>30.6</v>
      </c>
      <c r="F191" s="87">
        <v>918.0</v>
      </c>
      <c r="G191" s="65" t="s">
        <v>4496</v>
      </c>
      <c r="H191" s="65" t="s">
        <v>4497</v>
      </c>
      <c r="I191" s="65" t="s">
        <v>41</v>
      </c>
      <c r="J191" s="65" t="s">
        <v>34</v>
      </c>
      <c r="K191" s="65"/>
      <c r="L191" s="65" t="s">
        <v>87</v>
      </c>
      <c r="M191" s="89">
        <v>31.0</v>
      </c>
      <c r="N191" s="93" t="s">
        <v>194</v>
      </c>
      <c r="O191" s="42" t="b">
        <v>0</v>
      </c>
      <c r="P191" s="44"/>
      <c r="Q191" s="44"/>
      <c r="R191" s="34"/>
      <c r="S191" s="34"/>
      <c r="T191" s="34"/>
    </row>
    <row r="192" ht="15.75" customHeight="1">
      <c r="B192" s="86">
        <v>46287.0</v>
      </c>
      <c r="C192" s="65">
        <v>22341.0</v>
      </c>
      <c r="D192" s="65">
        <v>50.0</v>
      </c>
      <c r="E192" s="87">
        <v>12.6</v>
      </c>
      <c r="F192" s="87">
        <v>630.0</v>
      </c>
      <c r="G192" s="65" t="s">
        <v>4499</v>
      </c>
      <c r="H192" s="65" t="s">
        <v>4500</v>
      </c>
      <c r="I192" s="65" t="s">
        <v>41</v>
      </c>
      <c r="J192" s="65" t="s">
        <v>34</v>
      </c>
      <c r="K192" s="65"/>
      <c r="L192" s="65" t="s">
        <v>87</v>
      </c>
      <c r="M192" s="89">
        <v>31.0</v>
      </c>
      <c r="N192" s="93" t="s">
        <v>194</v>
      </c>
      <c r="O192" s="42" t="b">
        <v>0</v>
      </c>
      <c r="P192" s="44"/>
      <c r="Q192" s="34"/>
      <c r="R192" s="34"/>
      <c r="S192" s="34"/>
      <c r="T192" s="34"/>
    </row>
    <row r="193" ht="15.75" customHeight="1">
      <c r="B193" s="86">
        <v>46287.0</v>
      </c>
      <c r="C193" s="65">
        <v>22343.0</v>
      </c>
      <c r="D193" s="65">
        <v>40.0</v>
      </c>
      <c r="E193" s="87">
        <v>43.2</v>
      </c>
      <c r="F193" s="87">
        <v>1728.0</v>
      </c>
      <c r="G193" s="65" t="s">
        <v>4501</v>
      </c>
      <c r="H193" s="65" t="s">
        <v>4502</v>
      </c>
      <c r="I193" s="65" t="s">
        <v>41</v>
      </c>
      <c r="J193" s="65" t="s">
        <v>34</v>
      </c>
      <c r="K193" s="65"/>
      <c r="L193" s="65" t="s">
        <v>87</v>
      </c>
      <c r="M193" s="89">
        <v>31.0</v>
      </c>
      <c r="N193" s="93" t="s">
        <v>194</v>
      </c>
      <c r="O193" s="42" t="b">
        <v>0</v>
      </c>
      <c r="P193" s="44"/>
      <c r="Q193" s="34"/>
      <c r="R193" s="34"/>
      <c r="S193" s="34"/>
      <c r="T193" s="34"/>
    </row>
    <row r="194" ht="15.75" customHeight="1">
      <c r="B194" s="86">
        <v>46287.0</v>
      </c>
      <c r="C194" s="65">
        <v>22343.0</v>
      </c>
      <c r="D194" s="65">
        <v>20.0</v>
      </c>
      <c r="E194" s="87">
        <v>34.2</v>
      </c>
      <c r="F194" s="87">
        <v>684.0</v>
      </c>
      <c r="G194" s="65" t="s">
        <v>4503</v>
      </c>
      <c r="H194" s="65" t="s">
        <v>4504</v>
      </c>
      <c r="I194" s="65" t="s">
        <v>41</v>
      </c>
      <c r="J194" s="65" t="s">
        <v>34</v>
      </c>
      <c r="K194" s="65"/>
      <c r="L194" s="65" t="s">
        <v>87</v>
      </c>
      <c r="M194" s="89">
        <v>31.0</v>
      </c>
      <c r="N194" s="93" t="s">
        <v>194</v>
      </c>
      <c r="O194" s="42" t="b">
        <v>0</v>
      </c>
      <c r="P194" s="44"/>
      <c r="Q194" s="34"/>
      <c r="R194" s="34"/>
      <c r="S194" s="34"/>
      <c r="T194" s="34"/>
    </row>
    <row r="195" ht="15.75" customHeight="1">
      <c r="B195" s="86">
        <v>46287.0</v>
      </c>
      <c r="C195" s="65">
        <v>22343.0</v>
      </c>
      <c r="D195" s="65">
        <v>50.0</v>
      </c>
      <c r="E195" s="87">
        <v>13.5</v>
      </c>
      <c r="F195" s="87">
        <v>675.0</v>
      </c>
      <c r="G195" s="65" t="s">
        <v>4505</v>
      </c>
      <c r="H195" s="65" t="s">
        <v>4506</v>
      </c>
      <c r="I195" s="65" t="s">
        <v>41</v>
      </c>
      <c r="J195" s="65" t="s">
        <v>34</v>
      </c>
      <c r="K195" s="65"/>
      <c r="L195" s="65" t="s">
        <v>87</v>
      </c>
      <c r="M195" s="89">
        <v>31.0</v>
      </c>
      <c r="N195" s="93" t="s">
        <v>194</v>
      </c>
      <c r="O195" s="42" t="b">
        <v>0</v>
      </c>
      <c r="P195" s="44"/>
      <c r="Q195" s="34"/>
      <c r="R195" s="34"/>
      <c r="S195" s="34"/>
      <c r="T195" s="34"/>
    </row>
    <row r="196" ht="15.75" hidden="1" customHeight="1">
      <c r="B196" s="86">
        <v>46287.0</v>
      </c>
      <c r="C196" s="65">
        <v>4611.0</v>
      </c>
      <c r="D196" s="65">
        <v>2.0</v>
      </c>
      <c r="E196" s="87">
        <v>260.0</v>
      </c>
      <c r="F196" s="87">
        <v>520.0</v>
      </c>
      <c r="G196" s="65" t="s">
        <v>4507</v>
      </c>
      <c r="H196" s="65" t="s">
        <v>4508</v>
      </c>
      <c r="I196" s="65" t="s">
        <v>4509</v>
      </c>
      <c r="J196" s="65" t="s">
        <v>34</v>
      </c>
      <c r="K196" s="65"/>
      <c r="L196" s="65" t="s">
        <v>4510</v>
      </c>
      <c r="M196" s="89">
        <v>31.0</v>
      </c>
      <c r="N196" s="90">
        <v>46288.0</v>
      </c>
      <c r="O196" s="42" t="b">
        <v>0</v>
      </c>
      <c r="P196" s="44">
        <v>46290.0</v>
      </c>
      <c r="Q196" s="34"/>
      <c r="R196" s="34"/>
      <c r="S196" s="34"/>
      <c r="T196" s="34"/>
    </row>
    <row r="197" ht="15.75" hidden="1" customHeight="1">
      <c r="B197" s="86">
        <v>46287.0</v>
      </c>
      <c r="C197" s="65">
        <v>4611.0</v>
      </c>
      <c r="D197" s="65">
        <v>1.0</v>
      </c>
      <c r="E197" s="87">
        <v>380.0</v>
      </c>
      <c r="F197" s="87">
        <v>380.0</v>
      </c>
      <c r="G197" s="65" t="s">
        <v>4513</v>
      </c>
      <c r="H197" s="65" t="s">
        <v>4514</v>
      </c>
      <c r="I197" s="65" t="s">
        <v>221</v>
      </c>
      <c r="J197" s="65" t="s">
        <v>34</v>
      </c>
      <c r="K197" s="65"/>
      <c r="L197" s="65" t="s">
        <v>4510</v>
      </c>
      <c r="M197" s="89">
        <v>31.0</v>
      </c>
      <c r="N197" s="90">
        <v>46288.0</v>
      </c>
      <c r="O197" s="42" t="b">
        <v>0</v>
      </c>
      <c r="P197" s="44">
        <v>46290.0</v>
      </c>
      <c r="Q197" s="34"/>
      <c r="R197" s="34"/>
      <c r="S197" s="34"/>
      <c r="T197" s="34"/>
    </row>
    <row r="198" ht="15.75" hidden="1" customHeight="1">
      <c r="B198" s="86">
        <v>46287.0</v>
      </c>
      <c r="C198" s="65">
        <v>4611.0</v>
      </c>
      <c r="D198" s="65">
        <v>1.0</v>
      </c>
      <c r="E198" s="87">
        <v>220.0</v>
      </c>
      <c r="F198" s="87">
        <v>220.0</v>
      </c>
      <c r="G198" s="65" t="s">
        <v>4515</v>
      </c>
      <c r="H198" s="65" t="s">
        <v>4516</v>
      </c>
      <c r="I198" s="65" t="s">
        <v>221</v>
      </c>
      <c r="J198" s="65" t="s">
        <v>34</v>
      </c>
      <c r="K198" s="65"/>
      <c r="L198" s="65" t="s">
        <v>4510</v>
      </c>
      <c r="M198" s="89">
        <v>31.0</v>
      </c>
      <c r="N198" s="90">
        <v>46288.0</v>
      </c>
      <c r="O198" s="42" t="b">
        <v>0</v>
      </c>
      <c r="P198" s="44">
        <v>46290.0</v>
      </c>
      <c r="Q198" s="34"/>
      <c r="R198" s="34"/>
      <c r="S198" s="34"/>
      <c r="T198" s="34"/>
    </row>
    <row r="199" ht="15.75" hidden="1" customHeight="1">
      <c r="B199" s="86">
        <v>46287.0</v>
      </c>
      <c r="C199" s="65">
        <v>4611.0</v>
      </c>
      <c r="D199" s="65">
        <v>1.0</v>
      </c>
      <c r="E199" s="87">
        <v>215.0</v>
      </c>
      <c r="F199" s="87">
        <v>215.0</v>
      </c>
      <c r="G199" s="65" t="s">
        <v>4519</v>
      </c>
      <c r="H199" s="65" t="s">
        <v>4520</v>
      </c>
      <c r="I199" s="65" t="s">
        <v>221</v>
      </c>
      <c r="J199" s="65" t="s">
        <v>34</v>
      </c>
      <c r="K199" s="65"/>
      <c r="L199" s="65" t="s">
        <v>4510</v>
      </c>
      <c r="M199" s="89">
        <v>31.0</v>
      </c>
      <c r="N199" s="90">
        <v>46288.0</v>
      </c>
      <c r="O199" s="42" t="b">
        <v>0</v>
      </c>
      <c r="P199" s="44">
        <v>46290.0</v>
      </c>
      <c r="Q199" s="34"/>
      <c r="R199" s="34"/>
      <c r="S199" s="34"/>
      <c r="T199" s="34"/>
    </row>
    <row r="200" ht="15.75" hidden="1" customHeight="1">
      <c r="B200" s="86">
        <v>46287.0</v>
      </c>
      <c r="C200" s="65">
        <v>4611.0</v>
      </c>
      <c r="D200" s="65">
        <v>1.0</v>
      </c>
      <c r="E200" s="87">
        <v>195.0</v>
      </c>
      <c r="F200" s="87">
        <v>195.0</v>
      </c>
      <c r="G200" s="65" t="s">
        <v>4522</v>
      </c>
      <c r="H200" s="65" t="s">
        <v>4523</v>
      </c>
      <c r="I200" s="65" t="s">
        <v>221</v>
      </c>
      <c r="J200" s="65" t="s">
        <v>34</v>
      </c>
      <c r="K200" s="65"/>
      <c r="L200" s="65" t="s">
        <v>4510</v>
      </c>
      <c r="M200" s="89">
        <v>31.0</v>
      </c>
      <c r="N200" s="90">
        <v>46288.0</v>
      </c>
      <c r="O200" s="42" t="b">
        <v>0</v>
      </c>
      <c r="P200" s="44">
        <v>46290.0</v>
      </c>
      <c r="Q200" s="34"/>
      <c r="R200" s="34"/>
      <c r="S200" s="34"/>
      <c r="T200" s="34"/>
    </row>
    <row r="201" ht="15.75" hidden="1" customHeight="1">
      <c r="B201" s="86">
        <v>46287.0</v>
      </c>
      <c r="C201" s="65">
        <v>4611.0</v>
      </c>
      <c r="D201" s="65">
        <v>1.0</v>
      </c>
      <c r="E201" s="87">
        <v>1044.0</v>
      </c>
      <c r="F201" s="87">
        <v>1044.0</v>
      </c>
      <c r="G201" s="65" t="s">
        <v>4524</v>
      </c>
      <c r="H201" s="65" t="s">
        <v>4525</v>
      </c>
      <c r="I201" s="65" t="s">
        <v>221</v>
      </c>
      <c r="J201" s="65" t="s">
        <v>34</v>
      </c>
      <c r="K201" s="65"/>
      <c r="L201" s="65" t="s">
        <v>4510</v>
      </c>
      <c r="M201" s="89">
        <v>31.0</v>
      </c>
      <c r="N201" s="90">
        <v>46288.0</v>
      </c>
      <c r="O201" s="42" t="b">
        <v>0</v>
      </c>
      <c r="P201" s="44">
        <v>46290.0</v>
      </c>
      <c r="Q201" s="34"/>
      <c r="R201" s="34"/>
      <c r="S201" s="34"/>
      <c r="T201" s="34"/>
    </row>
    <row r="202" ht="15.75" hidden="1" customHeight="1">
      <c r="B202" s="86">
        <v>46287.0</v>
      </c>
      <c r="C202" s="65">
        <v>9602.0</v>
      </c>
      <c r="D202" s="65">
        <v>12.0</v>
      </c>
      <c r="E202" s="87">
        <v>31.5</v>
      </c>
      <c r="F202" s="87">
        <v>378.0</v>
      </c>
      <c r="G202" s="65" t="s">
        <v>4528</v>
      </c>
      <c r="H202" s="65" t="s">
        <v>4529</v>
      </c>
      <c r="I202" s="65" t="s">
        <v>221</v>
      </c>
      <c r="J202" s="65" t="s">
        <v>3254</v>
      </c>
      <c r="K202" s="65"/>
      <c r="L202" s="65" t="s">
        <v>241</v>
      </c>
      <c r="M202" s="89">
        <v>31.0</v>
      </c>
      <c r="N202" s="90">
        <v>46288.0</v>
      </c>
      <c r="O202" s="42" t="b">
        <v>0</v>
      </c>
      <c r="P202" s="44">
        <v>46290.0</v>
      </c>
      <c r="Q202" s="34"/>
      <c r="R202" s="34"/>
      <c r="S202" s="34"/>
      <c r="T202" s="34"/>
    </row>
    <row r="203" ht="15.75" hidden="1" customHeight="1">
      <c r="B203" s="86">
        <v>46287.0</v>
      </c>
      <c r="C203" s="65">
        <v>9602.0</v>
      </c>
      <c r="D203" s="65">
        <v>20.0</v>
      </c>
      <c r="E203" s="87">
        <v>91.7</v>
      </c>
      <c r="F203" s="87">
        <v>1944.0</v>
      </c>
      <c r="G203" s="65" t="s">
        <v>4530</v>
      </c>
      <c r="H203" s="65" t="s">
        <v>4531</v>
      </c>
      <c r="I203" s="65" t="s">
        <v>4183</v>
      </c>
      <c r="J203" s="65" t="s">
        <v>3254</v>
      </c>
      <c r="K203" s="65"/>
      <c r="L203" s="65" t="s">
        <v>241</v>
      </c>
      <c r="M203" s="89">
        <v>31.0</v>
      </c>
      <c r="N203" s="90">
        <v>46290.0</v>
      </c>
      <c r="O203" s="42" t="b">
        <v>0</v>
      </c>
      <c r="P203" s="44">
        <v>46293.0</v>
      </c>
      <c r="Q203" s="34"/>
      <c r="R203" s="34"/>
      <c r="S203" s="34"/>
      <c r="T203" s="34"/>
    </row>
    <row r="204" ht="15.75" hidden="1" customHeight="1">
      <c r="B204" s="86">
        <v>46287.0</v>
      </c>
      <c r="C204" s="65">
        <v>166.0</v>
      </c>
      <c r="D204" s="65">
        <v>1000.0</v>
      </c>
      <c r="E204" s="87">
        <v>290.0</v>
      </c>
      <c r="F204" s="87">
        <v>290000.0</v>
      </c>
      <c r="G204" s="65" t="s">
        <v>4532</v>
      </c>
      <c r="H204" s="65"/>
      <c r="I204" s="65" t="s">
        <v>32</v>
      </c>
      <c r="J204" s="65" t="s">
        <v>34</v>
      </c>
      <c r="K204" s="65"/>
      <c r="L204" s="65" t="s">
        <v>4533</v>
      </c>
      <c r="M204" s="89">
        <v>31.0</v>
      </c>
      <c r="N204" s="90">
        <v>46290.0</v>
      </c>
      <c r="O204" s="42" t="b">
        <v>0</v>
      </c>
      <c r="P204" s="44">
        <v>46293.0</v>
      </c>
      <c r="Q204" s="34"/>
      <c r="R204" s="34"/>
      <c r="S204" s="34"/>
      <c r="T204" s="34"/>
    </row>
    <row r="205" ht="15.75" hidden="1" customHeight="1">
      <c r="B205" s="86">
        <v>46287.0</v>
      </c>
      <c r="C205" s="65">
        <v>2.60922002E8</v>
      </c>
      <c r="D205" s="65">
        <v>15.0</v>
      </c>
      <c r="E205" s="87">
        <v>4602.0</v>
      </c>
      <c r="F205" s="87">
        <v>69030.0</v>
      </c>
      <c r="G205" s="65" t="s">
        <v>4534</v>
      </c>
      <c r="H205" s="65" t="s">
        <v>4535</v>
      </c>
      <c r="I205" s="65" t="s">
        <v>32</v>
      </c>
      <c r="J205" s="65" t="s">
        <v>34</v>
      </c>
      <c r="K205" s="65"/>
      <c r="L205" s="65" t="s">
        <v>4407</v>
      </c>
      <c r="M205" s="89">
        <v>31.0</v>
      </c>
      <c r="N205" s="90">
        <v>46290.0</v>
      </c>
      <c r="O205" s="42" t="b">
        <v>0</v>
      </c>
      <c r="P205" s="44">
        <v>46293.0</v>
      </c>
      <c r="Q205" s="34"/>
      <c r="R205" s="34"/>
      <c r="S205" s="34"/>
      <c r="T205" s="34"/>
    </row>
    <row r="206" ht="15.75" hidden="1" customHeight="1">
      <c r="B206" s="86">
        <v>46287.0</v>
      </c>
      <c r="C206" s="65">
        <v>2.60922002E8</v>
      </c>
      <c r="D206" s="65">
        <v>1.0</v>
      </c>
      <c r="E206" s="87">
        <v>2500.0</v>
      </c>
      <c r="F206" s="87">
        <v>2500.0</v>
      </c>
      <c r="G206" s="65" t="s">
        <v>4536</v>
      </c>
      <c r="H206" s="65" t="s">
        <v>4537</v>
      </c>
      <c r="I206" s="65" t="s">
        <v>32</v>
      </c>
      <c r="J206" s="65" t="s">
        <v>34</v>
      </c>
      <c r="K206" s="65"/>
      <c r="L206" s="65" t="s">
        <v>4407</v>
      </c>
      <c r="M206" s="89">
        <v>31.0</v>
      </c>
      <c r="N206" s="90">
        <v>46290.0</v>
      </c>
      <c r="O206" s="42" t="b">
        <v>0</v>
      </c>
      <c r="P206" s="44">
        <v>46293.0</v>
      </c>
      <c r="Q206" s="34"/>
      <c r="R206" s="34"/>
      <c r="S206" s="34"/>
      <c r="T206" s="34"/>
    </row>
    <row r="207" ht="15.75" hidden="1" customHeight="1">
      <c r="B207" s="86">
        <v>46287.0</v>
      </c>
      <c r="C207" s="65">
        <v>1259.0</v>
      </c>
      <c r="D207" s="65">
        <v>144.0</v>
      </c>
      <c r="E207" s="87">
        <v>11.5</v>
      </c>
      <c r="F207" s="87">
        <v>1656.0</v>
      </c>
      <c r="G207" s="65" t="s">
        <v>4539</v>
      </c>
      <c r="H207" s="65"/>
      <c r="I207" s="65" t="s">
        <v>240</v>
      </c>
      <c r="J207" s="65" t="s">
        <v>34</v>
      </c>
      <c r="K207" s="65"/>
      <c r="L207" s="65" t="s">
        <v>3976</v>
      </c>
      <c r="M207" s="89">
        <v>31.0</v>
      </c>
      <c r="N207" s="90">
        <v>46290.0</v>
      </c>
      <c r="O207" s="42" t="b">
        <v>1</v>
      </c>
      <c r="P207" s="44">
        <v>46290.0</v>
      </c>
      <c r="Q207" s="34"/>
      <c r="R207" s="34"/>
      <c r="S207" s="34"/>
      <c r="T207" s="34"/>
    </row>
    <row r="208" ht="15.75" customHeight="1">
      <c r="B208" s="86">
        <v>46287.0</v>
      </c>
      <c r="C208" s="65">
        <v>32522.0</v>
      </c>
      <c r="D208" s="65" t="s">
        <v>3805</v>
      </c>
      <c r="E208" s="87" t="s">
        <v>35</v>
      </c>
      <c r="F208" s="87">
        <v>8875.3</v>
      </c>
      <c r="G208" s="65" t="s">
        <v>4540</v>
      </c>
      <c r="H208" s="65" t="s">
        <v>4541</v>
      </c>
      <c r="I208" s="65" t="s">
        <v>32</v>
      </c>
      <c r="J208" s="65" t="s">
        <v>34</v>
      </c>
      <c r="K208" s="65"/>
      <c r="L208" s="65" t="s">
        <v>96</v>
      </c>
      <c r="M208" s="89">
        <v>31.0</v>
      </c>
      <c r="N208" s="93" t="s">
        <v>194</v>
      </c>
      <c r="O208" s="42" t="b">
        <v>0</v>
      </c>
      <c r="P208" s="44"/>
      <c r="Q208" s="34"/>
      <c r="R208" s="34"/>
      <c r="S208" s="34"/>
      <c r="T208" s="34"/>
    </row>
    <row r="209" ht="15.75" customHeight="1">
      <c r="B209" s="86">
        <v>46287.0</v>
      </c>
      <c r="C209" s="65">
        <v>32528.0</v>
      </c>
      <c r="D209" s="65" t="s">
        <v>4542</v>
      </c>
      <c r="E209" s="87" t="s">
        <v>35</v>
      </c>
      <c r="F209" s="87">
        <v>19881.9</v>
      </c>
      <c r="G209" s="65" t="s">
        <v>4543</v>
      </c>
      <c r="H209" s="65" t="s">
        <v>4544</v>
      </c>
      <c r="I209" s="65" t="s">
        <v>41</v>
      </c>
      <c r="J209" s="65" t="s">
        <v>34</v>
      </c>
      <c r="K209" s="65"/>
      <c r="L209" s="65" t="s">
        <v>96</v>
      </c>
      <c r="M209" s="89">
        <v>31.0</v>
      </c>
      <c r="N209" s="93" t="s">
        <v>194</v>
      </c>
      <c r="O209" s="42" t="b">
        <v>1</v>
      </c>
      <c r="P209" s="44"/>
      <c r="Q209" s="34"/>
      <c r="R209" s="34"/>
      <c r="S209" s="34"/>
      <c r="T209" s="34"/>
    </row>
    <row r="210" ht="15.75" hidden="1" customHeight="1">
      <c r="B210" s="86">
        <v>46287.0</v>
      </c>
      <c r="C210" s="65">
        <v>32529.0</v>
      </c>
      <c r="D210" s="65" t="s">
        <v>4545</v>
      </c>
      <c r="E210" s="87" t="s">
        <v>35</v>
      </c>
      <c r="F210" s="87">
        <v>4077.6</v>
      </c>
      <c r="G210" s="65" t="s">
        <v>4546</v>
      </c>
      <c r="H210" s="65" t="s">
        <v>4547</v>
      </c>
      <c r="I210" s="65" t="s">
        <v>3835</v>
      </c>
      <c r="J210" s="65" t="s">
        <v>4548</v>
      </c>
      <c r="K210" s="65"/>
      <c r="L210" s="65" t="s">
        <v>96</v>
      </c>
      <c r="M210" s="89">
        <v>31.0</v>
      </c>
      <c r="N210" s="90">
        <v>46286.0</v>
      </c>
      <c r="O210" s="42" t="b">
        <v>0</v>
      </c>
      <c r="P210" s="44"/>
      <c r="Q210" s="34"/>
      <c r="R210" s="34"/>
      <c r="S210" s="34"/>
      <c r="T210" s="34"/>
    </row>
    <row r="211" ht="15.75" customHeight="1">
      <c r="B211" s="86">
        <v>46287.0</v>
      </c>
      <c r="C211" s="65">
        <v>32535.0</v>
      </c>
      <c r="D211" s="65" t="s">
        <v>4549</v>
      </c>
      <c r="E211" s="87" t="s">
        <v>35</v>
      </c>
      <c r="F211" s="87">
        <v>9103.9</v>
      </c>
      <c r="G211" s="65" t="s">
        <v>4550</v>
      </c>
      <c r="H211" s="65" t="s">
        <v>4551</v>
      </c>
      <c r="I211" s="65" t="s">
        <v>3823</v>
      </c>
      <c r="J211" s="65" t="s">
        <v>3254</v>
      </c>
      <c r="K211" s="65"/>
      <c r="L211" s="65" t="s">
        <v>96</v>
      </c>
      <c r="M211" s="89">
        <v>31.0</v>
      </c>
      <c r="N211" s="93" t="s">
        <v>194</v>
      </c>
      <c r="O211" s="42" t="b">
        <v>1</v>
      </c>
      <c r="P211" s="44"/>
      <c r="Q211" s="34"/>
      <c r="R211" s="34"/>
      <c r="S211" s="34"/>
      <c r="T211" s="34"/>
    </row>
    <row r="212" ht="15.75" hidden="1" customHeight="1">
      <c r="B212" s="86">
        <v>46288.0</v>
      </c>
      <c r="C212" s="65">
        <v>32734.0</v>
      </c>
      <c r="D212" s="65" t="s">
        <v>4552</v>
      </c>
      <c r="E212" s="87" t="s">
        <v>35</v>
      </c>
      <c r="F212" s="87">
        <v>34986.7</v>
      </c>
      <c r="G212" s="65" t="s">
        <v>4553</v>
      </c>
      <c r="H212" s="65" t="s">
        <v>4554</v>
      </c>
      <c r="I212" s="65" t="s">
        <v>240</v>
      </c>
      <c r="J212" s="65" t="s">
        <v>34</v>
      </c>
      <c r="K212" s="65"/>
      <c r="L212" s="65" t="s">
        <v>96</v>
      </c>
      <c r="M212" s="89">
        <v>1.0</v>
      </c>
      <c r="N212" s="90">
        <v>46290.0</v>
      </c>
      <c r="O212" s="42" t="b">
        <v>0</v>
      </c>
      <c r="P212" s="44">
        <v>46293.0</v>
      </c>
      <c r="Q212" s="34"/>
      <c r="R212" s="34"/>
      <c r="S212" s="34"/>
      <c r="T212" s="34"/>
    </row>
    <row r="213" ht="15.75" customHeight="1">
      <c r="B213" s="86">
        <v>46288.0</v>
      </c>
      <c r="C213" s="65">
        <v>32823.0</v>
      </c>
      <c r="D213" s="65" t="s">
        <v>3577</v>
      </c>
      <c r="E213" s="87" t="s">
        <v>35</v>
      </c>
      <c r="F213" s="87">
        <v>11998.0</v>
      </c>
      <c r="G213" s="65" t="s">
        <v>4555</v>
      </c>
      <c r="H213" s="65" t="s">
        <v>4556</v>
      </c>
      <c r="I213" s="65" t="s">
        <v>240</v>
      </c>
      <c r="J213" s="65" t="s">
        <v>34</v>
      </c>
      <c r="K213" s="65"/>
      <c r="L213" s="65" t="s">
        <v>96</v>
      </c>
      <c r="M213" s="89">
        <v>1.0</v>
      </c>
      <c r="N213" s="93" t="s">
        <v>194</v>
      </c>
      <c r="O213" s="42" t="b">
        <v>0</v>
      </c>
      <c r="P213" s="44"/>
      <c r="Q213" s="34"/>
      <c r="R213" s="34"/>
      <c r="S213" s="34"/>
      <c r="T213" s="34"/>
    </row>
    <row r="214" ht="15.75" hidden="1" customHeight="1">
      <c r="B214" s="86">
        <v>46288.0</v>
      </c>
      <c r="C214" s="65">
        <v>32394.0</v>
      </c>
      <c r="D214" s="65">
        <v>105.0</v>
      </c>
      <c r="E214" s="87">
        <v>92.46</v>
      </c>
      <c r="F214" s="87">
        <v>9708.3</v>
      </c>
      <c r="G214" s="65" t="s">
        <v>1778</v>
      </c>
      <c r="H214" s="65" t="s">
        <v>4557</v>
      </c>
      <c r="I214" s="65" t="s">
        <v>32</v>
      </c>
      <c r="J214" s="65" t="s">
        <v>34</v>
      </c>
      <c r="K214" s="65"/>
      <c r="L214" s="65" t="s">
        <v>3906</v>
      </c>
      <c r="M214" s="89">
        <v>31.0</v>
      </c>
      <c r="N214" s="90">
        <v>46290.0</v>
      </c>
      <c r="O214" s="42" t="b">
        <v>0</v>
      </c>
      <c r="P214" s="44">
        <v>46293.0</v>
      </c>
      <c r="Q214" s="34"/>
      <c r="R214" s="34"/>
      <c r="S214" s="34"/>
      <c r="T214" s="34"/>
    </row>
    <row r="215" ht="15.75" hidden="1" customHeight="1">
      <c r="B215" s="86">
        <v>46288.0</v>
      </c>
      <c r="C215" s="65">
        <v>32394.0</v>
      </c>
      <c r="D215" s="65">
        <v>53.0</v>
      </c>
      <c r="E215" s="87">
        <v>92.78</v>
      </c>
      <c r="F215" s="87">
        <v>4917.34</v>
      </c>
      <c r="G215" s="65" t="s">
        <v>4558</v>
      </c>
      <c r="H215" s="65" t="s">
        <v>4559</v>
      </c>
      <c r="I215" s="65" t="s">
        <v>32</v>
      </c>
      <c r="J215" s="65" t="s">
        <v>34</v>
      </c>
      <c r="K215" s="65"/>
      <c r="L215" s="65" t="s">
        <v>3906</v>
      </c>
      <c r="M215" s="89">
        <v>31.0</v>
      </c>
      <c r="N215" s="90">
        <v>46290.0</v>
      </c>
      <c r="O215" s="42" t="b">
        <v>0</v>
      </c>
      <c r="P215" s="44">
        <v>46293.0</v>
      </c>
      <c r="Q215" s="34"/>
      <c r="R215" s="34"/>
      <c r="S215" s="34"/>
      <c r="T215" s="34"/>
    </row>
    <row r="216" ht="15.75" hidden="1" customHeight="1">
      <c r="B216" s="86">
        <v>46288.0</v>
      </c>
      <c r="C216" s="65">
        <v>32394.0</v>
      </c>
      <c r="D216" s="65">
        <v>12.0</v>
      </c>
      <c r="E216" s="87">
        <v>93.42</v>
      </c>
      <c r="F216" s="87">
        <v>1121.04</v>
      </c>
      <c r="G216" s="65" t="s">
        <v>4561</v>
      </c>
      <c r="H216" s="65" t="s">
        <v>4562</v>
      </c>
      <c r="I216" s="65" t="s">
        <v>32</v>
      </c>
      <c r="J216" s="65" t="s">
        <v>34</v>
      </c>
      <c r="K216" s="65"/>
      <c r="L216" s="65" t="s">
        <v>3906</v>
      </c>
      <c r="M216" s="89">
        <v>31.0</v>
      </c>
      <c r="N216" s="90">
        <v>46290.0</v>
      </c>
      <c r="O216" s="42" t="b">
        <v>0</v>
      </c>
      <c r="P216" s="44">
        <v>46293.0</v>
      </c>
      <c r="Q216" s="34"/>
      <c r="R216" s="34"/>
      <c r="S216" s="34"/>
      <c r="T216" s="34"/>
    </row>
    <row r="217" ht="15.75" hidden="1" customHeight="1">
      <c r="B217" s="86">
        <v>46288.0</v>
      </c>
      <c r="C217" s="65">
        <v>32394.0</v>
      </c>
      <c r="D217" s="65">
        <v>105.0</v>
      </c>
      <c r="E217" s="87">
        <v>103.3</v>
      </c>
      <c r="F217" s="87">
        <v>10846.5</v>
      </c>
      <c r="G217" s="65" t="s">
        <v>4563</v>
      </c>
      <c r="H217" s="65" t="s">
        <v>4564</v>
      </c>
      <c r="I217" s="65" t="s">
        <v>32</v>
      </c>
      <c r="J217" s="65" t="s">
        <v>34</v>
      </c>
      <c r="K217" s="65"/>
      <c r="L217" s="65" t="s">
        <v>3906</v>
      </c>
      <c r="M217" s="89">
        <v>31.0</v>
      </c>
      <c r="N217" s="90">
        <v>46290.0</v>
      </c>
      <c r="O217" s="42" t="b">
        <v>0</v>
      </c>
      <c r="P217" s="44">
        <v>46293.0</v>
      </c>
      <c r="Q217" s="34"/>
      <c r="R217" s="34"/>
      <c r="S217" s="34"/>
      <c r="T217" s="34"/>
    </row>
    <row r="218" ht="15.75" hidden="1" customHeight="1">
      <c r="B218" s="86">
        <v>46288.0</v>
      </c>
      <c r="C218" s="65">
        <v>32394.0</v>
      </c>
      <c r="D218" s="65">
        <v>63.0</v>
      </c>
      <c r="E218" s="87">
        <v>256.31</v>
      </c>
      <c r="F218" s="87">
        <v>16147.53</v>
      </c>
      <c r="G218" s="65" t="s">
        <v>257</v>
      </c>
      <c r="H218" s="65" t="s">
        <v>4565</v>
      </c>
      <c r="I218" s="65" t="s">
        <v>32</v>
      </c>
      <c r="J218" s="65" t="s">
        <v>34</v>
      </c>
      <c r="K218" s="65"/>
      <c r="L218" s="65" t="s">
        <v>3906</v>
      </c>
      <c r="M218" s="89">
        <v>31.0</v>
      </c>
      <c r="N218" s="90">
        <v>46290.0</v>
      </c>
      <c r="O218" s="42" t="b">
        <v>0</v>
      </c>
      <c r="P218" s="44">
        <v>46293.0</v>
      </c>
      <c r="Q218" s="34"/>
      <c r="R218" s="34"/>
      <c r="S218" s="34"/>
      <c r="T218" s="34"/>
    </row>
    <row r="219" ht="15.75" customHeight="1">
      <c r="B219" s="86">
        <v>46288.0</v>
      </c>
      <c r="C219" s="65">
        <v>11.0</v>
      </c>
      <c r="D219" s="65">
        <v>1000.0</v>
      </c>
      <c r="E219" s="87">
        <v>14.0</v>
      </c>
      <c r="F219" s="87">
        <v>14000.0</v>
      </c>
      <c r="G219" s="65" t="s">
        <v>4566</v>
      </c>
      <c r="H219" s="65"/>
      <c r="I219" s="65" t="s">
        <v>175</v>
      </c>
      <c r="J219" s="65" t="s">
        <v>34</v>
      </c>
      <c r="K219" s="65"/>
      <c r="L219" s="65" t="s">
        <v>4567</v>
      </c>
      <c r="M219" s="89">
        <v>1.0</v>
      </c>
      <c r="N219" s="93" t="s">
        <v>194</v>
      </c>
      <c r="O219" s="42" t="b">
        <v>0</v>
      </c>
      <c r="P219" s="44"/>
      <c r="Q219" s="34"/>
      <c r="R219" s="34"/>
      <c r="S219" s="34"/>
      <c r="T219" s="34"/>
    </row>
    <row r="220" ht="15.75" customHeight="1">
      <c r="B220" s="86">
        <v>46288.0</v>
      </c>
      <c r="C220" s="65">
        <v>52678.0</v>
      </c>
      <c r="D220" s="65">
        <v>1.0</v>
      </c>
      <c r="E220" s="87">
        <v>1912.22</v>
      </c>
      <c r="F220" s="87">
        <v>2285.1</v>
      </c>
      <c r="G220" s="65" t="s">
        <v>4568</v>
      </c>
      <c r="H220" s="65" t="s">
        <v>4568</v>
      </c>
      <c r="I220" s="65" t="s">
        <v>32</v>
      </c>
      <c r="J220" s="65" t="s">
        <v>34</v>
      </c>
      <c r="K220" s="65"/>
      <c r="L220" s="65" t="s">
        <v>318</v>
      </c>
      <c r="M220" s="89">
        <v>1.0</v>
      </c>
      <c r="N220" s="93" t="s">
        <v>194</v>
      </c>
      <c r="O220" s="42" t="b">
        <v>0</v>
      </c>
      <c r="P220" s="44"/>
      <c r="Q220" s="34"/>
      <c r="R220" s="34"/>
      <c r="S220" s="34"/>
      <c r="T220" s="34"/>
    </row>
    <row r="221" ht="15.75" customHeight="1">
      <c r="B221" s="86">
        <v>46288.0</v>
      </c>
      <c r="C221" s="65">
        <v>10773.0</v>
      </c>
      <c r="D221" s="65">
        <v>1.0</v>
      </c>
      <c r="E221" s="87">
        <v>360.0</v>
      </c>
      <c r="F221" s="87">
        <v>360.0</v>
      </c>
      <c r="G221" s="65" t="s">
        <v>4570</v>
      </c>
      <c r="H221" s="65" t="s">
        <v>4571</v>
      </c>
      <c r="I221" s="65" t="s">
        <v>32</v>
      </c>
      <c r="J221" s="65" t="s">
        <v>34</v>
      </c>
      <c r="K221" s="65"/>
      <c r="L221" s="65" t="s">
        <v>46</v>
      </c>
      <c r="M221" s="89">
        <v>31.0</v>
      </c>
      <c r="N221" s="93" t="s">
        <v>194</v>
      </c>
      <c r="O221" s="42" t="b">
        <v>0</v>
      </c>
      <c r="P221" s="44"/>
      <c r="Q221" s="34"/>
      <c r="R221" s="34"/>
      <c r="S221" s="34"/>
      <c r="T221" s="34"/>
    </row>
    <row r="222" ht="15.75" customHeight="1">
      <c r="B222" s="86">
        <v>46288.0</v>
      </c>
      <c r="C222" s="65">
        <v>10773.0</v>
      </c>
      <c r="D222" s="65">
        <v>1.0</v>
      </c>
      <c r="E222" s="87">
        <v>324.0</v>
      </c>
      <c r="F222" s="87">
        <v>324.0</v>
      </c>
      <c r="G222" s="65" t="s">
        <v>4572</v>
      </c>
      <c r="H222" s="65" t="s">
        <v>2607</v>
      </c>
      <c r="I222" s="65" t="s">
        <v>32</v>
      </c>
      <c r="J222" s="65" t="s">
        <v>34</v>
      </c>
      <c r="K222" s="65"/>
      <c r="L222" s="65" t="s">
        <v>46</v>
      </c>
      <c r="M222" s="89">
        <v>31.0</v>
      </c>
      <c r="N222" s="93" t="s">
        <v>194</v>
      </c>
      <c r="O222" s="42" t="b">
        <v>0</v>
      </c>
      <c r="P222" s="44"/>
      <c r="Q222" s="34"/>
      <c r="R222" s="34"/>
      <c r="S222" s="34"/>
      <c r="T222" s="34"/>
    </row>
    <row r="223" ht="15.75" customHeight="1">
      <c r="B223" s="86">
        <v>46288.0</v>
      </c>
      <c r="C223" s="65">
        <v>10773.0</v>
      </c>
      <c r="D223" s="65">
        <v>1.0</v>
      </c>
      <c r="E223" s="87">
        <v>396.0</v>
      </c>
      <c r="F223" s="87">
        <v>396.0</v>
      </c>
      <c r="G223" s="65" t="s">
        <v>4575</v>
      </c>
      <c r="H223" s="65" t="s">
        <v>4576</v>
      </c>
      <c r="I223" s="65" t="s">
        <v>32</v>
      </c>
      <c r="J223" s="65" t="s">
        <v>34</v>
      </c>
      <c r="K223" s="65"/>
      <c r="L223" s="65" t="s">
        <v>46</v>
      </c>
      <c r="M223" s="89">
        <v>31.0</v>
      </c>
      <c r="N223" s="93" t="s">
        <v>194</v>
      </c>
      <c r="O223" s="42" t="b">
        <v>0</v>
      </c>
      <c r="P223" s="44"/>
      <c r="Q223" s="34"/>
      <c r="R223" s="34"/>
      <c r="S223" s="34"/>
      <c r="T223" s="34"/>
    </row>
    <row r="224" ht="15.75" customHeight="1">
      <c r="B224" s="86">
        <v>46288.0</v>
      </c>
      <c r="C224" s="65">
        <v>10773.0</v>
      </c>
      <c r="D224" s="65">
        <v>1.0</v>
      </c>
      <c r="E224" s="87">
        <v>765.0</v>
      </c>
      <c r="F224" s="87">
        <v>765.0</v>
      </c>
      <c r="G224" s="65" t="s">
        <v>4577</v>
      </c>
      <c r="H224" s="65" t="s">
        <v>4578</v>
      </c>
      <c r="I224" s="65" t="s">
        <v>32</v>
      </c>
      <c r="J224" s="65" t="s">
        <v>34</v>
      </c>
      <c r="K224" s="65"/>
      <c r="L224" s="65" t="s">
        <v>46</v>
      </c>
      <c r="M224" s="89">
        <v>31.0</v>
      </c>
      <c r="N224" s="93" t="s">
        <v>194</v>
      </c>
      <c r="O224" s="42" t="b">
        <v>0</v>
      </c>
      <c r="P224" s="44"/>
      <c r="Q224" s="34"/>
      <c r="R224" s="34"/>
      <c r="S224" s="34"/>
      <c r="T224" s="34"/>
    </row>
    <row r="225" ht="15.75" customHeight="1">
      <c r="B225" s="86">
        <v>46288.0</v>
      </c>
      <c r="C225" s="65">
        <v>10773.0</v>
      </c>
      <c r="D225" s="65">
        <v>1.0</v>
      </c>
      <c r="E225" s="87">
        <v>495.0</v>
      </c>
      <c r="F225" s="87">
        <v>495.0</v>
      </c>
      <c r="G225" s="65" t="s">
        <v>4579</v>
      </c>
      <c r="H225" s="65" t="s">
        <v>4580</v>
      </c>
      <c r="I225" s="65" t="s">
        <v>32</v>
      </c>
      <c r="J225" s="65" t="s">
        <v>34</v>
      </c>
      <c r="K225" s="65"/>
      <c r="L225" s="65" t="s">
        <v>46</v>
      </c>
      <c r="M225" s="89">
        <v>31.0</v>
      </c>
      <c r="N225" s="93" t="s">
        <v>194</v>
      </c>
      <c r="O225" s="42" t="b">
        <v>0</v>
      </c>
      <c r="P225" s="44"/>
      <c r="Q225" s="34"/>
      <c r="R225" s="34"/>
      <c r="S225" s="34"/>
      <c r="T225" s="34"/>
    </row>
    <row r="226" ht="15.75" customHeight="1">
      <c r="B226" s="86">
        <v>46288.0</v>
      </c>
      <c r="C226" s="65">
        <v>10773.0</v>
      </c>
      <c r="D226" s="65">
        <v>1.0</v>
      </c>
      <c r="E226" s="87">
        <v>504.0</v>
      </c>
      <c r="F226" s="87">
        <v>504.0</v>
      </c>
      <c r="G226" s="65" t="s">
        <v>4581</v>
      </c>
      <c r="H226" s="65" t="s">
        <v>4582</v>
      </c>
      <c r="I226" s="65" t="s">
        <v>32</v>
      </c>
      <c r="J226" s="65" t="s">
        <v>34</v>
      </c>
      <c r="K226" s="65"/>
      <c r="L226" s="65" t="s">
        <v>46</v>
      </c>
      <c r="M226" s="89">
        <v>31.0</v>
      </c>
      <c r="N226" s="93" t="s">
        <v>194</v>
      </c>
      <c r="O226" s="42" t="b">
        <v>0</v>
      </c>
      <c r="P226" s="44"/>
      <c r="Q226" s="34"/>
      <c r="R226" s="34"/>
      <c r="S226" s="34"/>
      <c r="T226" s="34"/>
    </row>
    <row r="227" ht="15.75" customHeight="1">
      <c r="B227" s="86">
        <v>46288.0</v>
      </c>
      <c r="C227" s="65">
        <v>10773.0</v>
      </c>
      <c r="D227" s="65">
        <v>1.0</v>
      </c>
      <c r="E227" s="87">
        <v>648.0</v>
      </c>
      <c r="F227" s="87">
        <v>648.0</v>
      </c>
      <c r="G227" s="65" t="s">
        <v>4584</v>
      </c>
      <c r="H227" s="65" t="s">
        <v>4585</v>
      </c>
      <c r="I227" s="65" t="s">
        <v>32</v>
      </c>
      <c r="J227" s="65" t="s">
        <v>34</v>
      </c>
      <c r="K227" s="65"/>
      <c r="L227" s="65" t="s">
        <v>46</v>
      </c>
      <c r="M227" s="89">
        <v>31.0</v>
      </c>
      <c r="N227" s="93" t="s">
        <v>194</v>
      </c>
      <c r="O227" s="42" t="b">
        <v>0</v>
      </c>
      <c r="P227" s="44"/>
      <c r="Q227" s="34"/>
      <c r="R227" s="34"/>
      <c r="S227" s="34"/>
      <c r="T227" s="34"/>
    </row>
    <row r="228" ht="15.75" customHeight="1">
      <c r="B228" s="86">
        <v>46288.0</v>
      </c>
      <c r="C228" s="65">
        <v>10783.0</v>
      </c>
      <c r="D228" s="65">
        <v>1.0</v>
      </c>
      <c r="E228" s="87">
        <v>360.0</v>
      </c>
      <c r="F228" s="87">
        <v>360.0</v>
      </c>
      <c r="G228" s="65" t="s">
        <v>4570</v>
      </c>
      <c r="H228" s="65" t="s">
        <v>4571</v>
      </c>
      <c r="I228" s="65" t="s">
        <v>32</v>
      </c>
      <c r="J228" s="65" t="s">
        <v>34</v>
      </c>
      <c r="K228" s="65"/>
      <c r="L228" s="65" t="s">
        <v>46</v>
      </c>
      <c r="M228" s="89">
        <v>31.0</v>
      </c>
      <c r="N228" s="93" t="s">
        <v>194</v>
      </c>
      <c r="O228" s="42" t="b">
        <v>0</v>
      </c>
      <c r="P228" s="44"/>
      <c r="Q228" s="34"/>
      <c r="R228" s="34"/>
      <c r="S228" s="34"/>
      <c r="T228" s="34"/>
    </row>
    <row r="229" ht="15.75" customHeight="1">
      <c r="B229" s="86">
        <v>46288.0</v>
      </c>
      <c r="C229" s="65">
        <v>10783.0</v>
      </c>
      <c r="D229" s="65">
        <v>1.0</v>
      </c>
      <c r="E229" s="87">
        <v>324.0</v>
      </c>
      <c r="F229" s="87">
        <v>324.0</v>
      </c>
      <c r="G229" s="65" t="s">
        <v>4572</v>
      </c>
      <c r="H229" s="65" t="s">
        <v>2607</v>
      </c>
      <c r="I229" s="65" t="s">
        <v>32</v>
      </c>
      <c r="J229" s="65" t="s">
        <v>34</v>
      </c>
      <c r="K229" s="65"/>
      <c r="L229" s="65" t="s">
        <v>46</v>
      </c>
      <c r="M229" s="89">
        <v>31.0</v>
      </c>
      <c r="N229" s="93" t="s">
        <v>194</v>
      </c>
      <c r="O229" s="42" t="b">
        <v>0</v>
      </c>
      <c r="P229" s="44"/>
      <c r="Q229" s="34"/>
      <c r="R229" s="34"/>
      <c r="S229" s="34"/>
      <c r="T229" s="34"/>
    </row>
    <row r="230" ht="15.75" customHeight="1">
      <c r="B230" s="86">
        <v>46288.0</v>
      </c>
      <c r="C230" s="65">
        <v>10783.0</v>
      </c>
      <c r="D230" s="65">
        <v>1.0</v>
      </c>
      <c r="E230" s="87">
        <v>396.0</v>
      </c>
      <c r="F230" s="87">
        <v>396.0</v>
      </c>
      <c r="G230" s="65" t="s">
        <v>4575</v>
      </c>
      <c r="H230" s="65" t="s">
        <v>4576</v>
      </c>
      <c r="I230" s="65" t="s">
        <v>32</v>
      </c>
      <c r="J230" s="65" t="s">
        <v>34</v>
      </c>
      <c r="K230" s="65"/>
      <c r="L230" s="65" t="s">
        <v>46</v>
      </c>
      <c r="M230" s="89">
        <v>31.0</v>
      </c>
      <c r="N230" s="93" t="s">
        <v>194</v>
      </c>
      <c r="O230" s="42" t="b">
        <v>0</v>
      </c>
      <c r="P230" s="44"/>
      <c r="Q230" s="34"/>
      <c r="R230" s="34"/>
      <c r="S230" s="34"/>
      <c r="T230" s="34"/>
    </row>
    <row r="231" ht="15.75" customHeight="1">
      <c r="B231" s="86">
        <v>46288.0</v>
      </c>
      <c r="C231" s="65">
        <v>10783.0</v>
      </c>
      <c r="D231" s="65">
        <v>1.0</v>
      </c>
      <c r="E231" s="87">
        <v>765.0</v>
      </c>
      <c r="F231" s="87">
        <v>765.0</v>
      </c>
      <c r="G231" s="65" t="s">
        <v>4577</v>
      </c>
      <c r="H231" s="65" t="s">
        <v>4576</v>
      </c>
      <c r="I231" s="65" t="s">
        <v>32</v>
      </c>
      <c r="J231" s="65" t="s">
        <v>34</v>
      </c>
      <c r="K231" s="65"/>
      <c r="L231" s="65" t="s">
        <v>46</v>
      </c>
      <c r="M231" s="89">
        <v>31.0</v>
      </c>
      <c r="N231" s="93" t="s">
        <v>194</v>
      </c>
      <c r="O231" s="42" t="b">
        <v>0</v>
      </c>
      <c r="P231" s="44"/>
      <c r="Q231" s="34"/>
      <c r="R231" s="34"/>
      <c r="S231" s="34"/>
      <c r="T231" s="34"/>
    </row>
    <row r="232" ht="15.75" customHeight="1">
      <c r="B232" s="86">
        <v>46288.0</v>
      </c>
      <c r="C232" s="65">
        <v>10783.0</v>
      </c>
      <c r="D232" s="65">
        <v>1.0</v>
      </c>
      <c r="E232" s="87">
        <v>495.0</v>
      </c>
      <c r="F232" s="87">
        <v>495.0</v>
      </c>
      <c r="G232" s="65" t="s">
        <v>4579</v>
      </c>
      <c r="H232" s="65" t="s">
        <v>4578</v>
      </c>
      <c r="I232" s="65" t="s">
        <v>32</v>
      </c>
      <c r="J232" s="65" t="s">
        <v>34</v>
      </c>
      <c r="K232" s="65"/>
      <c r="L232" s="65" t="s">
        <v>46</v>
      </c>
      <c r="M232" s="89">
        <v>31.0</v>
      </c>
      <c r="N232" s="93" t="s">
        <v>194</v>
      </c>
      <c r="O232" s="42" t="b">
        <v>0</v>
      </c>
      <c r="P232" s="44"/>
      <c r="Q232" s="34"/>
      <c r="R232" s="34"/>
      <c r="S232" s="34"/>
      <c r="T232" s="34"/>
    </row>
    <row r="233" ht="15.75" customHeight="1">
      <c r="B233" s="86">
        <v>46288.0</v>
      </c>
      <c r="C233" s="65">
        <v>10783.0</v>
      </c>
      <c r="D233" s="65">
        <v>1.0</v>
      </c>
      <c r="E233" s="87">
        <v>504.0</v>
      </c>
      <c r="F233" s="87">
        <v>504.0</v>
      </c>
      <c r="G233" s="65" t="s">
        <v>4581</v>
      </c>
      <c r="H233" s="65" t="s">
        <v>4580</v>
      </c>
      <c r="I233" s="65" t="s">
        <v>32</v>
      </c>
      <c r="J233" s="65" t="s">
        <v>34</v>
      </c>
      <c r="K233" s="65"/>
      <c r="L233" s="65" t="s">
        <v>46</v>
      </c>
      <c r="M233" s="89">
        <v>31.0</v>
      </c>
      <c r="N233" s="93" t="s">
        <v>194</v>
      </c>
      <c r="O233" s="42" t="b">
        <v>0</v>
      </c>
      <c r="P233" s="44"/>
      <c r="Q233" s="34"/>
      <c r="R233" s="34"/>
      <c r="S233" s="34"/>
      <c r="T233" s="34"/>
    </row>
    <row r="234" ht="15.75" customHeight="1">
      <c r="B234" s="86">
        <v>46288.0</v>
      </c>
      <c r="C234" s="65">
        <v>10783.0</v>
      </c>
      <c r="D234" s="65">
        <v>1.0</v>
      </c>
      <c r="E234" s="87">
        <v>648.0</v>
      </c>
      <c r="F234" s="87">
        <v>648.0</v>
      </c>
      <c r="G234" s="65" t="s">
        <v>4570</v>
      </c>
      <c r="H234" s="65" t="s">
        <v>4585</v>
      </c>
      <c r="I234" s="65" t="s">
        <v>32</v>
      </c>
      <c r="J234" s="65" t="s">
        <v>34</v>
      </c>
      <c r="K234" s="65"/>
      <c r="L234" s="65" t="s">
        <v>46</v>
      </c>
      <c r="M234" s="89">
        <v>31.0</v>
      </c>
      <c r="N234" s="93" t="s">
        <v>194</v>
      </c>
      <c r="O234" s="42" t="b">
        <v>0</v>
      </c>
      <c r="P234" s="44"/>
      <c r="Q234" s="34"/>
      <c r="R234" s="34"/>
      <c r="S234" s="34"/>
      <c r="T234" s="34"/>
    </row>
    <row r="235" ht="15.75" hidden="1" customHeight="1">
      <c r="B235" s="86">
        <v>46288.0</v>
      </c>
      <c r="C235" s="65">
        <v>10784.0</v>
      </c>
      <c r="D235" s="65">
        <v>40.0</v>
      </c>
      <c r="E235" s="87">
        <v>261.0</v>
      </c>
      <c r="F235" s="87">
        <v>10440.0</v>
      </c>
      <c r="G235" s="65" t="s">
        <v>4477</v>
      </c>
      <c r="H235" s="65" t="s">
        <v>4477</v>
      </c>
      <c r="I235" s="65" t="s">
        <v>175</v>
      </c>
      <c r="J235" s="65" t="s">
        <v>34</v>
      </c>
      <c r="K235" s="65"/>
      <c r="L235" s="65" t="s">
        <v>46</v>
      </c>
      <c r="M235" s="89">
        <v>31.0</v>
      </c>
      <c r="N235" s="90">
        <v>46290.0</v>
      </c>
      <c r="O235" s="42" t="b">
        <v>0</v>
      </c>
      <c r="P235" s="44">
        <v>46293.0</v>
      </c>
      <c r="Q235" s="34"/>
      <c r="R235" s="34"/>
      <c r="S235" s="34"/>
      <c r="T235" s="34"/>
    </row>
    <row r="236" ht="15.75" hidden="1" customHeight="1">
      <c r="B236" s="86">
        <v>46288.0</v>
      </c>
      <c r="C236" s="65">
        <v>10809.0</v>
      </c>
      <c r="D236" s="65">
        <v>32.0</v>
      </c>
      <c r="E236" s="87">
        <v>405.0</v>
      </c>
      <c r="F236" s="87">
        <v>12960.0</v>
      </c>
      <c r="G236" s="65" t="s">
        <v>4586</v>
      </c>
      <c r="H236" s="65" t="s">
        <v>750</v>
      </c>
      <c r="I236" s="65" t="s">
        <v>32</v>
      </c>
      <c r="J236" s="65" t="s">
        <v>34</v>
      </c>
      <c r="K236" s="65"/>
      <c r="L236" s="65" t="s">
        <v>46</v>
      </c>
      <c r="M236" s="89">
        <v>31.0</v>
      </c>
      <c r="N236" s="90">
        <v>46290.0</v>
      </c>
      <c r="O236" s="42" t="b">
        <v>0</v>
      </c>
      <c r="P236" s="44">
        <v>46293.0</v>
      </c>
      <c r="Q236" s="34"/>
      <c r="R236" s="34"/>
      <c r="S236" s="34"/>
      <c r="T236" s="34"/>
    </row>
    <row r="237" ht="15.75" hidden="1" customHeight="1">
      <c r="B237" s="86">
        <v>46288.0</v>
      </c>
      <c r="C237" s="65">
        <v>10808.0</v>
      </c>
      <c r="D237" s="65">
        <v>180.0</v>
      </c>
      <c r="E237" s="87">
        <v>58.5</v>
      </c>
      <c r="F237" s="87">
        <v>10530.0</v>
      </c>
      <c r="G237" s="65" t="s">
        <v>4588</v>
      </c>
      <c r="H237" s="65" t="s">
        <v>4589</v>
      </c>
      <c r="I237" s="65" t="s">
        <v>32</v>
      </c>
      <c r="J237" s="65" t="s">
        <v>34</v>
      </c>
      <c r="K237" s="65"/>
      <c r="L237" s="65" t="s">
        <v>46</v>
      </c>
      <c r="M237" s="89">
        <v>31.0</v>
      </c>
      <c r="N237" s="90">
        <v>46290.0</v>
      </c>
      <c r="O237" s="42" t="b">
        <v>0</v>
      </c>
      <c r="P237" s="44">
        <v>46293.0</v>
      </c>
      <c r="Q237" s="34"/>
      <c r="R237" s="34"/>
      <c r="S237" s="34"/>
      <c r="T237" s="34"/>
    </row>
    <row r="238" ht="15.75" customHeight="1">
      <c r="B238" s="86">
        <v>46288.0</v>
      </c>
      <c r="C238" s="65">
        <v>10826.0</v>
      </c>
      <c r="D238" s="65">
        <v>6.0</v>
      </c>
      <c r="E238" s="87">
        <v>1260.0</v>
      </c>
      <c r="F238" s="87">
        <v>7560.0</v>
      </c>
      <c r="G238" s="65" t="s">
        <v>4592</v>
      </c>
      <c r="H238" s="65" t="s">
        <v>4593</v>
      </c>
      <c r="I238" s="65" t="s">
        <v>175</v>
      </c>
      <c r="J238" s="65" t="s">
        <v>34</v>
      </c>
      <c r="K238" s="65"/>
      <c r="L238" s="65" t="s">
        <v>46</v>
      </c>
      <c r="M238" s="89">
        <v>31.0</v>
      </c>
      <c r="N238" s="93" t="s">
        <v>194</v>
      </c>
      <c r="O238" s="42" t="b">
        <v>0</v>
      </c>
      <c r="P238" s="44"/>
      <c r="Q238" s="34"/>
      <c r="R238" s="34"/>
      <c r="S238" s="34"/>
      <c r="T238" s="34"/>
    </row>
    <row r="239" ht="15.75" hidden="1" customHeight="1">
      <c r="B239" s="86">
        <v>46288.0</v>
      </c>
      <c r="C239" s="65">
        <v>22546.0</v>
      </c>
      <c r="D239" s="65">
        <v>20.0</v>
      </c>
      <c r="E239" s="87">
        <v>198.0</v>
      </c>
      <c r="F239" s="87">
        <v>3960.0</v>
      </c>
      <c r="G239" s="65" t="s">
        <v>4594</v>
      </c>
      <c r="H239" s="65" t="s">
        <v>4595</v>
      </c>
      <c r="I239" s="65" t="s">
        <v>175</v>
      </c>
      <c r="J239" s="65" t="s">
        <v>34</v>
      </c>
      <c r="K239" s="65"/>
      <c r="L239" s="65" t="s">
        <v>87</v>
      </c>
      <c r="M239" s="89">
        <v>31.0</v>
      </c>
      <c r="N239" s="90" t="s">
        <v>4597</v>
      </c>
      <c r="O239" s="42" t="b">
        <v>0</v>
      </c>
      <c r="P239" s="44">
        <v>46293.0</v>
      </c>
      <c r="Q239" s="34"/>
      <c r="R239" s="34"/>
      <c r="S239" s="34"/>
      <c r="T239" s="34"/>
    </row>
    <row r="240" ht="15.75" hidden="1" customHeight="1">
      <c r="B240" s="86">
        <v>46288.0</v>
      </c>
      <c r="C240" s="65">
        <v>22547.0</v>
      </c>
      <c r="D240" s="65">
        <v>80.0</v>
      </c>
      <c r="E240" s="87">
        <v>234.0</v>
      </c>
      <c r="F240" s="87">
        <v>18720.0</v>
      </c>
      <c r="G240" s="65" t="s">
        <v>4415</v>
      </c>
      <c r="H240" s="65" t="s">
        <v>3769</v>
      </c>
      <c r="I240" s="65" t="s">
        <v>32</v>
      </c>
      <c r="J240" s="65" t="s">
        <v>34</v>
      </c>
      <c r="K240" s="65"/>
      <c r="L240" s="65" t="s">
        <v>87</v>
      </c>
      <c r="M240" s="89">
        <v>31.0</v>
      </c>
      <c r="N240" s="90">
        <v>46290.0</v>
      </c>
      <c r="O240" s="42" t="b">
        <v>0</v>
      </c>
      <c r="P240" s="44">
        <v>46293.0</v>
      </c>
      <c r="Q240" s="34"/>
      <c r="R240" s="34"/>
      <c r="S240" s="34"/>
      <c r="T240" s="34"/>
    </row>
    <row r="241" ht="15.75" hidden="1" customHeight="1">
      <c r="B241" s="86">
        <v>46289.0</v>
      </c>
      <c r="C241" s="65">
        <v>2.60924E8</v>
      </c>
      <c r="D241" s="65">
        <v>18.0</v>
      </c>
      <c r="E241" s="87">
        <v>4060.0</v>
      </c>
      <c r="F241" s="87">
        <v>73080.0</v>
      </c>
      <c r="G241" s="65" t="s">
        <v>4600</v>
      </c>
      <c r="H241" s="65" t="s">
        <v>4601</v>
      </c>
      <c r="I241" s="65" t="s">
        <v>41</v>
      </c>
      <c r="J241" s="65" t="s">
        <v>34</v>
      </c>
      <c r="K241" s="65"/>
      <c r="L241" s="65" t="s">
        <v>4407</v>
      </c>
      <c r="M241" s="89">
        <v>31.0</v>
      </c>
      <c r="N241" s="90">
        <v>6709409.0</v>
      </c>
      <c r="O241" s="42" t="b">
        <v>0</v>
      </c>
      <c r="P241" s="44">
        <v>46293.0</v>
      </c>
      <c r="Q241" s="34"/>
      <c r="R241" s="34"/>
      <c r="S241" s="34"/>
      <c r="T241" s="34"/>
    </row>
    <row r="242" ht="15.75" hidden="1" customHeight="1">
      <c r="B242" s="86">
        <v>46289.0</v>
      </c>
      <c r="C242" s="65">
        <v>2.60924E8</v>
      </c>
      <c r="D242" s="65">
        <v>1.0</v>
      </c>
      <c r="E242" s="87">
        <v>2275.0</v>
      </c>
      <c r="F242" s="87">
        <v>2275.0</v>
      </c>
      <c r="G242" s="65" t="s">
        <v>4602</v>
      </c>
      <c r="H242" s="65" t="s">
        <v>4603</v>
      </c>
      <c r="I242" s="65" t="s">
        <v>41</v>
      </c>
      <c r="J242" s="65" t="s">
        <v>34</v>
      </c>
      <c r="K242" s="65"/>
      <c r="L242" s="65" t="s">
        <v>4407</v>
      </c>
      <c r="M242" s="89">
        <v>31.0</v>
      </c>
      <c r="N242" s="90">
        <v>46290.0</v>
      </c>
      <c r="O242" s="42" t="b">
        <v>0</v>
      </c>
      <c r="P242" s="44">
        <v>46293.0</v>
      </c>
      <c r="Q242" s="34"/>
      <c r="R242" s="34"/>
      <c r="S242" s="34"/>
      <c r="T242" s="34"/>
    </row>
    <row r="243" ht="15.75" customHeight="1">
      <c r="B243" s="86">
        <v>46289.0</v>
      </c>
      <c r="C243" s="65">
        <v>10839.0</v>
      </c>
      <c r="D243" s="65">
        <v>40.0</v>
      </c>
      <c r="E243" s="87">
        <v>130.0</v>
      </c>
      <c r="F243" s="87">
        <v>5200.0</v>
      </c>
      <c r="G243" s="65" t="s">
        <v>4604</v>
      </c>
      <c r="H243" s="65" t="s">
        <v>4605</v>
      </c>
      <c r="I243" s="65" t="s">
        <v>32</v>
      </c>
      <c r="J243" s="65" t="s">
        <v>34</v>
      </c>
      <c r="K243" s="65"/>
      <c r="L243" s="65" t="s">
        <v>46</v>
      </c>
      <c r="M243" s="89">
        <v>31.0</v>
      </c>
      <c r="N243" s="93" t="s">
        <v>194</v>
      </c>
      <c r="O243" s="42" t="b">
        <v>0</v>
      </c>
      <c r="P243" s="44"/>
      <c r="Q243" s="34"/>
      <c r="R243" s="34"/>
      <c r="S243" s="34"/>
      <c r="T243" s="34"/>
    </row>
    <row r="244" ht="15.75" hidden="1" customHeight="1">
      <c r="B244" s="86">
        <v>46289.0</v>
      </c>
      <c r="C244" s="65">
        <v>32868.0</v>
      </c>
      <c r="D244" s="65">
        <v>4.0</v>
      </c>
      <c r="E244" s="87">
        <v>499.9</v>
      </c>
      <c r="F244" s="87">
        <v>1999.6</v>
      </c>
      <c r="G244" s="65" t="s">
        <v>4606</v>
      </c>
      <c r="H244" s="65" t="s">
        <v>737</v>
      </c>
      <c r="I244" s="65" t="s">
        <v>240</v>
      </c>
      <c r="J244" s="65" t="s">
        <v>34</v>
      </c>
      <c r="K244" s="65"/>
      <c r="L244" s="65" t="s">
        <v>96</v>
      </c>
      <c r="M244" s="89">
        <v>1.0</v>
      </c>
      <c r="N244" s="90">
        <v>46290.0</v>
      </c>
      <c r="O244" s="42" t="b">
        <v>0</v>
      </c>
      <c r="P244" s="44">
        <v>46293.0</v>
      </c>
      <c r="Q244" s="34"/>
      <c r="R244" s="34"/>
      <c r="S244" s="34"/>
      <c r="T244" s="34"/>
    </row>
    <row r="245" ht="15.75" hidden="1" customHeight="1">
      <c r="B245" s="86">
        <v>46290.0</v>
      </c>
      <c r="C245" s="65">
        <v>4965.0</v>
      </c>
      <c r="D245" s="65">
        <v>5.0</v>
      </c>
      <c r="E245" s="87">
        <v>6100.0</v>
      </c>
      <c r="F245" s="87">
        <v>30500.0</v>
      </c>
      <c r="G245" s="65" t="s">
        <v>4608</v>
      </c>
      <c r="H245" s="65" t="s">
        <v>3986</v>
      </c>
      <c r="I245" s="65" t="s">
        <v>41</v>
      </c>
      <c r="J245" s="65" t="s">
        <v>34</v>
      </c>
      <c r="K245" s="125" t="s">
        <v>4609</v>
      </c>
      <c r="L245" s="65" t="s">
        <v>2251</v>
      </c>
      <c r="M245" s="89" t="s">
        <v>3464</v>
      </c>
      <c r="N245" s="90">
        <v>46293.0</v>
      </c>
      <c r="O245" s="42" t="b">
        <v>0</v>
      </c>
      <c r="P245" s="44">
        <v>46293.0</v>
      </c>
      <c r="Q245" s="34"/>
      <c r="R245" s="34"/>
      <c r="S245" s="34"/>
      <c r="T245" s="34"/>
    </row>
    <row r="246" ht="15.75" hidden="1" customHeight="1">
      <c r="B246" s="86">
        <v>46290.0</v>
      </c>
      <c r="C246" s="65">
        <v>4965.0</v>
      </c>
      <c r="D246" s="65">
        <v>3.0</v>
      </c>
      <c r="E246" s="87">
        <v>6100.0</v>
      </c>
      <c r="F246" s="87">
        <v>18300.0</v>
      </c>
      <c r="G246" s="65" t="s">
        <v>4610</v>
      </c>
      <c r="H246" s="65" t="s">
        <v>3986</v>
      </c>
      <c r="I246" s="65" t="s">
        <v>4611</v>
      </c>
      <c r="J246" s="65" t="s">
        <v>34</v>
      </c>
      <c r="K246" s="125" t="s">
        <v>4609</v>
      </c>
      <c r="L246" s="65" t="s">
        <v>2251</v>
      </c>
      <c r="M246" s="89" t="s">
        <v>3464</v>
      </c>
      <c r="N246" s="90">
        <v>46293.0</v>
      </c>
      <c r="O246" s="42" t="b">
        <v>0</v>
      </c>
      <c r="P246" s="44">
        <v>46293.0</v>
      </c>
      <c r="Q246" s="34"/>
      <c r="R246" s="34"/>
      <c r="S246" s="34"/>
      <c r="T246" s="34"/>
    </row>
    <row r="247" ht="15.75" hidden="1" customHeight="1">
      <c r="B247" s="86">
        <v>46290.0</v>
      </c>
      <c r="C247" s="65">
        <v>4965.0</v>
      </c>
      <c r="D247" s="65">
        <v>3.0</v>
      </c>
      <c r="E247" s="87">
        <v>4000.0</v>
      </c>
      <c r="F247" s="87">
        <v>12000.0</v>
      </c>
      <c r="G247" s="65" t="s">
        <v>4612</v>
      </c>
      <c r="H247" s="65" t="s">
        <v>4613</v>
      </c>
      <c r="I247" s="65" t="s">
        <v>41</v>
      </c>
      <c r="J247" s="65" t="s">
        <v>34</v>
      </c>
      <c r="K247" s="125" t="s">
        <v>4609</v>
      </c>
      <c r="L247" s="65" t="s">
        <v>2251</v>
      </c>
      <c r="M247" s="89" t="s">
        <v>3464</v>
      </c>
      <c r="N247" s="90">
        <v>46293.0</v>
      </c>
      <c r="O247" s="42" t="b">
        <v>0</v>
      </c>
      <c r="P247" s="44">
        <v>46293.0</v>
      </c>
      <c r="Q247" s="34"/>
      <c r="R247" s="34"/>
      <c r="S247" s="34"/>
      <c r="T247" s="34"/>
    </row>
    <row r="248" ht="15.75" hidden="1" customHeight="1">
      <c r="B248" s="86">
        <v>46290.0</v>
      </c>
      <c r="C248" s="65">
        <v>4965.0</v>
      </c>
      <c r="D248" s="65">
        <v>2.0</v>
      </c>
      <c r="E248" s="87">
        <v>4000.0</v>
      </c>
      <c r="F248" s="87">
        <v>8000.0</v>
      </c>
      <c r="G248" s="65" t="s">
        <v>4614</v>
      </c>
      <c r="H248" s="65" t="s">
        <v>4613</v>
      </c>
      <c r="I248" s="65" t="s">
        <v>41</v>
      </c>
      <c r="J248" s="65" t="s">
        <v>34</v>
      </c>
      <c r="K248" s="125" t="s">
        <v>4609</v>
      </c>
      <c r="L248" s="65" t="s">
        <v>2251</v>
      </c>
      <c r="M248" s="89" t="s">
        <v>3464</v>
      </c>
      <c r="N248" s="90">
        <v>46293.0</v>
      </c>
      <c r="O248" s="42" t="b">
        <v>0</v>
      </c>
      <c r="P248" s="44">
        <v>46293.0</v>
      </c>
      <c r="Q248" s="34"/>
      <c r="R248" s="34"/>
      <c r="S248" s="34"/>
      <c r="T248" s="34"/>
    </row>
    <row r="249" ht="15.75" customHeight="1">
      <c r="B249" s="86">
        <v>46290.0</v>
      </c>
      <c r="C249" s="65">
        <v>33035.0</v>
      </c>
      <c r="D249" s="65">
        <v>1.0</v>
      </c>
      <c r="E249" s="87">
        <v>899.9</v>
      </c>
      <c r="F249" s="87">
        <v>899.9</v>
      </c>
      <c r="G249" s="65" t="s">
        <v>4615</v>
      </c>
      <c r="H249" s="65" t="s">
        <v>4616</v>
      </c>
      <c r="I249" s="65" t="s">
        <v>32</v>
      </c>
      <c r="J249" s="65" t="s">
        <v>34</v>
      </c>
      <c r="K249" s="65"/>
      <c r="L249" s="65" t="s">
        <v>96</v>
      </c>
      <c r="M249" s="89">
        <v>1.0</v>
      </c>
      <c r="N249" s="93" t="s">
        <v>194</v>
      </c>
      <c r="O249" s="42" t="b">
        <v>0</v>
      </c>
      <c r="P249" s="44"/>
      <c r="Q249" s="34"/>
      <c r="R249" s="34"/>
      <c r="S249" s="34"/>
      <c r="T249" s="34"/>
    </row>
    <row r="250" ht="15.75" customHeight="1">
      <c r="B250" s="86">
        <v>46293.0</v>
      </c>
      <c r="C250" s="65">
        <v>10967.0</v>
      </c>
      <c r="D250" s="65">
        <v>60.0</v>
      </c>
      <c r="E250" s="87">
        <v>41.4</v>
      </c>
      <c r="F250" s="87">
        <v>2484.0</v>
      </c>
      <c r="G250" s="65" t="s">
        <v>4617</v>
      </c>
      <c r="H250" s="65" t="s">
        <v>4618</v>
      </c>
      <c r="I250" s="65" t="s">
        <v>59</v>
      </c>
      <c r="J250" s="65" t="s">
        <v>34</v>
      </c>
      <c r="K250" s="65"/>
      <c r="L250" s="65" t="s">
        <v>46</v>
      </c>
      <c r="M250" s="89">
        <v>31.0</v>
      </c>
      <c r="N250" s="93" t="s">
        <v>4619</v>
      </c>
      <c r="O250" s="42" t="b">
        <v>0</v>
      </c>
      <c r="P250" s="44"/>
      <c r="Q250" s="34"/>
      <c r="R250" s="34"/>
      <c r="S250" s="34"/>
      <c r="T250" s="34"/>
    </row>
    <row r="251" ht="15.75" customHeight="1">
      <c r="B251" s="86">
        <v>46293.0</v>
      </c>
      <c r="C251" s="65">
        <v>10974.0</v>
      </c>
      <c r="D251" s="65">
        <v>100.0</v>
      </c>
      <c r="E251" s="87">
        <v>10.8</v>
      </c>
      <c r="F251" s="87">
        <v>1080.0</v>
      </c>
      <c r="G251" s="65" t="s">
        <v>4620</v>
      </c>
      <c r="H251" s="65" t="s">
        <v>2821</v>
      </c>
      <c r="I251" s="65" t="s">
        <v>221</v>
      </c>
      <c r="J251" s="65" t="s">
        <v>3254</v>
      </c>
      <c r="K251" s="65"/>
      <c r="L251" s="65" t="s">
        <v>46</v>
      </c>
      <c r="M251" s="89">
        <v>31.0</v>
      </c>
      <c r="N251" s="93" t="s">
        <v>4619</v>
      </c>
      <c r="O251" s="42" t="b">
        <v>0</v>
      </c>
      <c r="P251" s="44"/>
      <c r="Q251" s="34"/>
      <c r="R251" s="34"/>
      <c r="S251" s="34"/>
      <c r="T251" s="34"/>
    </row>
    <row r="252" ht="15.75" customHeight="1">
      <c r="B252" s="86">
        <v>46293.0</v>
      </c>
      <c r="C252" s="65">
        <v>77605.0</v>
      </c>
      <c r="D252" s="65">
        <v>30.0</v>
      </c>
      <c r="E252" s="87">
        <v>510.0</v>
      </c>
      <c r="F252" s="87">
        <v>15300.0</v>
      </c>
      <c r="G252" s="65" t="s">
        <v>4621</v>
      </c>
      <c r="H252" s="65"/>
      <c r="I252" s="65" t="s">
        <v>59</v>
      </c>
      <c r="J252" s="65" t="s">
        <v>34</v>
      </c>
      <c r="K252" s="65"/>
      <c r="L252" s="65" t="s">
        <v>868</v>
      </c>
      <c r="M252" s="89">
        <v>31.0</v>
      </c>
      <c r="N252" s="93" t="s">
        <v>4619</v>
      </c>
      <c r="O252" s="42" t="b">
        <v>0</v>
      </c>
      <c r="P252" s="44"/>
      <c r="Q252" s="34"/>
      <c r="R252" s="34"/>
      <c r="S252" s="34"/>
      <c r="T252" s="34"/>
    </row>
    <row r="253" ht="15.75" customHeight="1">
      <c r="B253" s="86">
        <v>46293.0</v>
      </c>
      <c r="C253" s="65"/>
      <c r="D253" s="65">
        <v>72.0</v>
      </c>
      <c r="E253" s="87">
        <v>62.96</v>
      </c>
      <c r="F253" s="87">
        <v>4533.21</v>
      </c>
      <c r="G253" s="65" t="s">
        <v>4623</v>
      </c>
      <c r="H253" s="65"/>
      <c r="I253" s="65" t="s">
        <v>59</v>
      </c>
      <c r="J253" s="65" t="s">
        <v>34</v>
      </c>
      <c r="K253" s="65"/>
      <c r="L253" s="65" t="s">
        <v>365</v>
      </c>
      <c r="M253" s="89">
        <v>31.0</v>
      </c>
      <c r="N253" s="93" t="s">
        <v>4619</v>
      </c>
      <c r="O253" s="42" t="b">
        <v>0</v>
      </c>
      <c r="P253" s="44"/>
      <c r="Q253" s="34"/>
      <c r="R253" s="34"/>
      <c r="S253" s="34"/>
      <c r="T253" s="34"/>
    </row>
    <row r="254" ht="15.75" customHeight="1">
      <c r="B254" s="86">
        <v>46293.0</v>
      </c>
      <c r="C254" s="65">
        <v>23021.0</v>
      </c>
      <c r="D254" s="65">
        <v>40.0</v>
      </c>
      <c r="E254" s="87">
        <v>283.0</v>
      </c>
      <c r="F254" s="87">
        <v>283.0</v>
      </c>
      <c r="G254" s="65" t="s">
        <v>4624</v>
      </c>
      <c r="H254" s="65" t="s">
        <v>4625</v>
      </c>
      <c r="I254" s="65" t="s">
        <v>59</v>
      </c>
      <c r="J254" s="65" t="s">
        <v>34</v>
      </c>
      <c r="K254" s="65"/>
      <c r="L254" s="65" t="s">
        <v>87</v>
      </c>
      <c r="M254" s="89">
        <v>31.0</v>
      </c>
      <c r="N254" s="93" t="s">
        <v>4619</v>
      </c>
      <c r="O254" s="42" t="b">
        <v>0</v>
      </c>
      <c r="P254" s="44"/>
      <c r="Q254" s="34"/>
      <c r="R254" s="34"/>
      <c r="S254" s="34"/>
      <c r="T254" s="34"/>
    </row>
    <row r="255" ht="15.75" customHeight="1">
      <c r="B255" s="86">
        <v>46293.0</v>
      </c>
      <c r="C255" s="65">
        <v>33180.0</v>
      </c>
      <c r="D255" s="65">
        <v>2.0</v>
      </c>
      <c r="E255" s="87">
        <v>899.9</v>
      </c>
      <c r="F255" s="87">
        <v>1799.8</v>
      </c>
      <c r="G255" s="65" t="s">
        <v>4615</v>
      </c>
      <c r="H255" s="65" t="s">
        <v>4616</v>
      </c>
      <c r="I255" s="65" t="s">
        <v>32</v>
      </c>
      <c r="J255" s="65" t="s">
        <v>34</v>
      </c>
      <c r="K255" s="65"/>
      <c r="L255" s="65" t="s">
        <v>96</v>
      </c>
      <c r="M255" s="89">
        <v>1.0</v>
      </c>
      <c r="N255" s="93" t="s">
        <v>4619</v>
      </c>
      <c r="O255" s="42" t="b">
        <v>0</v>
      </c>
      <c r="P255" s="44"/>
      <c r="Q255" s="34"/>
      <c r="R255" s="34"/>
      <c r="S255" s="34"/>
      <c r="T255" s="34"/>
    </row>
    <row r="256" ht="15.75" hidden="1" customHeight="1">
      <c r="B256" s="86">
        <v>46293.0</v>
      </c>
      <c r="C256" s="65" t="s">
        <v>35</v>
      </c>
      <c r="D256" s="65">
        <v>2.0</v>
      </c>
      <c r="E256" s="87">
        <v>6900.0</v>
      </c>
      <c r="F256" s="87">
        <v>13800.0</v>
      </c>
      <c r="G256" s="65" t="s">
        <v>4626</v>
      </c>
      <c r="H256" s="65"/>
      <c r="I256" s="65" t="s">
        <v>221</v>
      </c>
      <c r="J256" s="65" t="s">
        <v>34</v>
      </c>
      <c r="K256" s="65"/>
      <c r="L256" s="65" t="s">
        <v>3576</v>
      </c>
      <c r="M256" s="89">
        <v>31.0</v>
      </c>
      <c r="N256" s="90">
        <v>46293.0</v>
      </c>
      <c r="O256" s="42" t="b">
        <v>0</v>
      </c>
      <c r="P256" s="44">
        <v>46294.0</v>
      </c>
      <c r="Q256" s="34"/>
      <c r="R256" s="34"/>
      <c r="S256" s="34"/>
      <c r="T256" s="34"/>
    </row>
    <row r="257" ht="15.75" hidden="1" customHeight="1">
      <c r="B257" s="86">
        <v>46293.0</v>
      </c>
      <c r="C257" s="65" t="s">
        <v>35</v>
      </c>
      <c r="D257" s="65">
        <v>2.0</v>
      </c>
      <c r="E257" s="87">
        <v>7100.0</v>
      </c>
      <c r="F257" s="87">
        <v>14200.0</v>
      </c>
      <c r="G257" s="65" t="s">
        <v>3707</v>
      </c>
      <c r="H257" s="65"/>
      <c r="I257" s="65" t="s">
        <v>221</v>
      </c>
      <c r="J257" s="65" t="s">
        <v>34</v>
      </c>
      <c r="K257" s="65"/>
      <c r="L257" s="65" t="s">
        <v>3576</v>
      </c>
      <c r="M257" s="89">
        <v>31.0</v>
      </c>
      <c r="N257" s="90">
        <v>46293.0</v>
      </c>
      <c r="O257" s="42" t="b">
        <v>0</v>
      </c>
      <c r="P257" s="44">
        <v>46294.0</v>
      </c>
      <c r="Q257" s="34"/>
      <c r="R257" s="34"/>
      <c r="S257" s="34"/>
      <c r="T257" s="34"/>
    </row>
    <row r="258" ht="15.75" customHeight="1">
      <c r="B258" s="86">
        <v>46293.0</v>
      </c>
      <c r="C258" s="65" t="s">
        <v>35</v>
      </c>
      <c r="D258" s="65">
        <v>1.0</v>
      </c>
      <c r="E258" s="87">
        <v>3650.0</v>
      </c>
      <c r="F258" s="87">
        <v>3650.0</v>
      </c>
      <c r="G258" s="65" t="s">
        <v>4627</v>
      </c>
      <c r="H258" s="65"/>
      <c r="I258" s="65" t="s">
        <v>41</v>
      </c>
      <c r="J258" s="65" t="s">
        <v>34</v>
      </c>
      <c r="K258" s="65"/>
      <c r="L258" s="65" t="s">
        <v>3576</v>
      </c>
      <c r="M258" s="89">
        <v>31.0</v>
      </c>
      <c r="N258" s="93" t="s">
        <v>4619</v>
      </c>
      <c r="O258" s="42" t="b">
        <v>0</v>
      </c>
      <c r="P258" s="44"/>
      <c r="Q258" s="34"/>
      <c r="R258" s="34"/>
      <c r="S258" s="34"/>
      <c r="T258" s="34"/>
    </row>
    <row r="259" ht="15.75" customHeight="1">
      <c r="B259" s="86">
        <v>46293.0</v>
      </c>
      <c r="C259" s="65" t="s">
        <v>35</v>
      </c>
      <c r="D259" s="65">
        <v>2.0</v>
      </c>
      <c r="E259" s="87">
        <v>6700.0</v>
      </c>
      <c r="F259" s="87">
        <v>13400.0</v>
      </c>
      <c r="G259" s="65" t="s">
        <v>4630</v>
      </c>
      <c r="H259" s="65"/>
      <c r="I259" s="65" t="s">
        <v>41</v>
      </c>
      <c r="J259" s="65" t="s">
        <v>34</v>
      </c>
      <c r="K259" s="65"/>
      <c r="L259" s="65" t="s">
        <v>3533</v>
      </c>
      <c r="M259" s="89">
        <v>31.0</v>
      </c>
      <c r="N259" s="93" t="s">
        <v>4619</v>
      </c>
      <c r="O259" s="42" t="b">
        <v>0</v>
      </c>
      <c r="P259" s="44"/>
      <c r="Q259" s="34"/>
      <c r="R259" s="34"/>
      <c r="S259" s="34"/>
      <c r="T259" s="34"/>
    </row>
    <row r="260" ht="15.75" hidden="1" customHeight="1">
      <c r="B260" s="86"/>
      <c r="C260" s="65"/>
      <c r="D260" s="65"/>
      <c r="E260" s="87"/>
      <c r="F260" s="87"/>
      <c r="G260" s="65"/>
      <c r="H260" s="65"/>
      <c r="I260" s="65"/>
      <c r="J260" s="65"/>
      <c r="K260" s="65"/>
      <c r="L260" s="65"/>
      <c r="M260" s="89"/>
      <c r="N260" s="90"/>
      <c r="O260" s="42" t="b">
        <v>0</v>
      </c>
      <c r="P260" s="44"/>
      <c r="Q260" s="34"/>
      <c r="R260" s="34"/>
      <c r="S260" s="34"/>
      <c r="T260" s="34"/>
    </row>
    <row r="261" ht="15.75" hidden="1" customHeight="1">
      <c r="B261" s="86"/>
      <c r="C261" s="65"/>
      <c r="D261" s="65"/>
      <c r="E261" s="87"/>
      <c r="F261" s="87"/>
      <c r="G261" s="65"/>
      <c r="H261" s="65"/>
      <c r="I261" s="65"/>
      <c r="J261" s="65"/>
      <c r="K261" s="65"/>
      <c r="L261" s="65"/>
      <c r="M261" s="89"/>
      <c r="N261" s="90"/>
      <c r="O261" s="42" t="b">
        <v>0</v>
      </c>
      <c r="P261" s="44"/>
      <c r="Q261" s="34"/>
      <c r="R261" s="34"/>
      <c r="S261" s="34"/>
      <c r="T261" s="34"/>
    </row>
    <row r="262" ht="15.75" hidden="1" customHeight="1">
      <c r="B262" s="86"/>
      <c r="C262" s="65"/>
      <c r="D262" s="65"/>
      <c r="E262" s="87"/>
      <c r="F262" s="87"/>
      <c r="G262" s="65"/>
      <c r="H262" s="65"/>
      <c r="I262" s="65"/>
      <c r="J262" s="65"/>
      <c r="K262" s="65"/>
      <c r="L262" s="65"/>
      <c r="M262" s="89"/>
      <c r="N262" s="90"/>
      <c r="O262" s="42" t="b">
        <v>0</v>
      </c>
      <c r="P262" s="45"/>
      <c r="Q262" s="34"/>
      <c r="R262" s="34"/>
      <c r="S262" s="34"/>
      <c r="T262" s="34"/>
    </row>
    <row r="263" ht="15.75" hidden="1" customHeight="1">
      <c r="B263" s="86"/>
      <c r="C263" s="65"/>
      <c r="D263" s="65"/>
      <c r="E263" s="87"/>
      <c r="F263" s="87"/>
      <c r="G263" s="65"/>
      <c r="H263" s="65"/>
      <c r="I263" s="65"/>
      <c r="J263" s="65"/>
      <c r="K263" s="65"/>
      <c r="L263" s="65"/>
      <c r="M263" s="89"/>
      <c r="N263" s="90"/>
      <c r="O263" s="42" t="b">
        <v>0</v>
      </c>
      <c r="P263" s="44"/>
      <c r="Q263" s="34"/>
      <c r="R263" s="34"/>
      <c r="S263" s="34"/>
      <c r="T263" s="34"/>
    </row>
    <row r="264" ht="15.75" hidden="1" customHeight="1">
      <c r="B264" s="86"/>
      <c r="C264" s="65"/>
      <c r="D264" s="65"/>
      <c r="E264" s="87"/>
      <c r="F264" s="87"/>
      <c r="G264" s="65"/>
      <c r="H264" s="65"/>
      <c r="I264" s="65"/>
      <c r="J264" s="65"/>
      <c r="K264" s="65"/>
      <c r="L264" s="65"/>
      <c r="M264" s="89"/>
      <c r="N264" s="90"/>
      <c r="O264" s="42" t="b">
        <v>0</v>
      </c>
      <c r="P264" s="44"/>
      <c r="Q264" s="34"/>
      <c r="R264" s="34"/>
      <c r="S264" s="34"/>
      <c r="T264" s="34"/>
    </row>
    <row r="265" ht="15.75" hidden="1" customHeight="1">
      <c r="B265" s="86"/>
      <c r="C265" s="65"/>
      <c r="D265" s="65"/>
      <c r="E265" s="87"/>
      <c r="F265" s="87"/>
      <c r="G265" s="65"/>
      <c r="H265" s="65"/>
      <c r="I265" s="65"/>
      <c r="J265" s="65"/>
      <c r="K265" s="65"/>
      <c r="L265" s="65"/>
      <c r="M265" s="89"/>
      <c r="N265" s="90"/>
      <c r="O265" s="42" t="b">
        <v>0</v>
      </c>
      <c r="P265" s="44"/>
      <c r="Q265" s="34"/>
      <c r="R265" s="34"/>
      <c r="S265" s="34"/>
      <c r="T265" s="34"/>
    </row>
    <row r="266" ht="15.75" hidden="1" customHeight="1">
      <c r="B266" s="86"/>
      <c r="C266" s="65"/>
      <c r="D266" s="65"/>
      <c r="E266" s="87"/>
      <c r="F266" s="87"/>
      <c r="G266" s="65"/>
      <c r="H266" s="65"/>
      <c r="I266" s="65"/>
      <c r="J266" s="65"/>
      <c r="K266" s="65"/>
      <c r="L266" s="65"/>
      <c r="M266" s="89"/>
      <c r="N266" s="90"/>
      <c r="O266" s="42" t="b">
        <v>0</v>
      </c>
      <c r="P266" s="44"/>
      <c r="Q266" s="34"/>
      <c r="R266" s="34"/>
      <c r="S266" s="34"/>
      <c r="T266" s="34"/>
    </row>
    <row r="267" ht="15.75" hidden="1" customHeight="1">
      <c r="B267" s="86"/>
      <c r="C267" s="65"/>
      <c r="D267" s="65"/>
      <c r="E267" s="87"/>
      <c r="F267" s="87"/>
      <c r="G267" s="65"/>
      <c r="H267" s="65"/>
      <c r="I267" s="65"/>
      <c r="J267" s="65"/>
      <c r="K267" s="65"/>
      <c r="L267" s="65"/>
      <c r="M267" s="89"/>
      <c r="N267" s="90"/>
      <c r="O267" s="42" t="b">
        <v>0</v>
      </c>
      <c r="P267" s="44"/>
      <c r="Q267" s="34"/>
      <c r="R267" s="34"/>
      <c r="S267" s="34"/>
      <c r="T267" s="34"/>
    </row>
    <row r="268" ht="15.75" hidden="1" customHeight="1">
      <c r="B268" s="86"/>
      <c r="C268" s="65"/>
      <c r="D268" s="65"/>
      <c r="E268" s="87"/>
      <c r="F268" s="87"/>
      <c r="G268" s="65"/>
      <c r="H268" s="65"/>
      <c r="I268" s="65"/>
      <c r="J268" s="65"/>
      <c r="K268" s="65"/>
      <c r="L268" s="65"/>
      <c r="M268" s="89"/>
      <c r="N268" s="90"/>
      <c r="O268" s="42" t="b">
        <v>0</v>
      </c>
      <c r="P268" s="44"/>
      <c r="Q268" s="34"/>
      <c r="R268" s="34"/>
      <c r="S268" s="34"/>
      <c r="T268" s="34"/>
    </row>
    <row r="269" ht="15.75" hidden="1" customHeight="1">
      <c r="B269" s="86"/>
      <c r="C269" s="65"/>
      <c r="D269" s="65"/>
      <c r="E269" s="87"/>
      <c r="F269" s="87"/>
      <c r="G269" s="65"/>
      <c r="H269" s="65"/>
      <c r="I269" s="65"/>
      <c r="J269" s="65"/>
      <c r="K269" s="65"/>
      <c r="L269" s="65"/>
      <c r="M269" s="89"/>
      <c r="N269" s="90"/>
      <c r="O269" s="42" t="b">
        <v>0</v>
      </c>
      <c r="P269" s="44"/>
      <c r="Q269" s="34"/>
      <c r="R269" s="34"/>
      <c r="S269" s="34"/>
      <c r="T269" s="34"/>
    </row>
    <row r="270" ht="15.75" hidden="1" customHeight="1">
      <c r="B270" s="86"/>
      <c r="C270" s="65"/>
      <c r="D270" s="65"/>
      <c r="E270" s="87"/>
      <c r="F270" s="87"/>
      <c r="G270" s="65"/>
      <c r="H270" s="65"/>
      <c r="I270" s="65"/>
      <c r="J270" s="65"/>
      <c r="K270" s="65"/>
      <c r="L270" s="65"/>
      <c r="M270" s="89"/>
      <c r="N270" s="90"/>
      <c r="O270" s="42" t="b">
        <v>0</v>
      </c>
      <c r="P270" s="44"/>
      <c r="Q270" s="34"/>
      <c r="R270" s="34"/>
      <c r="S270" s="34"/>
      <c r="T270" s="34"/>
    </row>
    <row r="271" ht="15.75" hidden="1" customHeight="1">
      <c r="B271" s="86"/>
      <c r="C271" s="65"/>
      <c r="D271" s="65"/>
      <c r="E271" s="87"/>
      <c r="F271" s="87"/>
      <c r="G271" s="65"/>
      <c r="H271" s="65"/>
      <c r="I271" s="65"/>
      <c r="J271" s="65"/>
      <c r="K271" s="65"/>
      <c r="L271" s="65"/>
      <c r="M271" s="89"/>
      <c r="N271" s="90"/>
      <c r="O271" s="42" t="b">
        <v>0</v>
      </c>
      <c r="P271" s="44"/>
      <c r="Q271" s="34"/>
      <c r="R271" s="34"/>
      <c r="S271" s="34"/>
      <c r="T271" s="34"/>
    </row>
    <row r="272" ht="15.75" hidden="1" customHeight="1">
      <c r="B272" s="86"/>
      <c r="C272" s="65"/>
      <c r="D272" s="65"/>
      <c r="E272" s="87"/>
      <c r="F272" s="87"/>
      <c r="G272" s="65"/>
      <c r="H272" s="65"/>
      <c r="I272" s="65"/>
      <c r="J272" s="65"/>
      <c r="K272" s="65"/>
      <c r="L272" s="65"/>
      <c r="M272" s="89"/>
      <c r="N272" s="90"/>
      <c r="O272" s="42" t="b">
        <v>0</v>
      </c>
      <c r="P272" s="44"/>
      <c r="Q272" s="34"/>
      <c r="R272" s="34"/>
      <c r="S272" s="34"/>
      <c r="T272" s="34"/>
    </row>
    <row r="273" ht="15.75" hidden="1" customHeight="1">
      <c r="B273" s="86"/>
      <c r="C273" s="65"/>
      <c r="D273" s="65"/>
      <c r="E273" s="87"/>
      <c r="F273" s="87"/>
      <c r="G273" s="65"/>
      <c r="H273" s="65"/>
      <c r="I273" s="65"/>
      <c r="J273" s="65"/>
      <c r="K273" s="65"/>
      <c r="L273" s="65"/>
      <c r="M273" s="89"/>
      <c r="N273" s="90"/>
      <c r="O273" s="42" t="b">
        <v>0</v>
      </c>
      <c r="P273" s="44"/>
      <c r="Q273" s="34"/>
      <c r="R273" s="34"/>
      <c r="S273" s="34"/>
      <c r="T273" s="34"/>
    </row>
    <row r="274" ht="15.75" hidden="1" customHeight="1">
      <c r="B274" s="86"/>
      <c r="C274" s="65"/>
      <c r="D274" s="65"/>
      <c r="E274" s="87"/>
      <c r="F274" s="87"/>
      <c r="G274" s="65"/>
      <c r="H274" s="65"/>
      <c r="I274" s="65"/>
      <c r="J274" s="65"/>
      <c r="K274" s="65"/>
      <c r="L274" s="65"/>
      <c r="M274" s="89"/>
      <c r="N274" s="90"/>
      <c r="O274" s="42" t="b">
        <v>0</v>
      </c>
      <c r="P274" s="44"/>
      <c r="Q274" s="34"/>
      <c r="R274" s="34"/>
      <c r="S274" s="34"/>
      <c r="T274" s="34"/>
    </row>
    <row r="275" ht="15.75" hidden="1" customHeight="1">
      <c r="B275" s="86"/>
      <c r="C275" s="65"/>
      <c r="D275" s="65"/>
      <c r="E275" s="87"/>
      <c r="F275" s="87"/>
      <c r="G275" s="65"/>
      <c r="H275" s="65"/>
      <c r="I275" s="65"/>
      <c r="J275" s="65"/>
      <c r="K275" s="65"/>
      <c r="L275" s="65"/>
      <c r="M275" s="89"/>
      <c r="N275" s="90"/>
      <c r="O275" s="42" t="b">
        <v>0</v>
      </c>
      <c r="P275" s="44"/>
      <c r="Q275" s="34"/>
      <c r="R275" s="34"/>
      <c r="S275" s="34"/>
      <c r="T275" s="34"/>
    </row>
    <row r="276" ht="15.75" hidden="1" customHeight="1">
      <c r="B276" s="86"/>
      <c r="C276" s="65"/>
      <c r="D276" s="65"/>
      <c r="E276" s="87"/>
      <c r="F276" s="87"/>
      <c r="G276" s="65"/>
      <c r="H276" s="65"/>
      <c r="I276" s="65"/>
      <c r="J276" s="65"/>
      <c r="K276" s="65"/>
      <c r="L276" s="65"/>
      <c r="M276" s="89"/>
      <c r="N276" s="90"/>
      <c r="O276" s="42" t="b">
        <v>0</v>
      </c>
      <c r="P276" s="44"/>
      <c r="Q276" s="34"/>
      <c r="R276" s="34"/>
      <c r="S276" s="34"/>
      <c r="T276" s="34"/>
    </row>
    <row r="277" ht="15.75" hidden="1" customHeight="1">
      <c r="B277" s="86"/>
      <c r="C277" s="65"/>
      <c r="D277" s="65"/>
      <c r="E277" s="87"/>
      <c r="F277" s="87"/>
      <c r="G277" s="65"/>
      <c r="H277" s="65"/>
      <c r="I277" s="65"/>
      <c r="J277" s="65"/>
      <c r="K277" s="65"/>
      <c r="L277" s="65"/>
      <c r="M277" s="89"/>
      <c r="N277" s="90"/>
      <c r="O277" s="42" t="b">
        <v>0</v>
      </c>
      <c r="P277" s="44"/>
      <c r="Q277" s="34"/>
      <c r="R277" s="34"/>
      <c r="S277" s="34"/>
      <c r="T277" s="34"/>
    </row>
    <row r="278" ht="15.75" hidden="1" customHeight="1">
      <c r="B278" s="86"/>
      <c r="C278" s="65"/>
      <c r="D278" s="65"/>
      <c r="E278" s="87"/>
      <c r="F278" s="87"/>
      <c r="G278" s="65"/>
      <c r="H278" s="65"/>
      <c r="I278" s="65"/>
      <c r="J278" s="65"/>
      <c r="K278" s="65"/>
      <c r="L278" s="65"/>
      <c r="M278" s="89"/>
      <c r="N278" s="90"/>
      <c r="O278" s="42" t="b">
        <v>0</v>
      </c>
      <c r="P278" s="44"/>
      <c r="Q278" s="34"/>
      <c r="R278" s="34"/>
      <c r="S278" s="34"/>
      <c r="T278" s="34"/>
    </row>
    <row r="279" ht="15.75" hidden="1" customHeight="1">
      <c r="B279" s="86"/>
      <c r="C279" s="65"/>
      <c r="D279" s="65"/>
      <c r="E279" s="87"/>
      <c r="F279" s="87"/>
      <c r="G279" s="65"/>
      <c r="H279" s="65"/>
      <c r="I279" s="65"/>
      <c r="J279" s="65"/>
      <c r="K279" s="65"/>
      <c r="L279" s="65"/>
      <c r="M279" s="89"/>
      <c r="N279" s="90"/>
      <c r="O279" s="42" t="b">
        <v>0</v>
      </c>
      <c r="P279" s="44"/>
      <c r="Q279" s="34"/>
      <c r="R279" s="34"/>
      <c r="S279" s="34"/>
      <c r="T279" s="34"/>
    </row>
    <row r="280" ht="15.75" hidden="1" customHeight="1">
      <c r="B280" s="86"/>
      <c r="C280" s="65"/>
      <c r="D280" s="65"/>
      <c r="E280" s="87"/>
      <c r="F280" s="87"/>
      <c r="G280" s="65"/>
      <c r="H280" s="65"/>
      <c r="I280" s="65"/>
      <c r="J280" s="65"/>
      <c r="K280" s="65"/>
      <c r="L280" s="65"/>
      <c r="M280" s="89"/>
      <c r="N280" s="90"/>
      <c r="O280" s="42" t="b">
        <v>0</v>
      </c>
      <c r="P280" s="44"/>
      <c r="Q280" s="34"/>
      <c r="R280" s="34"/>
      <c r="S280" s="34"/>
      <c r="T280" s="34"/>
    </row>
    <row r="281" ht="15.75" hidden="1" customHeight="1">
      <c r="B281" s="86"/>
      <c r="C281" s="65"/>
      <c r="D281" s="65"/>
      <c r="E281" s="87"/>
      <c r="F281" s="87"/>
      <c r="G281" s="65"/>
      <c r="H281" s="65"/>
      <c r="I281" s="65"/>
      <c r="J281" s="65"/>
      <c r="K281" s="65"/>
      <c r="L281" s="65"/>
      <c r="M281" s="89"/>
      <c r="N281" s="90"/>
      <c r="O281" s="42" t="b">
        <v>0</v>
      </c>
      <c r="P281" s="44"/>
      <c r="Q281" s="34"/>
      <c r="R281" s="34"/>
      <c r="S281" s="34"/>
      <c r="T281" s="34"/>
    </row>
    <row r="282" ht="15.75" hidden="1" customHeight="1">
      <c r="B282" s="86"/>
      <c r="C282" s="65"/>
      <c r="D282" s="65"/>
      <c r="E282" s="87"/>
      <c r="F282" s="87"/>
      <c r="G282" s="65"/>
      <c r="H282" s="65"/>
      <c r="I282" s="65"/>
      <c r="J282" s="65"/>
      <c r="K282" s="65"/>
      <c r="L282" s="65"/>
      <c r="M282" s="89"/>
      <c r="N282" s="90"/>
      <c r="O282" s="42" t="b">
        <v>0</v>
      </c>
      <c r="P282" s="44"/>
      <c r="Q282" s="34"/>
      <c r="R282" s="34"/>
      <c r="S282" s="34"/>
      <c r="T282" s="34"/>
    </row>
    <row r="283" ht="15.75" hidden="1" customHeight="1">
      <c r="B283" s="86"/>
      <c r="C283" s="65"/>
      <c r="D283" s="65"/>
      <c r="E283" s="87"/>
      <c r="F283" s="87"/>
      <c r="G283" s="65"/>
      <c r="H283" s="65"/>
      <c r="I283" s="65"/>
      <c r="J283" s="65"/>
      <c r="K283" s="65"/>
      <c r="L283" s="65"/>
      <c r="M283" s="89"/>
      <c r="N283" s="90"/>
      <c r="O283" s="42" t="b">
        <v>0</v>
      </c>
      <c r="P283" s="44"/>
      <c r="Q283" s="34"/>
      <c r="R283" s="34"/>
      <c r="S283" s="34"/>
      <c r="T283" s="34"/>
    </row>
    <row r="284" ht="15.75" hidden="1" customHeight="1">
      <c r="B284" s="92"/>
      <c r="C284" s="65"/>
      <c r="D284" s="65"/>
      <c r="E284" s="87"/>
      <c r="F284" s="87"/>
      <c r="G284" s="65"/>
      <c r="H284" s="65"/>
      <c r="I284" s="65"/>
      <c r="J284" s="65"/>
      <c r="K284" s="65"/>
      <c r="L284" s="65"/>
      <c r="M284" s="89"/>
      <c r="N284" s="90"/>
      <c r="O284" s="42" t="b">
        <v>0</v>
      </c>
      <c r="P284" s="44"/>
      <c r="Q284" s="34"/>
      <c r="R284" s="34"/>
      <c r="S284" s="34"/>
      <c r="T284" s="34"/>
    </row>
    <row r="285" ht="15.75" hidden="1" customHeight="1">
      <c r="B285" s="86"/>
      <c r="C285" s="65"/>
      <c r="D285" s="65"/>
      <c r="E285" s="87"/>
      <c r="F285" s="87"/>
      <c r="G285" s="65"/>
      <c r="H285" s="65"/>
      <c r="I285" s="65"/>
      <c r="J285" s="65"/>
      <c r="K285" s="65"/>
      <c r="L285" s="65"/>
      <c r="M285" s="89"/>
      <c r="N285" s="90"/>
      <c r="O285" s="42" t="b">
        <v>0</v>
      </c>
      <c r="P285" s="44"/>
      <c r="Q285" s="34"/>
      <c r="R285" s="34"/>
      <c r="S285" s="34"/>
      <c r="T285" s="34"/>
    </row>
    <row r="286" ht="15.75" hidden="1" customHeight="1">
      <c r="B286" s="86"/>
      <c r="C286" s="65"/>
      <c r="D286" s="65"/>
      <c r="E286" s="87"/>
      <c r="F286" s="87"/>
      <c r="G286" s="65"/>
      <c r="H286" s="65"/>
      <c r="I286" s="65"/>
      <c r="J286" s="65"/>
      <c r="K286" s="65"/>
      <c r="L286" s="65"/>
      <c r="M286" s="89"/>
      <c r="N286" s="90"/>
      <c r="O286" s="42" t="b">
        <v>0</v>
      </c>
      <c r="P286" s="44"/>
      <c r="Q286" s="34"/>
      <c r="R286" s="34"/>
      <c r="S286" s="34"/>
      <c r="T286" s="34"/>
    </row>
    <row r="287" ht="15.75" hidden="1" customHeight="1">
      <c r="B287" s="86"/>
      <c r="C287" s="65"/>
      <c r="D287" s="127"/>
      <c r="E287" s="87"/>
      <c r="F287" s="87"/>
      <c r="G287" s="65"/>
      <c r="H287" s="65"/>
      <c r="I287" s="65"/>
      <c r="J287" s="65"/>
      <c r="K287" s="65"/>
      <c r="L287" s="65"/>
      <c r="M287" s="89"/>
      <c r="N287" s="90"/>
      <c r="O287" s="42" t="b">
        <v>0</v>
      </c>
      <c r="P287" s="35"/>
      <c r="Q287" s="34"/>
      <c r="R287" s="34"/>
      <c r="S287" s="34"/>
      <c r="T287" s="34"/>
    </row>
    <row r="288" ht="15.75" hidden="1" customHeight="1">
      <c r="B288" s="86"/>
      <c r="C288" s="65"/>
      <c r="D288" s="65"/>
      <c r="E288" s="87"/>
      <c r="F288" s="87"/>
      <c r="G288" s="65"/>
      <c r="H288" s="65"/>
      <c r="I288" s="65"/>
      <c r="J288" s="65"/>
      <c r="K288" s="65"/>
      <c r="L288" s="65"/>
      <c r="M288" s="89"/>
      <c r="N288" s="90"/>
      <c r="O288" s="42" t="b">
        <v>0</v>
      </c>
      <c r="P288" s="44"/>
      <c r="Q288" s="34"/>
      <c r="R288" s="34"/>
      <c r="S288" s="34"/>
      <c r="T288" s="34"/>
    </row>
    <row r="289" ht="15.75" hidden="1" customHeight="1">
      <c r="B289" s="86"/>
      <c r="C289" s="65"/>
      <c r="D289" s="65"/>
      <c r="E289" s="87"/>
      <c r="F289" s="87"/>
      <c r="G289" s="65"/>
      <c r="H289" s="65"/>
      <c r="I289" s="65"/>
      <c r="J289" s="65"/>
      <c r="K289" s="65"/>
      <c r="L289" s="65"/>
      <c r="M289" s="89"/>
      <c r="N289" s="90"/>
      <c r="O289" s="42" t="b">
        <v>0</v>
      </c>
      <c r="P289" s="44"/>
      <c r="Q289" s="34"/>
      <c r="R289" s="34"/>
      <c r="S289" s="34"/>
      <c r="T289" s="34"/>
    </row>
    <row r="290" ht="15.75" hidden="1" customHeight="1">
      <c r="B290" s="86"/>
      <c r="C290" s="65"/>
      <c r="D290" s="65"/>
      <c r="E290" s="87"/>
      <c r="F290" s="87"/>
      <c r="G290" s="65"/>
      <c r="H290" s="65"/>
      <c r="I290" s="65"/>
      <c r="J290" s="65"/>
      <c r="K290" s="65"/>
      <c r="L290" s="65"/>
      <c r="M290" s="89"/>
      <c r="N290" s="90"/>
      <c r="O290" s="42" t="b">
        <v>0</v>
      </c>
      <c r="P290" s="44"/>
      <c r="Q290" s="34"/>
      <c r="R290" s="34"/>
      <c r="S290" s="34"/>
      <c r="T290" s="34"/>
    </row>
    <row r="291" ht="15.75" hidden="1" customHeight="1">
      <c r="B291" s="86"/>
      <c r="C291" s="65"/>
      <c r="D291" s="65"/>
      <c r="E291" s="87"/>
      <c r="F291" s="87"/>
      <c r="G291" s="65"/>
      <c r="H291" s="65"/>
      <c r="I291" s="65"/>
      <c r="J291" s="65"/>
      <c r="K291" s="65"/>
      <c r="L291" s="65"/>
      <c r="M291" s="89"/>
      <c r="N291" s="90"/>
      <c r="O291" s="42" t="b">
        <v>0</v>
      </c>
      <c r="P291" s="44"/>
      <c r="Q291" s="34"/>
      <c r="R291" s="34"/>
      <c r="S291" s="34"/>
      <c r="T291" s="34"/>
    </row>
    <row r="292" ht="15.75" hidden="1" customHeight="1">
      <c r="B292" s="86"/>
      <c r="C292" s="65"/>
      <c r="D292" s="65"/>
      <c r="E292" s="87"/>
      <c r="F292" s="87"/>
      <c r="G292" s="65"/>
      <c r="H292" s="65"/>
      <c r="I292" s="65"/>
      <c r="J292" s="65"/>
      <c r="K292" s="65"/>
      <c r="L292" s="65"/>
      <c r="M292" s="89"/>
      <c r="N292" s="90"/>
      <c r="O292" s="42" t="b">
        <v>0</v>
      </c>
      <c r="P292" s="44"/>
      <c r="Q292" s="34"/>
      <c r="R292" s="34"/>
      <c r="S292" s="34"/>
      <c r="T292" s="34"/>
    </row>
    <row r="293" ht="15.75" hidden="1" customHeight="1">
      <c r="B293" s="86"/>
      <c r="C293" s="65"/>
      <c r="D293" s="65"/>
      <c r="E293" s="87"/>
      <c r="F293" s="87"/>
      <c r="G293" s="65"/>
      <c r="H293" s="65"/>
      <c r="I293" s="65"/>
      <c r="J293" s="65"/>
      <c r="K293" s="65"/>
      <c r="L293" s="65"/>
      <c r="M293" s="89"/>
      <c r="N293" s="90"/>
      <c r="O293" s="42" t="b">
        <v>0</v>
      </c>
      <c r="P293" s="44"/>
      <c r="Q293" s="34"/>
      <c r="R293" s="34"/>
      <c r="S293" s="34"/>
      <c r="T293" s="34"/>
    </row>
    <row r="294" ht="15.75" hidden="1" customHeight="1">
      <c r="B294" s="86"/>
      <c r="C294" s="65"/>
      <c r="D294" s="65"/>
      <c r="E294" s="87"/>
      <c r="F294" s="87"/>
      <c r="G294" s="65"/>
      <c r="H294" s="65"/>
      <c r="I294" s="65"/>
      <c r="J294" s="65"/>
      <c r="K294" s="65"/>
      <c r="L294" s="65"/>
      <c r="M294" s="89"/>
      <c r="N294" s="90"/>
      <c r="O294" s="42" t="b">
        <v>0</v>
      </c>
      <c r="P294" s="44"/>
      <c r="Q294" s="34"/>
      <c r="R294" s="34"/>
      <c r="S294" s="34"/>
      <c r="T294" s="34"/>
    </row>
    <row r="295" ht="15.75" hidden="1" customHeight="1">
      <c r="B295" s="86"/>
      <c r="C295" s="65"/>
      <c r="D295" s="65"/>
      <c r="E295" s="87"/>
      <c r="F295" s="87"/>
      <c r="G295" s="65"/>
      <c r="H295" s="65"/>
      <c r="I295" s="65"/>
      <c r="J295" s="65"/>
      <c r="K295" s="65"/>
      <c r="L295" s="65"/>
      <c r="M295" s="89"/>
      <c r="N295" s="90"/>
      <c r="O295" s="42" t="b">
        <v>0</v>
      </c>
      <c r="P295" s="44"/>
      <c r="Q295" s="34"/>
      <c r="R295" s="34"/>
      <c r="S295" s="34"/>
      <c r="T295" s="34"/>
    </row>
    <row r="296" ht="15.75" hidden="1" customHeight="1">
      <c r="B296" s="86"/>
      <c r="C296" s="65"/>
      <c r="D296" s="65"/>
      <c r="E296" s="87"/>
      <c r="F296" s="87"/>
      <c r="G296" s="65"/>
      <c r="H296" s="65"/>
      <c r="I296" s="65"/>
      <c r="J296" s="65"/>
      <c r="K296" s="65"/>
      <c r="L296" s="65"/>
      <c r="M296" s="89"/>
      <c r="N296" s="90"/>
      <c r="O296" s="42" t="b">
        <v>0</v>
      </c>
      <c r="P296" s="44"/>
      <c r="Q296" s="34"/>
      <c r="R296" s="34"/>
      <c r="S296" s="34"/>
      <c r="T296" s="34"/>
    </row>
    <row r="297" ht="15.75" hidden="1" customHeight="1">
      <c r="B297" s="86"/>
      <c r="C297" s="65"/>
      <c r="D297" s="65"/>
      <c r="E297" s="87"/>
      <c r="F297" s="87"/>
      <c r="G297" s="65"/>
      <c r="H297" s="65"/>
      <c r="I297" s="65"/>
      <c r="J297" s="65"/>
      <c r="K297" s="65"/>
      <c r="L297" s="65"/>
      <c r="M297" s="89"/>
      <c r="N297" s="90"/>
      <c r="O297" s="42" t="b">
        <v>0</v>
      </c>
      <c r="P297" s="44"/>
      <c r="Q297" s="34"/>
      <c r="R297" s="34"/>
      <c r="S297" s="34"/>
      <c r="T297" s="34"/>
    </row>
    <row r="298" ht="15.75" hidden="1" customHeight="1">
      <c r="B298" s="86"/>
      <c r="C298" s="65"/>
      <c r="D298" s="65"/>
      <c r="E298" s="87"/>
      <c r="F298" s="87"/>
      <c r="G298" s="65"/>
      <c r="H298" s="65"/>
      <c r="I298" s="65"/>
      <c r="J298" s="65"/>
      <c r="K298" s="65"/>
      <c r="L298" s="65"/>
      <c r="M298" s="89"/>
      <c r="N298" s="90"/>
      <c r="O298" s="42" t="b">
        <v>0</v>
      </c>
      <c r="P298" s="44"/>
      <c r="Q298" s="34"/>
      <c r="R298" s="34"/>
      <c r="S298" s="34"/>
      <c r="T298" s="34"/>
    </row>
    <row r="299" ht="15.75" hidden="1" customHeight="1">
      <c r="B299" s="86"/>
      <c r="C299" s="65"/>
      <c r="D299" s="65"/>
      <c r="E299" s="87"/>
      <c r="F299" s="87"/>
      <c r="G299" s="65"/>
      <c r="H299" s="65"/>
      <c r="I299" s="65"/>
      <c r="J299" s="65"/>
      <c r="K299" s="65"/>
      <c r="L299" s="65"/>
      <c r="M299" s="89"/>
      <c r="N299" s="90"/>
      <c r="O299" s="42" t="b">
        <v>0</v>
      </c>
      <c r="P299" s="44"/>
      <c r="Q299" s="34"/>
      <c r="R299" s="44"/>
      <c r="S299" s="34"/>
      <c r="T299" s="34"/>
    </row>
    <row r="300" ht="15.75" hidden="1" customHeight="1">
      <c r="B300" s="86"/>
      <c r="C300" s="65"/>
      <c r="D300" s="65"/>
      <c r="E300" s="87"/>
      <c r="F300" s="87"/>
      <c r="G300" s="65"/>
      <c r="H300" s="65"/>
      <c r="I300" s="65"/>
      <c r="J300" s="65"/>
      <c r="K300" s="65"/>
      <c r="L300" s="65"/>
      <c r="M300" s="89"/>
      <c r="N300" s="90"/>
      <c r="O300" s="42" t="b">
        <v>0</v>
      </c>
      <c r="P300" s="44"/>
      <c r="Q300" s="34"/>
      <c r="R300" s="33"/>
      <c r="S300" s="34"/>
      <c r="T300" s="34"/>
    </row>
    <row r="301" ht="15.75" hidden="1" customHeight="1">
      <c r="B301" s="86"/>
      <c r="C301" s="65"/>
      <c r="D301" s="65"/>
      <c r="E301" s="87"/>
      <c r="F301" s="87"/>
      <c r="G301" s="65"/>
      <c r="H301" s="65"/>
      <c r="I301" s="65"/>
      <c r="J301" s="65"/>
      <c r="K301" s="65"/>
      <c r="L301" s="65"/>
      <c r="M301" s="89"/>
      <c r="N301" s="90"/>
      <c r="O301" s="42" t="b">
        <v>0</v>
      </c>
      <c r="P301" s="44"/>
      <c r="Q301" s="34"/>
      <c r="R301" s="34"/>
      <c r="S301" s="34"/>
      <c r="T301" s="34"/>
    </row>
    <row r="302" ht="15.75" hidden="1" customHeight="1">
      <c r="B302" s="86"/>
      <c r="C302" s="65"/>
      <c r="D302" s="65"/>
      <c r="E302" s="87"/>
      <c r="F302" s="87"/>
      <c r="G302" s="65"/>
      <c r="H302" s="65"/>
      <c r="I302" s="65"/>
      <c r="J302" s="65"/>
      <c r="K302" s="65"/>
      <c r="L302" s="65"/>
      <c r="M302" s="89"/>
      <c r="N302" s="90"/>
      <c r="O302" s="42" t="b">
        <v>0</v>
      </c>
      <c r="P302" s="44"/>
      <c r="Q302" s="34"/>
      <c r="R302" s="34"/>
      <c r="S302" s="34"/>
      <c r="T302" s="34"/>
    </row>
    <row r="303" ht="15.75" hidden="1" customHeight="1">
      <c r="B303" s="86"/>
      <c r="C303" s="65"/>
      <c r="D303" s="65"/>
      <c r="E303" s="87"/>
      <c r="F303" s="87"/>
      <c r="G303" s="65"/>
      <c r="H303" s="65"/>
      <c r="I303" s="65"/>
      <c r="J303" s="65"/>
      <c r="K303" s="65"/>
      <c r="L303" s="65"/>
      <c r="M303" s="89"/>
      <c r="N303" s="90"/>
      <c r="O303" s="42" t="b">
        <v>0</v>
      </c>
      <c r="P303" s="44"/>
      <c r="Q303" s="34"/>
      <c r="R303" s="34"/>
      <c r="S303" s="34"/>
      <c r="T303" s="34"/>
    </row>
    <row r="304" ht="15.75" hidden="1" customHeight="1">
      <c r="B304" s="86"/>
      <c r="C304" s="65"/>
      <c r="D304" s="65"/>
      <c r="E304" s="87"/>
      <c r="F304" s="87"/>
      <c r="G304" s="65"/>
      <c r="H304" s="65"/>
      <c r="I304" s="65"/>
      <c r="J304" s="65"/>
      <c r="K304" s="65"/>
      <c r="L304" s="65"/>
      <c r="M304" s="89"/>
      <c r="N304" s="90"/>
      <c r="O304" s="42" t="b">
        <v>0</v>
      </c>
      <c r="P304" s="44"/>
      <c r="Q304" s="34"/>
      <c r="R304" s="34"/>
      <c r="S304" s="34"/>
      <c r="T304" s="34"/>
    </row>
    <row r="305" ht="15.75" hidden="1" customHeight="1">
      <c r="B305" s="92"/>
      <c r="C305" s="65"/>
      <c r="D305" s="65"/>
      <c r="E305" s="87"/>
      <c r="F305" s="87"/>
      <c r="G305" s="65"/>
      <c r="H305" s="65"/>
      <c r="I305" s="65"/>
      <c r="J305" s="65"/>
      <c r="K305" s="65"/>
      <c r="L305" s="65"/>
      <c r="M305" s="89"/>
      <c r="N305" s="90"/>
      <c r="O305" s="42" t="b">
        <v>0</v>
      </c>
      <c r="P305" s="44"/>
      <c r="Q305" s="34"/>
      <c r="R305" s="34"/>
      <c r="S305" s="34"/>
      <c r="T305" s="34"/>
    </row>
    <row r="306" ht="15.75" hidden="1" customHeight="1">
      <c r="B306" s="48"/>
      <c r="C306" s="65"/>
      <c r="D306" s="65"/>
      <c r="E306" s="87"/>
      <c r="F306" s="87"/>
      <c r="G306" s="65"/>
      <c r="H306" s="65"/>
      <c r="I306" s="65"/>
      <c r="J306" s="65"/>
      <c r="K306" s="65"/>
      <c r="L306" s="65"/>
      <c r="M306" s="89"/>
      <c r="N306" s="90"/>
      <c r="O306" s="42" t="b">
        <v>0</v>
      </c>
      <c r="P306" s="44"/>
      <c r="Q306" s="34"/>
      <c r="R306" s="34"/>
      <c r="S306" s="34"/>
      <c r="T306" s="34"/>
    </row>
    <row r="307" ht="15.75" hidden="1" customHeight="1">
      <c r="B307" s="86"/>
      <c r="C307" s="65"/>
      <c r="D307" s="65"/>
      <c r="E307" s="87"/>
      <c r="F307" s="88"/>
      <c r="G307" s="65"/>
      <c r="H307" s="65"/>
      <c r="I307" s="65"/>
      <c r="J307" s="65"/>
      <c r="K307" s="65"/>
      <c r="L307" s="65"/>
      <c r="M307" s="89"/>
      <c r="N307" s="90"/>
      <c r="O307" s="42" t="b">
        <v>0</v>
      </c>
      <c r="P307" s="44"/>
      <c r="Q307" s="34"/>
      <c r="R307" s="34"/>
      <c r="S307" s="34"/>
      <c r="T307" s="34"/>
    </row>
    <row r="308" ht="15.75" hidden="1" customHeight="1">
      <c r="B308" s="86"/>
      <c r="C308" s="65"/>
      <c r="D308" s="65"/>
      <c r="E308" s="87"/>
      <c r="F308" s="88"/>
      <c r="G308" s="65"/>
      <c r="H308" s="65"/>
      <c r="I308" s="65"/>
      <c r="J308" s="65"/>
      <c r="K308" s="65"/>
      <c r="L308" s="65"/>
      <c r="M308" s="89"/>
      <c r="N308" s="90"/>
      <c r="O308" s="42" t="b">
        <v>0</v>
      </c>
      <c r="P308" s="44"/>
      <c r="Q308" s="34"/>
      <c r="R308" s="34"/>
      <c r="S308" s="34"/>
      <c r="T308" s="34"/>
    </row>
    <row r="309" ht="15.75" hidden="1" customHeight="1">
      <c r="B309" s="86"/>
      <c r="C309" s="65"/>
      <c r="D309" s="65"/>
      <c r="E309" s="87"/>
      <c r="F309" s="88"/>
      <c r="G309" s="65"/>
      <c r="H309" s="65"/>
      <c r="I309" s="65"/>
      <c r="J309" s="65"/>
      <c r="K309" s="65"/>
      <c r="L309" s="65"/>
      <c r="M309" s="89"/>
      <c r="N309" s="90"/>
      <c r="O309" s="42" t="b">
        <v>0</v>
      </c>
      <c r="P309" s="44"/>
      <c r="Q309" s="34"/>
      <c r="R309" s="34"/>
      <c r="S309" s="34"/>
      <c r="T309" s="35"/>
    </row>
    <row r="310" ht="15.75" hidden="1" customHeight="1">
      <c r="B310" s="86"/>
      <c r="C310" s="65"/>
      <c r="D310" s="65"/>
      <c r="E310" s="87"/>
      <c r="F310" s="88"/>
      <c r="G310" s="65"/>
      <c r="H310" s="65"/>
      <c r="I310" s="65"/>
      <c r="J310" s="65"/>
      <c r="K310" s="65"/>
      <c r="L310" s="65"/>
      <c r="M310" s="89"/>
      <c r="N310" s="90"/>
      <c r="O310" s="42" t="b">
        <v>0</v>
      </c>
      <c r="P310" s="44"/>
      <c r="Q310" s="34"/>
      <c r="R310" s="34"/>
      <c r="S310" s="34"/>
      <c r="T310" s="34"/>
    </row>
    <row r="311" ht="15.75" hidden="1" customHeight="1">
      <c r="B311" s="86"/>
      <c r="C311" s="65"/>
      <c r="D311" s="65"/>
      <c r="E311" s="87"/>
      <c r="F311" s="88"/>
      <c r="G311" s="65"/>
      <c r="H311" s="65"/>
      <c r="I311" s="65"/>
      <c r="J311" s="65"/>
      <c r="K311" s="65"/>
      <c r="L311" s="65"/>
      <c r="M311" s="89"/>
      <c r="N311" s="90"/>
      <c r="O311" s="42" t="b">
        <v>0</v>
      </c>
      <c r="P311" s="44"/>
      <c r="Q311" s="34"/>
      <c r="R311" s="34"/>
      <c r="S311" s="34"/>
      <c r="T311" s="34"/>
    </row>
    <row r="312" ht="15.75" hidden="1" customHeight="1">
      <c r="B312" s="86"/>
      <c r="C312" s="65"/>
      <c r="D312" s="65"/>
      <c r="E312" s="87"/>
      <c r="F312" s="88"/>
      <c r="G312" s="65"/>
      <c r="H312" s="65"/>
      <c r="I312" s="65"/>
      <c r="J312" s="65"/>
      <c r="K312" s="65"/>
      <c r="L312" s="65"/>
      <c r="M312" s="89"/>
      <c r="N312" s="90"/>
      <c r="O312" s="42" t="b">
        <v>0</v>
      </c>
      <c r="P312" s="44"/>
      <c r="Q312" s="34"/>
      <c r="R312" s="34"/>
      <c r="S312" s="34"/>
      <c r="T312" s="34"/>
    </row>
    <row r="313" ht="15.75" hidden="1" customHeight="1">
      <c r="B313" s="86"/>
      <c r="C313" s="65"/>
      <c r="D313" s="65"/>
      <c r="E313" s="87"/>
      <c r="F313" s="88"/>
      <c r="G313" s="65"/>
      <c r="H313" s="65"/>
      <c r="I313" s="65"/>
      <c r="J313" s="65"/>
      <c r="K313" s="65"/>
      <c r="L313" s="65"/>
      <c r="M313" s="89"/>
      <c r="N313" s="90"/>
      <c r="O313" s="42" t="b">
        <v>0</v>
      </c>
      <c r="P313" s="44"/>
      <c r="Q313" s="34"/>
      <c r="R313" s="34"/>
      <c r="S313" s="34"/>
      <c r="T313" s="34"/>
    </row>
    <row r="314" ht="15.75" hidden="1" customHeight="1">
      <c r="B314" s="86"/>
      <c r="C314" s="65"/>
      <c r="D314" s="65"/>
      <c r="E314" s="87"/>
      <c r="F314" s="88"/>
      <c r="G314" s="65"/>
      <c r="H314" s="65"/>
      <c r="I314" s="65"/>
      <c r="J314" s="65"/>
      <c r="K314" s="65"/>
      <c r="L314" s="65"/>
      <c r="M314" s="89"/>
      <c r="N314" s="90"/>
      <c r="O314" s="42" t="b">
        <v>0</v>
      </c>
      <c r="P314" s="44"/>
      <c r="Q314" s="34"/>
      <c r="R314" s="34"/>
      <c r="S314" s="34"/>
      <c r="T314" s="34"/>
    </row>
    <row r="315" ht="15.75" hidden="1" customHeight="1">
      <c r="B315" s="86"/>
      <c r="C315" s="65"/>
      <c r="D315" s="65"/>
      <c r="E315" s="87"/>
      <c r="F315" s="88"/>
      <c r="G315" s="65"/>
      <c r="H315" s="65"/>
      <c r="I315" s="65"/>
      <c r="J315" s="65"/>
      <c r="K315" s="65"/>
      <c r="L315" s="65"/>
      <c r="M315" s="89"/>
      <c r="N315" s="90"/>
      <c r="O315" s="42" t="b">
        <v>0</v>
      </c>
      <c r="P315" s="44"/>
      <c r="Q315" s="34"/>
      <c r="R315" s="34"/>
      <c r="S315" s="34"/>
      <c r="T315" s="34"/>
    </row>
    <row r="316" ht="15.75" hidden="1" customHeight="1">
      <c r="B316" s="86"/>
      <c r="C316" s="65"/>
      <c r="D316" s="65"/>
      <c r="E316" s="87"/>
      <c r="F316" s="88"/>
      <c r="G316" s="65"/>
      <c r="H316" s="65"/>
      <c r="I316" s="65"/>
      <c r="J316" s="65"/>
      <c r="K316" s="65"/>
      <c r="L316" s="65"/>
      <c r="M316" s="89"/>
      <c r="N316" s="90"/>
      <c r="O316" s="42" t="b">
        <v>0</v>
      </c>
      <c r="P316" s="44"/>
      <c r="Q316" s="34"/>
      <c r="R316" s="33"/>
      <c r="S316" s="34"/>
      <c r="T316" s="35"/>
    </row>
    <row r="317" ht="15.75" hidden="1" customHeight="1">
      <c r="B317" s="86"/>
      <c r="C317" s="65"/>
      <c r="D317" s="65"/>
      <c r="E317" s="87"/>
      <c r="F317" s="88"/>
      <c r="G317" s="65"/>
      <c r="H317" s="65"/>
      <c r="I317" s="65"/>
      <c r="J317" s="65"/>
      <c r="K317" s="65"/>
      <c r="L317" s="65"/>
      <c r="M317" s="89"/>
      <c r="N317" s="90"/>
      <c r="O317" s="42" t="b">
        <v>0</v>
      </c>
      <c r="P317" s="44"/>
      <c r="Q317" s="34"/>
      <c r="R317" s="33"/>
      <c r="S317" s="34"/>
      <c r="T317" s="34"/>
    </row>
    <row r="318" ht="15.75" hidden="1" customHeight="1">
      <c r="B318" s="86"/>
      <c r="C318" s="65"/>
      <c r="D318" s="65"/>
      <c r="E318" s="87"/>
      <c r="F318" s="88"/>
      <c r="G318" s="65"/>
      <c r="H318" s="65"/>
      <c r="I318" s="65"/>
      <c r="J318" s="65"/>
      <c r="K318" s="65"/>
      <c r="L318" s="65"/>
      <c r="M318" s="89"/>
      <c r="N318" s="90"/>
      <c r="O318" s="42" t="b">
        <v>0</v>
      </c>
      <c r="P318" s="44"/>
      <c r="Q318" s="34"/>
      <c r="R318" s="34"/>
      <c r="S318" s="34"/>
      <c r="T318" s="34"/>
    </row>
    <row r="319" ht="15.75" hidden="1" customHeight="1">
      <c r="B319" s="86"/>
      <c r="C319" s="65"/>
      <c r="D319" s="65"/>
      <c r="E319" s="87"/>
      <c r="F319" s="88"/>
      <c r="G319" s="65"/>
      <c r="H319" s="65"/>
      <c r="I319" s="65"/>
      <c r="J319" s="65"/>
      <c r="K319" s="65"/>
      <c r="L319" s="65"/>
      <c r="M319" s="89"/>
      <c r="N319" s="90"/>
      <c r="O319" s="42" t="b">
        <v>0</v>
      </c>
      <c r="P319" s="44"/>
      <c r="Q319" s="34"/>
      <c r="R319" s="34"/>
      <c r="S319" s="34"/>
      <c r="T319" s="34"/>
    </row>
    <row r="320" ht="15.0" hidden="1" customHeight="1">
      <c r="B320" s="86"/>
      <c r="C320" s="65"/>
      <c r="D320" s="65"/>
      <c r="E320" s="87"/>
      <c r="F320" s="88"/>
      <c r="G320" s="65"/>
      <c r="H320" s="65"/>
      <c r="I320" s="65"/>
      <c r="J320" s="65"/>
      <c r="K320" s="65"/>
      <c r="L320" s="65"/>
      <c r="M320" s="89"/>
      <c r="N320" s="90"/>
      <c r="O320" s="42" t="b">
        <v>0</v>
      </c>
      <c r="P320" s="44"/>
      <c r="Q320" s="34"/>
      <c r="R320" s="34"/>
      <c r="S320" s="34"/>
      <c r="T320" s="34"/>
    </row>
    <row r="321" ht="15.75" hidden="1" customHeight="1">
      <c r="B321" s="86"/>
      <c r="C321" s="65"/>
      <c r="D321" s="65"/>
      <c r="E321" s="87"/>
      <c r="F321" s="88"/>
      <c r="G321" s="65"/>
      <c r="H321" s="65"/>
      <c r="I321" s="65"/>
      <c r="J321" s="65"/>
      <c r="K321" s="65"/>
      <c r="L321" s="65"/>
      <c r="M321" s="89"/>
      <c r="N321" s="90"/>
      <c r="O321" s="42" t="b">
        <v>0</v>
      </c>
      <c r="P321" s="44"/>
      <c r="Q321" s="34"/>
      <c r="R321" s="34"/>
      <c r="S321" s="34"/>
      <c r="T321" s="34"/>
    </row>
    <row r="322" ht="15.75" hidden="1" customHeight="1">
      <c r="B322" s="86"/>
      <c r="C322" s="65"/>
      <c r="D322" s="65"/>
      <c r="E322" s="87"/>
      <c r="F322" s="88"/>
      <c r="G322" s="65"/>
      <c r="H322" s="65"/>
      <c r="I322" s="65"/>
      <c r="J322" s="65"/>
      <c r="K322" s="65"/>
      <c r="L322" s="65"/>
      <c r="M322" s="89"/>
      <c r="N322" s="90"/>
      <c r="O322" s="42" t="b">
        <v>0</v>
      </c>
      <c r="P322" s="44"/>
      <c r="Q322" s="34"/>
      <c r="R322" s="34"/>
      <c r="S322" s="34"/>
      <c r="T322" s="34"/>
    </row>
    <row r="323" ht="15.75" hidden="1" customHeight="1">
      <c r="B323" s="86"/>
      <c r="C323" s="65"/>
      <c r="D323" s="65"/>
      <c r="E323" s="87"/>
      <c r="F323" s="88"/>
      <c r="G323" s="65"/>
      <c r="H323" s="65"/>
      <c r="I323" s="65"/>
      <c r="J323" s="65"/>
      <c r="K323" s="65"/>
      <c r="L323" s="65"/>
      <c r="M323" s="89"/>
      <c r="N323" s="90"/>
      <c r="O323" s="42" t="b">
        <v>0</v>
      </c>
      <c r="P323" s="44"/>
      <c r="Q323" s="34"/>
      <c r="R323" s="34"/>
      <c r="S323" s="34"/>
      <c r="T323" s="34"/>
    </row>
    <row r="324" ht="15.75" hidden="1" customHeight="1">
      <c r="B324" s="86"/>
      <c r="C324" s="65"/>
      <c r="D324" s="65"/>
      <c r="E324" s="87"/>
      <c r="F324" s="88"/>
      <c r="G324" s="65"/>
      <c r="H324" s="65"/>
      <c r="I324" s="65"/>
      <c r="J324" s="65"/>
      <c r="K324" s="65"/>
      <c r="L324" s="65"/>
      <c r="M324" s="89"/>
      <c r="N324" s="90"/>
      <c r="O324" s="42" t="b">
        <v>0</v>
      </c>
      <c r="P324" s="44"/>
      <c r="Q324" s="34"/>
      <c r="R324" s="34"/>
      <c r="S324" s="34"/>
      <c r="T324" s="34"/>
    </row>
    <row r="325" ht="15.75" hidden="1" customHeight="1">
      <c r="B325" s="86"/>
      <c r="C325" s="65"/>
      <c r="D325" s="65"/>
      <c r="E325" s="87"/>
      <c r="F325" s="88"/>
      <c r="G325" s="65"/>
      <c r="H325" s="65"/>
      <c r="I325" s="65"/>
      <c r="J325" s="65"/>
      <c r="K325" s="65"/>
      <c r="L325" s="65"/>
      <c r="M325" s="89"/>
      <c r="N325" s="90"/>
      <c r="O325" s="42" t="b">
        <v>0</v>
      </c>
      <c r="P325" s="44"/>
      <c r="Q325" s="34"/>
      <c r="R325" s="34"/>
      <c r="S325" s="34"/>
      <c r="T325" s="34"/>
    </row>
    <row r="326" ht="15.75" hidden="1" customHeight="1">
      <c r="B326" s="86"/>
      <c r="C326" s="65"/>
      <c r="D326" s="65"/>
      <c r="E326" s="87"/>
      <c r="F326" s="88"/>
      <c r="G326" s="65"/>
      <c r="H326" s="65"/>
      <c r="I326" s="65"/>
      <c r="J326" s="65"/>
      <c r="K326" s="65"/>
      <c r="L326" s="65"/>
      <c r="M326" s="89"/>
      <c r="N326" s="90"/>
      <c r="O326" s="42" t="b">
        <v>0</v>
      </c>
      <c r="P326" s="44"/>
      <c r="Q326" s="34"/>
      <c r="R326" s="34"/>
      <c r="S326" s="34"/>
      <c r="T326" s="34"/>
    </row>
    <row r="327" ht="15.75" hidden="1" customHeight="1">
      <c r="B327" s="86"/>
      <c r="C327" s="65"/>
      <c r="D327" s="65"/>
      <c r="E327" s="87"/>
      <c r="F327" s="88"/>
      <c r="G327" s="65"/>
      <c r="H327" s="65"/>
      <c r="I327" s="65"/>
      <c r="J327" s="65"/>
      <c r="K327" s="65"/>
      <c r="L327" s="65"/>
      <c r="M327" s="89"/>
      <c r="N327" s="90"/>
      <c r="O327" s="42" t="b">
        <v>0</v>
      </c>
      <c r="P327" s="44"/>
      <c r="Q327" s="34"/>
      <c r="R327" s="34"/>
      <c r="S327" s="34"/>
      <c r="T327" s="34"/>
    </row>
    <row r="328" ht="15.75" hidden="1" customHeight="1">
      <c r="B328" s="86"/>
      <c r="C328" s="65"/>
      <c r="D328" s="65"/>
      <c r="E328" s="87"/>
      <c r="F328" s="88"/>
      <c r="G328" s="65"/>
      <c r="H328" s="65"/>
      <c r="I328" s="65"/>
      <c r="J328" s="65"/>
      <c r="K328" s="65"/>
      <c r="L328" s="65"/>
      <c r="M328" s="89"/>
      <c r="N328" s="90"/>
      <c r="O328" s="42" t="b">
        <v>0</v>
      </c>
      <c r="P328" s="44"/>
      <c r="Q328" s="34"/>
      <c r="R328" s="33"/>
      <c r="S328" s="34"/>
      <c r="T328" s="34"/>
    </row>
    <row r="329" ht="15.75" hidden="1" customHeight="1">
      <c r="B329" s="86"/>
      <c r="C329" s="65"/>
      <c r="D329" s="65"/>
      <c r="E329" s="87"/>
      <c r="F329" s="88"/>
      <c r="G329" s="65"/>
      <c r="H329" s="65"/>
      <c r="I329" s="65"/>
      <c r="J329" s="65"/>
      <c r="K329" s="65"/>
      <c r="L329" s="65"/>
      <c r="M329" s="89"/>
      <c r="N329" s="90"/>
      <c r="O329" s="42" t="b">
        <v>0</v>
      </c>
      <c r="P329" s="44"/>
      <c r="Q329" s="34"/>
      <c r="R329" s="33"/>
      <c r="S329" s="34"/>
      <c r="T329" s="34"/>
    </row>
    <row r="330" ht="15.75" hidden="1" customHeight="1">
      <c r="B330" s="86"/>
      <c r="C330" s="65"/>
      <c r="D330" s="65"/>
      <c r="E330" s="87"/>
      <c r="F330" s="88"/>
      <c r="G330" s="65"/>
      <c r="H330" s="65"/>
      <c r="I330" s="65"/>
      <c r="J330" s="65"/>
      <c r="K330" s="65"/>
      <c r="L330" s="65"/>
      <c r="M330" s="89"/>
      <c r="N330" s="90"/>
      <c r="O330" s="42" t="b">
        <v>0</v>
      </c>
      <c r="P330" s="44"/>
      <c r="Q330" s="34"/>
      <c r="R330" s="34"/>
      <c r="S330" s="34"/>
      <c r="T330" s="34"/>
    </row>
    <row r="331" ht="15.75" hidden="1" customHeight="1">
      <c r="B331" s="86"/>
      <c r="C331" s="65"/>
      <c r="D331" s="65"/>
      <c r="E331" s="87"/>
      <c r="F331" s="88"/>
      <c r="G331" s="65"/>
      <c r="H331" s="65"/>
      <c r="I331" s="65"/>
      <c r="J331" s="65"/>
      <c r="K331" s="65"/>
      <c r="L331" s="65"/>
      <c r="M331" s="89"/>
      <c r="N331" s="90"/>
      <c r="O331" s="42" t="b">
        <v>0</v>
      </c>
      <c r="P331" s="44"/>
      <c r="Q331" s="34"/>
      <c r="R331" s="34"/>
      <c r="S331" s="34"/>
      <c r="T331" s="34"/>
    </row>
    <row r="332" ht="15.75" hidden="1" customHeight="1">
      <c r="B332" s="86"/>
      <c r="C332" s="65"/>
      <c r="D332" s="65"/>
      <c r="E332" s="87"/>
      <c r="F332" s="88"/>
      <c r="G332" s="65"/>
      <c r="H332" s="65"/>
      <c r="I332" s="65"/>
      <c r="J332" s="65"/>
      <c r="K332" s="65"/>
      <c r="L332" s="65"/>
      <c r="M332" s="89"/>
      <c r="N332" s="90"/>
      <c r="O332" s="42" t="b">
        <v>0</v>
      </c>
      <c r="P332" s="44"/>
      <c r="Q332" s="34"/>
      <c r="R332" s="34"/>
      <c r="S332" s="34"/>
      <c r="T332" s="34"/>
    </row>
    <row r="333" ht="15.75" hidden="1" customHeight="1">
      <c r="B333" s="86"/>
      <c r="C333" s="65"/>
      <c r="D333" s="65"/>
      <c r="E333" s="87"/>
      <c r="F333" s="88"/>
      <c r="G333" s="65"/>
      <c r="H333" s="65"/>
      <c r="I333" s="65"/>
      <c r="J333" s="65"/>
      <c r="K333" s="65"/>
      <c r="L333" s="65"/>
      <c r="M333" s="89"/>
      <c r="N333" s="90"/>
      <c r="O333" s="42" t="b">
        <v>0</v>
      </c>
      <c r="P333" s="44"/>
      <c r="Q333" s="34"/>
      <c r="R333" s="34"/>
      <c r="S333" s="34"/>
      <c r="T333" s="34"/>
    </row>
    <row r="334" ht="15.75" hidden="1" customHeight="1">
      <c r="B334" s="86"/>
      <c r="C334" s="65"/>
      <c r="D334" s="65"/>
      <c r="E334" s="87"/>
      <c r="F334" s="88"/>
      <c r="G334" s="65"/>
      <c r="H334" s="65"/>
      <c r="I334" s="65"/>
      <c r="J334" s="65"/>
      <c r="K334" s="65"/>
      <c r="L334" s="65"/>
      <c r="M334" s="89"/>
      <c r="N334" s="90"/>
      <c r="O334" s="42" t="b">
        <v>0</v>
      </c>
      <c r="P334" s="44"/>
      <c r="Q334" s="34"/>
      <c r="R334" s="34"/>
      <c r="S334" s="34"/>
      <c r="T334" s="34"/>
    </row>
    <row r="335" ht="15.75" hidden="1" customHeight="1">
      <c r="B335" s="86"/>
      <c r="C335" s="65"/>
      <c r="D335" s="65"/>
      <c r="E335" s="87"/>
      <c r="F335" s="88"/>
      <c r="G335" s="65"/>
      <c r="H335" s="65"/>
      <c r="I335" s="65"/>
      <c r="J335" s="65"/>
      <c r="K335" s="65"/>
      <c r="L335" s="65"/>
      <c r="M335" s="89"/>
      <c r="N335" s="90"/>
      <c r="O335" s="42" t="b">
        <v>0</v>
      </c>
      <c r="P335" s="44"/>
      <c r="Q335" s="34"/>
      <c r="R335" s="34"/>
      <c r="S335" s="34"/>
      <c r="T335" s="34"/>
    </row>
    <row r="336" ht="15.75" hidden="1" customHeight="1">
      <c r="B336" s="86"/>
      <c r="C336" s="65"/>
      <c r="D336" s="65"/>
      <c r="E336" s="87"/>
      <c r="F336" s="88"/>
      <c r="G336" s="65"/>
      <c r="H336" s="65"/>
      <c r="I336" s="65"/>
      <c r="J336" s="65"/>
      <c r="K336" s="65"/>
      <c r="L336" s="65"/>
      <c r="M336" s="89"/>
      <c r="N336" s="90"/>
      <c r="O336" s="42" t="b">
        <v>0</v>
      </c>
      <c r="P336" s="44"/>
      <c r="Q336" s="34"/>
      <c r="R336" s="34"/>
      <c r="S336" s="34"/>
      <c r="T336" s="34"/>
    </row>
    <row r="337" ht="15.75" hidden="1" customHeight="1">
      <c r="B337" s="86"/>
      <c r="C337" s="65"/>
      <c r="D337" s="65"/>
      <c r="E337" s="87"/>
      <c r="F337" s="88"/>
      <c r="G337" s="65"/>
      <c r="H337" s="65"/>
      <c r="I337" s="65"/>
      <c r="J337" s="65"/>
      <c r="K337" s="65"/>
      <c r="L337" s="65"/>
      <c r="M337" s="89"/>
      <c r="N337" s="90"/>
      <c r="O337" s="42" t="b">
        <v>0</v>
      </c>
      <c r="P337" s="44"/>
      <c r="Q337" s="34"/>
      <c r="R337" s="34"/>
      <c r="S337" s="34"/>
      <c r="T337" s="34"/>
    </row>
    <row r="338" ht="15.75" hidden="1" customHeight="1">
      <c r="B338" s="86"/>
      <c r="C338" s="65"/>
      <c r="D338" s="65"/>
      <c r="E338" s="87"/>
      <c r="F338" s="88"/>
      <c r="G338" s="65"/>
      <c r="H338" s="65"/>
      <c r="I338" s="65"/>
      <c r="J338" s="65"/>
      <c r="K338" s="65"/>
      <c r="L338" s="65"/>
      <c r="M338" s="89"/>
      <c r="N338" s="90"/>
      <c r="O338" s="42" t="b">
        <v>0</v>
      </c>
      <c r="P338" s="44"/>
      <c r="Q338" s="34"/>
      <c r="R338" s="34"/>
      <c r="S338" s="34"/>
      <c r="T338" s="34"/>
    </row>
    <row r="339" ht="15.75" hidden="1" customHeight="1">
      <c r="B339" s="86"/>
      <c r="C339" s="65"/>
      <c r="D339" s="65"/>
      <c r="E339" s="87"/>
      <c r="F339" s="88"/>
      <c r="G339" s="65"/>
      <c r="H339" s="65"/>
      <c r="I339" s="65"/>
      <c r="J339" s="65"/>
      <c r="K339" s="65"/>
      <c r="L339" s="65"/>
      <c r="M339" s="89"/>
      <c r="N339" s="90"/>
      <c r="O339" s="42" t="b">
        <v>0</v>
      </c>
      <c r="P339" s="44"/>
      <c r="Q339" s="34"/>
      <c r="R339" s="34"/>
      <c r="S339" s="34"/>
      <c r="T339" s="34"/>
    </row>
    <row r="340" ht="15.75" hidden="1" customHeight="1">
      <c r="B340" s="86"/>
      <c r="C340" s="65"/>
      <c r="D340" s="65"/>
      <c r="E340" s="87"/>
      <c r="F340" s="88"/>
      <c r="G340" s="65"/>
      <c r="H340" s="65"/>
      <c r="I340" s="65"/>
      <c r="J340" s="65"/>
      <c r="K340" s="65"/>
      <c r="L340" s="65"/>
      <c r="M340" s="89"/>
      <c r="N340" s="90"/>
      <c r="O340" s="42" t="b">
        <v>0</v>
      </c>
      <c r="P340" s="44"/>
      <c r="Q340" s="34"/>
      <c r="R340" s="34"/>
      <c r="S340" s="34"/>
      <c r="T340" s="34"/>
    </row>
    <row r="341" ht="15.75" hidden="1" customHeight="1">
      <c r="B341" s="86"/>
      <c r="C341" s="98"/>
      <c r="D341" s="65"/>
      <c r="E341" s="87"/>
      <c r="F341" s="88"/>
      <c r="G341" s="65"/>
      <c r="H341" s="65"/>
      <c r="I341" s="65"/>
      <c r="J341" s="65"/>
      <c r="K341" s="65"/>
      <c r="L341" s="65"/>
      <c r="M341" s="89"/>
      <c r="N341" s="90"/>
      <c r="O341" s="42" t="b">
        <v>0</v>
      </c>
      <c r="P341" s="44"/>
      <c r="Q341" s="34"/>
      <c r="R341" s="34"/>
      <c r="S341" s="34"/>
      <c r="T341" s="34"/>
    </row>
    <row r="342" ht="15.75" hidden="1" customHeight="1">
      <c r="B342" s="86"/>
      <c r="C342" s="98"/>
      <c r="D342" s="65"/>
      <c r="E342" s="87"/>
      <c r="F342" s="88"/>
      <c r="G342" s="65"/>
      <c r="H342" s="65"/>
      <c r="I342" s="65"/>
      <c r="J342" s="65"/>
      <c r="K342" s="65"/>
      <c r="L342" s="65"/>
      <c r="M342" s="89"/>
      <c r="N342" s="90"/>
      <c r="O342" s="42" t="b">
        <v>0</v>
      </c>
      <c r="P342" s="44"/>
      <c r="Q342" s="34"/>
      <c r="R342" s="34"/>
      <c r="S342" s="34"/>
      <c r="T342" s="35"/>
    </row>
    <row r="343" ht="15.75" hidden="1" customHeight="1">
      <c r="B343" s="86"/>
      <c r="C343" s="65"/>
      <c r="D343" s="65"/>
      <c r="E343" s="87"/>
      <c r="F343" s="88"/>
      <c r="G343" s="65"/>
      <c r="H343" s="65"/>
      <c r="I343" s="65"/>
      <c r="J343" s="65"/>
      <c r="K343" s="65"/>
      <c r="L343" s="65"/>
      <c r="M343" s="89"/>
      <c r="N343" s="90"/>
      <c r="O343" s="42" t="b">
        <v>0</v>
      </c>
      <c r="P343" s="44"/>
      <c r="Q343" s="34"/>
      <c r="R343" s="34"/>
      <c r="S343" s="34"/>
      <c r="T343" s="35"/>
    </row>
    <row r="344" ht="15.75" hidden="1" customHeight="1">
      <c r="B344" s="86"/>
      <c r="C344" s="65"/>
      <c r="D344" s="65"/>
      <c r="E344" s="87"/>
      <c r="F344" s="88"/>
      <c r="G344" s="65"/>
      <c r="H344" s="65"/>
      <c r="I344" s="65"/>
      <c r="J344" s="65"/>
      <c r="K344" s="65"/>
      <c r="L344" s="65"/>
      <c r="M344" s="89"/>
      <c r="N344" s="90"/>
      <c r="O344" s="42" t="b">
        <v>0</v>
      </c>
      <c r="P344" s="44"/>
      <c r="Q344" s="34"/>
      <c r="R344" s="34"/>
      <c r="S344" s="34"/>
      <c r="T344" s="34"/>
    </row>
    <row r="345" ht="15.75" hidden="1" customHeight="1">
      <c r="B345" s="86"/>
      <c r="C345" s="65"/>
      <c r="D345" s="65"/>
      <c r="E345" s="87"/>
      <c r="F345" s="88"/>
      <c r="G345" s="65"/>
      <c r="H345" s="65"/>
      <c r="I345" s="65"/>
      <c r="J345" s="65"/>
      <c r="K345" s="65"/>
      <c r="L345" s="65"/>
      <c r="M345" s="89"/>
      <c r="N345" s="90"/>
      <c r="O345" s="42" t="b">
        <v>0</v>
      </c>
      <c r="P345" s="44"/>
      <c r="Q345" s="34"/>
      <c r="R345" s="35"/>
      <c r="S345" s="34"/>
      <c r="T345" s="34"/>
    </row>
    <row r="346" ht="15.75" hidden="1" customHeight="1">
      <c r="B346" s="86"/>
      <c r="C346" s="65"/>
      <c r="D346" s="65"/>
      <c r="E346" s="87"/>
      <c r="F346" s="88"/>
      <c r="G346" s="65"/>
      <c r="H346" s="65"/>
      <c r="I346" s="65"/>
      <c r="J346" s="65"/>
      <c r="K346" s="65"/>
      <c r="L346" s="65"/>
      <c r="M346" s="89"/>
      <c r="N346" s="90"/>
      <c r="O346" s="42" t="b">
        <v>0</v>
      </c>
      <c r="P346" s="44"/>
      <c r="Q346" s="34"/>
      <c r="R346" s="34"/>
      <c r="S346" s="34"/>
      <c r="T346" s="34"/>
    </row>
    <row r="347" ht="15.75" hidden="1" customHeight="1">
      <c r="B347" s="86"/>
      <c r="C347" s="65"/>
      <c r="D347" s="65"/>
      <c r="E347" s="87"/>
      <c r="F347" s="88"/>
      <c r="G347" s="65"/>
      <c r="H347" s="65"/>
      <c r="I347" s="65"/>
      <c r="J347" s="65"/>
      <c r="K347" s="65"/>
      <c r="L347" s="65"/>
      <c r="M347" s="89"/>
      <c r="N347" s="90"/>
      <c r="O347" s="42" t="b">
        <v>0</v>
      </c>
      <c r="P347" s="44"/>
      <c r="Q347" s="34"/>
      <c r="R347" s="34"/>
      <c r="S347" s="34"/>
      <c r="T347" s="34"/>
    </row>
    <row r="348" ht="15.75" hidden="1" customHeight="1">
      <c r="B348" s="86"/>
      <c r="C348" s="65"/>
      <c r="D348" s="65"/>
      <c r="E348" s="87"/>
      <c r="F348" s="88"/>
      <c r="G348" s="65"/>
      <c r="H348" s="65"/>
      <c r="I348" s="65"/>
      <c r="J348" s="65"/>
      <c r="K348" s="65"/>
      <c r="L348" s="65"/>
      <c r="M348" s="89"/>
      <c r="N348" s="90"/>
      <c r="O348" s="42" t="b">
        <v>0</v>
      </c>
      <c r="P348" s="44"/>
      <c r="Q348" s="34"/>
      <c r="R348" s="34"/>
      <c r="S348" s="34"/>
      <c r="T348" s="34"/>
    </row>
    <row r="349" ht="15.75" hidden="1" customHeight="1">
      <c r="B349" s="86"/>
      <c r="C349" s="65"/>
      <c r="D349" s="65"/>
      <c r="E349" s="87"/>
      <c r="F349" s="88"/>
      <c r="G349" s="65"/>
      <c r="H349" s="65"/>
      <c r="I349" s="65"/>
      <c r="J349" s="65"/>
      <c r="K349" s="65"/>
      <c r="L349" s="65"/>
      <c r="M349" s="89"/>
      <c r="N349" s="90"/>
      <c r="O349" s="42" t="b">
        <v>0</v>
      </c>
      <c r="P349" s="44"/>
      <c r="Q349" s="34"/>
      <c r="R349" s="34"/>
      <c r="S349" s="34"/>
      <c r="T349" s="34"/>
    </row>
    <row r="350" ht="15.75" hidden="1" customHeight="1">
      <c r="B350" s="86"/>
      <c r="C350" s="65"/>
      <c r="D350" s="65"/>
      <c r="E350" s="87"/>
      <c r="F350" s="88"/>
      <c r="G350" s="65"/>
      <c r="H350" s="65"/>
      <c r="I350" s="65"/>
      <c r="J350" s="65"/>
      <c r="K350" s="65"/>
      <c r="L350" s="65"/>
      <c r="M350" s="89"/>
      <c r="N350" s="90"/>
      <c r="O350" s="42" t="b">
        <v>0</v>
      </c>
      <c r="P350" s="44"/>
      <c r="Q350" s="34"/>
      <c r="R350" s="34"/>
      <c r="S350" s="34"/>
      <c r="T350" s="34"/>
    </row>
    <row r="351" ht="15.75" hidden="1" customHeight="1">
      <c r="B351" s="86"/>
      <c r="C351" s="65"/>
      <c r="D351" s="65"/>
      <c r="E351" s="87"/>
      <c r="F351" s="88"/>
      <c r="G351" s="65"/>
      <c r="H351" s="65"/>
      <c r="I351" s="65"/>
      <c r="J351" s="65"/>
      <c r="K351" s="65"/>
      <c r="L351" s="65"/>
      <c r="M351" s="89"/>
      <c r="N351" s="90"/>
      <c r="O351" s="42" t="b">
        <v>0</v>
      </c>
      <c r="P351" s="44"/>
      <c r="Q351" s="34"/>
      <c r="R351" s="34"/>
      <c r="S351" s="34"/>
      <c r="T351" s="34"/>
    </row>
    <row r="352" ht="15.75" hidden="1" customHeight="1">
      <c r="B352" s="86"/>
      <c r="C352" s="65"/>
      <c r="D352" s="65"/>
      <c r="E352" s="87"/>
      <c r="F352" s="88"/>
      <c r="G352" s="65"/>
      <c r="H352" s="65"/>
      <c r="I352" s="65"/>
      <c r="J352" s="65"/>
      <c r="K352" s="65"/>
      <c r="L352" s="65"/>
      <c r="M352" s="89"/>
      <c r="N352" s="90"/>
      <c r="O352" s="42" t="b">
        <v>0</v>
      </c>
      <c r="P352" s="44"/>
      <c r="Q352" s="34"/>
      <c r="R352" s="34"/>
      <c r="S352" s="34"/>
      <c r="T352" s="34"/>
    </row>
    <row r="353" ht="15.75" hidden="1" customHeight="1">
      <c r="B353" s="86"/>
      <c r="C353" s="65"/>
      <c r="D353" s="65"/>
      <c r="E353" s="87"/>
      <c r="F353" s="88"/>
      <c r="G353" s="65"/>
      <c r="H353" s="65"/>
      <c r="I353" s="65"/>
      <c r="J353" s="65"/>
      <c r="K353" s="65"/>
      <c r="L353" s="65"/>
      <c r="M353" s="89"/>
      <c r="N353" s="90"/>
      <c r="O353" s="42" t="b">
        <v>0</v>
      </c>
      <c r="P353" s="44"/>
      <c r="Q353" s="34"/>
      <c r="R353" s="34"/>
      <c r="S353" s="34"/>
      <c r="T353" s="34"/>
    </row>
    <row r="354" ht="15.75" hidden="1" customHeight="1">
      <c r="B354" s="86"/>
      <c r="C354" s="65"/>
      <c r="D354" s="65"/>
      <c r="E354" s="87"/>
      <c r="F354" s="88"/>
      <c r="G354" s="65"/>
      <c r="H354" s="65"/>
      <c r="I354" s="65"/>
      <c r="J354" s="65"/>
      <c r="K354" s="65"/>
      <c r="L354" s="65"/>
      <c r="M354" s="89"/>
      <c r="N354" s="90"/>
      <c r="O354" s="42" t="b">
        <v>0</v>
      </c>
      <c r="P354" s="44"/>
      <c r="Q354" s="34"/>
      <c r="R354" s="34"/>
      <c r="S354" s="34"/>
      <c r="T354" s="34"/>
    </row>
    <row r="355" ht="15.75" hidden="1" customHeight="1">
      <c r="B355" s="86"/>
      <c r="C355" s="65"/>
      <c r="D355" s="65"/>
      <c r="E355" s="87"/>
      <c r="F355" s="88"/>
      <c r="G355" s="65"/>
      <c r="H355" s="65"/>
      <c r="I355" s="65"/>
      <c r="J355" s="65"/>
      <c r="K355" s="65"/>
      <c r="L355" s="65"/>
      <c r="M355" s="89"/>
      <c r="N355" s="90"/>
      <c r="O355" s="42" t="b">
        <v>0</v>
      </c>
      <c r="P355" s="44"/>
      <c r="Q355" s="34"/>
      <c r="R355" s="34"/>
      <c r="S355" s="34"/>
      <c r="T355" s="34"/>
    </row>
    <row r="356" ht="15.75" hidden="1" customHeight="1">
      <c r="B356" s="86"/>
      <c r="C356" s="65"/>
      <c r="D356" s="65"/>
      <c r="E356" s="87"/>
      <c r="F356" s="88"/>
      <c r="G356" s="65"/>
      <c r="H356" s="65"/>
      <c r="I356" s="65"/>
      <c r="J356" s="65"/>
      <c r="K356" s="65"/>
      <c r="L356" s="65"/>
      <c r="M356" s="89"/>
      <c r="N356" s="90"/>
      <c r="O356" s="42" t="b">
        <v>0</v>
      </c>
      <c r="P356" s="44"/>
      <c r="Q356" s="34"/>
      <c r="R356" s="34"/>
      <c r="S356" s="34"/>
      <c r="T356" s="34"/>
    </row>
    <row r="357" ht="15.75" hidden="1" customHeight="1">
      <c r="B357" s="86"/>
      <c r="C357" s="65"/>
      <c r="D357" s="65"/>
      <c r="E357" s="87"/>
      <c r="F357" s="88"/>
      <c r="G357" s="65"/>
      <c r="H357" s="65"/>
      <c r="I357" s="65"/>
      <c r="J357" s="65"/>
      <c r="K357" s="65"/>
      <c r="L357" s="65"/>
      <c r="M357" s="89"/>
      <c r="N357" s="90"/>
      <c r="O357" s="42" t="b">
        <v>0</v>
      </c>
      <c r="P357" s="44"/>
      <c r="Q357" s="34"/>
      <c r="R357" s="34"/>
      <c r="S357" s="34"/>
      <c r="T357" s="35"/>
    </row>
    <row r="358" ht="15.75" hidden="1" customHeight="1">
      <c r="B358" s="86"/>
      <c r="C358" s="65"/>
      <c r="D358" s="65"/>
      <c r="E358" s="87"/>
      <c r="F358" s="88"/>
      <c r="G358" s="65"/>
      <c r="H358" s="65"/>
      <c r="I358" s="65"/>
      <c r="J358" s="65"/>
      <c r="K358" s="65"/>
      <c r="L358" s="65"/>
      <c r="M358" s="89"/>
      <c r="N358" s="90"/>
      <c r="O358" s="42" t="b">
        <v>0</v>
      </c>
      <c r="P358" s="44"/>
      <c r="Q358" s="34"/>
      <c r="R358" s="34"/>
      <c r="S358" s="34"/>
      <c r="T358" s="34"/>
    </row>
    <row r="359" ht="15.75" hidden="1" customHeight="1">
      <c r="B359" s="86"/>
      <c r="C359" s="65"/>
      <c r="D359" s="65"/>
      <c r="E359" s="87"/>
      <c r="F359" s="88"/>
      <c r="G359" s="65"/>
      <c r="H359" s="65"/>
      <c r="I359" s="65"/>
      <c r="J359" s="65"/>
      <c r="K359" s="65"/>
      <c r="L359" s="65"/>
      <c r="M359" s="89"/>
      <c r="N359" s="90"/>
      <c r="O359" s="42" t="b">
        <v>0</v>
      </c>
      <c r="P359" s="44"/>
      <c r="Q359" s="34"/>
      <c r="R359" s="34"/>
      <c r="S359" s="34"/>
      <c r="T359" s="34"/>
    </row>
    <row r="360" ht="15.75" hidden="1" customHeight="1">
      <c r="B360" s="86"/>
      <c r="C360" s="65"/>
      <c r="D360" s="65"/>
      <c r="E360" s="87"/>
      <c r="F360" s="88"/>
      <c r="G360" s="65"/>
      <c r="H360" s="65"/>
      <c r="I360" s="65"/>
      <c r="J360" s="65"/>
      <c r="K360" s="65"/>
      <c r="L360" s="65"/>
      <c r="M360" s="89"/>
      <c r="N360" s="90"/>
      <c r="O360" s="42" t="b">
        <v>0</v>
      </c>
      <c r="P360" s="44"/>
      <c r="Q360" s="34"/>
      <c r="R360" s="34"/>
      <c r="S360" s="34"/>
      <c r="T360" s="34"/>
    </row>
    <row r="361" ht="15.75" hidden="1" customHeight="1">
      <c r="B361" s="86"/>
      <c r="C361" s="65"/>
      <c r="D361" s="65"/>
      <c r="E361" s="87"/>
      <c r="F361" s="88"/>
      <c r="G361" s="65"/>
      <c r="H361" s="65"/>
      <c r="I361" s="65"/>
      <c r="J361" s="65"/>
      <c r="K361" s="65"/>
      <c r="L361" s="65"/>
      <c r="M361" s="89"/>
      <c r="N361" s="90"/>
      <c r="O361" s="42" t="b">
        <v>0</v>
      </c>
      <c r="P361" s="44"/>
      <c r="Q361" s="34"/>
      <c r="R361" s="34"/>
      <c r="S361" s="34"/>
      <c r="T361" s="34"/>
    </row>
    <row r="362" ht="15.75" hidden="1" customHeight="1">
      <c r="B362" s="86"/>
      <c r="C362" s="65"/>
      <c r="D362" s="65"/>
      <c r="E362" s="87"/>
      <c r="F362" s="88"/>
      <c r="G362" s="65"/>
      <c r="H362" s="65"/>
      <c r="I362" s="65"/>
      <c r="J362" s="65"/>
      <c r="K362" s="65"/>
      <c r="L362" s="65"/>
      <c r="M362" s="89"/>
      <c r="N362" s="90"/>
      <c r="O362" s="42" t="b">
        <v>0</v>
      </c>
      <c r="P362" s="44"/>
      <c r="Q362" s="34"/>
      <c r="R362" s="34"/>
      <c r="S362" s="34"/>
      <c r="T362" s="34"/>
    </row>
    <row r="363" ht="15.75" hidden="1" customHeight="1">
      <c r="B363" s="86"/>
      <c r="C363" s="65"/>
      <c r="D363" s="65"/>
      <c r="E363" s="87"/>
      <c r="F363" s="88"/>
      <c r="G363" s="65"/>
      <c r="H363" s="65"/>
      <c r="I363" s="65"/>
      <c r="J363" s="65"/>
      <c r="K363" s="65"/>
      <c r="L363" s="65"/>
      <c r="M363" s="89"/>
      <c r="N363" s="90"/>
      <c r="O363" s="42" t="b">
        <v>0</v>
      </c>
      <c r="P363" s="44"/>
      <c r="Q363" s="34"/>
      <c r="R363" s="34"/>
      <c r="S363" s="34"/>
      <c r="T363" s="34"/>
    </row>
    <row r="364" ht="15.75" hidden="1" customHeight="1">
      <c r="B364" s="86"/>
      <c r="C364" s="65"/>
      <c r="D364" s="65"/>
      <c r="E364" s="87"/>
      <c r="F364" s="88"/>
      <c r="G364" s="65"/>
      <c r="H364" s="65"/>
      <c r="I364" s="65"/>
      <c r="J364" s="65"/>
      <c r="K364" s="65"/>
      <c r="L364" s="65"/>
      <c r="M364" s="89"/>
      <c r="N364" s="90"/>
      <c r="O364" s="42" t="b">
        <v>0</v>
      </c>
      <c r="P364" s="44"/>
      <c r="Q364" s="34"/>
      <c r="R364" s="34"/>
      <c r="S364" s="34"/>
      <c r="T364" s="34"/>
    </row>
    <row r="365" ht="15.75" hidden="1" customHeight="1">
      <c r="B365" s="86"/>
      <c r="C365" s="65"/>
      <c r="D365" s="65"/>
      <c r="E365" s="87"/>
      <c r="F365" s="88"/>
      <c r="G365" s="65"/>
      <c r="H365" s="65"/>
      <c r="I365" s="65"/>
      <c r="J365" s="65"/>
      <c r="K365" s="65"/>
      <c r="L365" s="65"/>
      <c r="M365" s="89"/>
      <c r="N365" s="90"/>
      <c r="O365" s="42" t="b">
        <v>0</v>
      </c>
      <c r="P365" s="44"/>
      <c r="Q365" s="34"/>
      <c r="R365" s="34"/>
      <c r="S365" s="34"/>
      <c r="T365" s="34"/>
    </row>
    <row r="366" ht="15.75" hidden="1" customHeight="1">
      <c r="B366" s="86"/>
      <c r="C366" s="65"/>
      <c r="D366" s="65"/>
      <c r="E366" s="87"/>
      <c r="F366" s="88"/>
      <c r="G366" s="65"/>
      <c r="H366" s="65"/>
      <c r="I366" s="65"/>
      <c r="J366" s="65"/>
      <c r="K366" s="65"/>
      <c r="L366" s="65"/>
      <c r="M366" s="89"/>
      <c r="N366" s="90"/>
      <c r="O366" s="42" t="b">
        <v>0</v>
      </c>
      <c r="P366" s="44"/>
      <c r="Q366" s="34"/>
      <c r="R366" s="34"/>
      <c r="S366" s="34"/>
      <c r="T366" s="34"/>
    </row>
    <row r="367" ht="15.75" hidden="1" customHeight="1">
      <c r="B367" s="86"/>
      <c r="C367" s="65"/>
      <c r="D367" s="65"/>
      <c r="E367" s="87"/>
      <c r="F367" s="88"/>
      <c r="G367" s="65"/>
      <c r="H367" s="65"/>
      <c r="I367" s="65"/>
      <c r="J367" s="65"/>
      <c r="K367" s="65"/>
      <c r="L367" s="65"/>
      <c r="M367" s="89"/>
      <c r="N367" s="90"/>
      <c r="O367" s="42" t="b">
        <v>0</v>
      </c>
      <c r="P367" s="44"/>
      <c r="Q367" s="34"/>
      <c r="R367" s="34"/>
      <c r="S367" s="34"/>
      <c r="T367" s="34"/>
    </row>
    <row r="368" ht="15.75" hidden="1" customHeight="1">
      <c r="B368" s="86"/>
      <c r="C368" s="65"/>
      <c r="D368" s="65"/>
      <c r="E368" s="87"/>
      <c r="F368" s="88"/>
      <c r="G368" s="65"/>
      <c r="H368" s="65"/>
      <c r="I368" s="65"/>
      <c r="J368" s="65"/>
      <c r="K368" s="65"/>
      <c r="L368" s="65"/>
      <c r="M368" s="89"/>
      <c r="N368" s="90"/>
      <c r="O368" s="42" t="b">
        <v>0</v>
      </c>
      <c r="P368" s="44"/>
      <c r="Q368" s="34"/>
      <c r="R368" s="34"/>
      <c r="S368" s="34"/>
      <c r="T368" s="34"/>
    </row>
    <row r="369" ht="15.75" hidden="1" customHeight="1">
      <c r="B369" s="86"/>
      <c r="C369" s="65"/>
      <c r="D369" s="65"/>
      <c r="E369" s="87"/>
      <c r="F369" s="88"/>
      <c r="G369" s="65"/>
      <c r="H369" s="65"/>
      <c r="I369" s="65"/>
      <c r="J369" s="65"/>
      <c r="K369" s="65"/>
      <c r="L369" s="65"/>
      <c r="M369" s="89"/>
      <c r="N369" s="90"/>
      <c r="O369" s="42" t="b">
        <v>0</v>
      </c>
      <c r="P369" s="44"/>
      <c r="Q369" s="34"/>
      <c r="R369" s="34"/>
      <c r="S369" s="34"/>
      <c r="T369" s="34"/>
    </row>
    <row r="370" ht="15.75" hidden="1" customHeight="1">
      <c r="B370" s="86"/>
      <c r="C370" s="65"/>
      <c r="D370" s="65"/>
      <c r="E370" s="87"/>
      <c r="F370" s="88"/>
      <c r="G370" s="65"/>
      <c r="H370" s="65"/>
      <c r="I370" s="65"/>
      <c r="J370" s="65"/>
      <c r="K370" s="65"/>
      <c r="L370" s="65"/>
      <c r="M370" s="89"/>
      <c r="N370" s="90"/>
      <c r="O370" s="42" t="b">
        <v>0</v>
      </c>
      <c r="P370" s="44"/>
      <c r="Q370" s="34"/>
      <c r="R370" s="34"/>
      <c r="S370" s="34"/>
      <c r="T370" s="34"/>
    </row>
    <row r="371" ht="15.75" hidden="1" customHeight="1">
      <c r="B371" s="86"/>
      <c r="C371" s="65"/>
      <c r="D371" s="65"/>
      <c r="E371" s="87"/>
      <c r="F371" s="88"/>
      <c r="G371" s="65"/>
      <c r="H371" s="65"/>
      <c r="I371" s="65"/>
      <c r="J371" s="65"/>
      <c r="K371" s="65"/>
      <c r="L371" s="65"/>
      <c r="M371" s="89"/>
      <c r="N371" s="90"/>
      <c r="O371" s="42" t="b">
        <v>0</v>
      </c>
      <c r="P371" s="44"/>
      <c r="Q371" s="34"/>
      <c r="R371" s="33"/>
      <c r="S371" s="34"/>
      <c r="T371" s="34"/>
    </row>
    <row r="372" ht="15.75" hidden="1" customHeight="1">
      <c r="A372" s="68">
        <v>2040.0</v>
      </c>
      <c r="B372" s="86"/>
      <c r="C372" s="65"/>
      <c r="D372" s="65"/>
      <c r="E372" s="87"/>
      <c r="F372" s="88"/>
      <c r="G372" s="65"/>
      <c r="H372" s="65"/>
      <c r="I372" s="65"/>
      <c r="J372" s="65"/>
      <c r="K372" s="65"/>
      <c r="L372" s="65"/>
      <c r="M372" s="89"/>
      <c r="N372" s="90"/>
      <c r="O372" s="42" t="b">
        <v>0</v>
      </c>
      <c r="P372" s="44"/>
      <c r="Q372" s="34"/>
      <c r="R372" s="34"/>
      <c r="S372" s="34"/>
      <c r="T372" s="34"/>
    </row>
    <row r="373" ht="15.75" hidden="1" customHeight="1">
      <c r="B373" s="86"/>
      <c r="C373" s="65"/>
      <c r="D373" s="65"/>
      <c r="E373" s="87"/>
      <c r="F373" s="88"/>
      <c r="G373" s="65"/>
      <c r="H373" s="65"/>
      <c r="I373" s="65"/>
      <c r="J373" s="65"/>
      <c r="K373" s="65"/>
      <c r="L373" s="65"/>
      <c r="M373" s="89"/>
      <c r="N373" s="90"/>
      <c r="O373" s="42" t="b">
        <v>0</v>
      </c>
      <c r="P373" s="44"/>
      <c r="Q373" s="34"/>
      <c r="R373" s="34"/>
      <c r="S373" s="34"/>
      <c r="T373" s="34"/>
    </row>
    <row r="374" ht="15.75" hidden="1" customHeight="1">
      <c r="B374" s="86"/>
      <c r="C374" s="65"/>
      <c r="D374" s="65"/>
      <c r="E374" s="87"/>
      <c r="F374" s="88"/>
      <c r="G374" s="65"/>
      <c r="H374" s="65"/>
      <c r="I374" s="65"/>
      <c r="J374" s="65"/>
      <c r="K374" s="65"/>
      <c r="L374" s="65"/>
      <c r="M374" s="89"/>
      <c r="N374" s="90"/>
      <c r="O374" s="42" t="b">
        <v>0</v>
      </c>
      <c r="P374" s="36"/>
      <c r="Q374" s="34"/>
      <c r="R374" s="34"/>
      <c r="S374" s="34"/>
      <c r="T374" s="35"/>
    </row>
    <row r="375" ht="15.75" hidden="1" customHeight="1">
      <c r="B375" s="86"/>
      <c r="C375" s="65"/>
      <c r="D375" s="65"/>
      <c r="E375" s="87"/>
      <c r="F375" s="88"/>
      <c r="G375" s="65"/>
      <c r="H375" s="65"/>
      <c r="I375" s="65"/>
      <c r="J375" s="65"/>
      <c r="K375" s="65"/>
      <c r="L375" s="65"/>
      <c r="M375" s="89"/>
      <c r="N375" s="90"/>
      <c r="O375" s="42" t="b">
        <v>0</v>
      </c>
      <c r="P375" s="44"/>
      <c r="Q375" s="34"/>
      <c r="R375" s="34"/>
      <c r="S375" s="34"/>
      <c r="T375" s="34"/>
    </row>
    <row r="376" ht="15.75" hidden="1" customHeight="1">
      <c r="B376" s="86"/>
      <c r="C376" s="65"/>
      <c r="D376" s="65"/>
      <c r="E376" s="87"/>
      <c r="F376" s="88"/>
      <c r="G376" s="65"/>
      <c r="H376" s="65"/>
      <c r="I376" s="65"/>
      <c r="J376" s="65"/>
      <c r="K376" s="65"/>
      <c r="L376" s="65"/>
      <c r="M376" s="89"/>
      <c r="N376" s="90"/>
      <c r="O376" s="42" t="b">
        <v>0</v>
      </c>
      <c r="P376" s="44"/>
      <c r="Q376" s="34"/>
      <c r="R376" s="34"/>
      <c r="S376" s="34"/>
      <c r="T376" s="34"/>
    </row>
    <row r="377" ht="15.75" hidden="1" customHeight="1">
      <c r="B377" s="86"/>
      <c r="C377" s="65"/>
      <c r="D377" s="65"/>
      <c r="E377" s="87"/>
      <c r="F377" s="88"/>
      <c r="G377" s="65"/>
      <c r="H377" s="65"/>
      <c r="I377" s="65"/>
      <c r="J377" s="65"/>
      <c r="K377" s="65"/>
      <c r="L377" s="65"/>
      <c r="M377" s="89"/>
      <c r="N377" s="90"/>
      <c r="O377" s="42" t="b">
        <v>0</v>
      </c>
      <c r="P377" s="44"/>
      <c r="Q377" s="34"/>
      <c r="R377" s="34"/>
      <c r="S377" s="34"/>
      <c r="T377" s="34"/>
    </row>
    <row r="378" ht="15.75" hidden="1" customHeight="1">
      <c r="B378" s="86"/>
      <c r="C378" s="65"/>
      <c r="D378" s="65"/>
      <c r="E378" s="87"/>
      <c r="F378" s="88"/>
      <c r="G378" s="65"/>
      <c r="H378" s="65"/>
      <c r="I378" s="65"/>
      <c r="J378" s="65"/>
      <c r="K378" s="65"/>
      <c r="L378" s="65"/>
      <c r="M378" s="89"/>
      <c r="N378" s="90"/>
      <c r="O378" s="42" t="b">
        <v>0</v>
      </c>
      <c r="P378" s="44"/>
      <c r="Q378" s="34"/>
      <c r="R378" s="34"/>
      <c r="S378" s="34"/>
      <c r="T378" s="34"/>
    </row>
    <row r="379" ht="15.75" hidden="1" customHeight="1">
      <c r="B379" s="86"/>
      <c r="C379" s="65"/>
      <c r="D379" s="65"/>
      <c r="E379" s="87"/>
      <c r="F379" s="88"/>
      <c r="G379" s="65"/>
      <c r="H379" s="65"/>
      <c r="I379" s="65"/>
      <c r="J379" s="65"/>
      <c r="K379" s="65"/>
      <c r="L379" s="65"/>
      <c r="M379" s="89"/>
      <c r="N379" s="90"/>
      <c r="O379" s="42" t="b">
        <v>0</v>
      </c>
      <c r="P379" s="44"/>
      <c r="Q379" s="34"/>
      <c r="R379" s="34"/>
      <c r="S379" s="34"/>
      <c r="T379" s="34"/>
    </row>
    <row r="380" ht="15.75" hidden="1" customHeight="1">
      <c r="B380" s="86"/>
      <c r="C380" s="65"/>
      <c r="D380" s="65"/>
      <c r="E380" s="87"/>
      <c r="F380" s="88"/>
      <c r="G380" s="65"/>
      <c r="H380" s="65"/>
      <c r="I380" s="65"/>
      <c r="J380" s="65"/>
      <c r="K380" s="65"/>
      <c r="L380" s="65"/>
      <c r="M380" s="89"/>
      <c r="N380" s="90"/>
      <c r="O380" s="42" t="b">
        <v>0</v>
      </c>
      <c r="P380" s="44"/>
      <c r="Q380" s="34"/>
      <c r="R380" s="34"/>
      <c r="S380" s="34"/>
      <c r="T380" s="34"/>
    </row>
    <row r="381" ht="15.75" hidden="1" customHeight="1">
      <c r="B381" s="86"/>
      <c r="C381" s="65"/>
      <c r="D381" s="65"/>
      <c r="E381" s="87"/>
      <c r="F381" s="88"/>
      <c r="G381" s="65"/>
      <c r="H381" s="65"/>
      <c r="I381" s="65"/>
      <c r="J381" s="65"/>
      <c r="K381" s="65"/>
      <c r="L381" s="65"/>
      <c r="M381" s="89"/>
      <c r="N381" s="90"/>
      <c r="O381" s="42" t="b">
        <v>0</v>
      </c>
      <c r="P381" s="44"/>
      <c r="Q381" s="34"/>
      <c r="R381" s="34"/>
      <c r="S381" s="34"/>
      <c r="T381" s="34"/>
    </row>
    <row r="382" ht="15.75" hidden="1" customHeight="1">
      <c r="B382" s="86"/>
      <c r="C382" s="65"/>
      <c r="D382" s="65"/>
      <c r="E382" s="87"/>
      <c r="F382" s="88"/>
      <c r="G382" s="65"/>
      <c r="H382" s="65"/>
      <c r="I382" s="65"/>
      <c r="J382" s="65"/>
      <c r="K382" s="65"/>
      <c r="L382" s="65"/>
      <c r="M382" s="89"/>
      <c r="N382" s="90"/>
      <c r="O382" s="42" t="b">
        <v>0</v>
      </c>
      <c r="P382" s="44"/>
      <c r="Q382" s="34"/>
      <c r="R382" s="34"/>
      <c r="S382" s="34"/>
      <c r="T382" s="34"/>
    </row>
    <row r="383" ht="15.75" hidden="1" customHeight="1">
      <c r="B383" s="86"/>
      <c r="C383" s="65"/>
      <c r="D383" s="65"/>
      <c r="E383" s="87"/>
      <c r="F383" s="88"/>
      <c r="G383" s="65"/>
      <c r="H383" s="65"/>
      <c r="I383" s="65"/>
      <c r="J383" s="65"/>
      <c r="K383" s="65"/>
      <c r="L383" s="65"/>
      <c r="M383" s="89"/>
      <c r="N383" s="90"/>
      <c r="O383" s="42" t="b">
        <v>0</v>
      </c>
      <c r="P383" s="44"/>
      <c r="Q383" s="34"/>
      <c r="R383" s="34"/>
      <c r="S383" s="34"/>
      <c r="T383" s="34"/>
    </row>
    <row r="384" ht="15.75" hidden="1" customHeight="1">
      <c r="B384" s="86"/>
      <c r="C384" s="65"/>
      <c r="D384" s="65"/>
      <c r="E384" s="87"/>
      <c r="F384" s="88"/>
      <c r="G384" s="65"/>
      <c r="H384" s="65"/>
      <c r="I384" s="65"/>
      <c r="J384" s="65"/>
      <c r="K384" s="65"/>
      <c r="L384" s="65"/>
      <c r="M384" s="89"/>
      <c r="N384" s="90"/>
      <c r="O384" s="42" t="b">
        <v>0</v>
      </c>
      <c r="P384" s="44"/>
      <c r="Q384" s="34"/>
      <c r="R384" s="33"/>
      <c r="S384" s="34"/>
      <c r="T384" s="34"/>
    </row>
    <row r="385" ht="15.75" hidden="1" customHeight="1">
      <c r="B385" s="86"/>
      <c r="C385" s="65"/>
      <c r="D385" s="65"/>
      <c r="E385" s="87"/>
      <c r="F385" s="88"/>
      <c r="G385" s="65"/>
      <c r="H385" s="65"/>
      <c r="I385" s="65"/>
      <c r="J385" s="65"/>
      <c r="K385" s="65"/>
      <c r="L385" s="65"/>
      <c r="M385" s="89"/>
      <c r="N385" s="90"/>
      <c r="O385" s="42" t="b">
        <v>0</v>
      </c>
      <c r="P385" s="44"/>
      <c r="Q385" s="34"/>
      <c r="R385" s="34"/>
      <c r="S385" s="34"/>
      <c r="T385" s="34"/>
    </row>
    <row r="386" ht="15.75" hidden="1" customHeight="1">
      <c r="B386" s="86"/>
      <c r="C386" s="65"/>
      <c r="D386" s="65"/>
      <c r="E386" s="87"/>
      <c r="F386" s="88"/>
      <c r="G386" s="65"/>
      <c r="H386" s="65"/>
      <c r="I386" s="65"/>
      <c r="J386" s="65"/>
      <c r="K386" s="65"/>
      <c r="L386" s="65"/>
      <c r="M386" s="89"/>
      <c r="N386" s="90"/>
      <c r="O386" s="42" t="b">
        <v>0</v>
      </c>
      <c r="P386" s="44"/>
      <c r="Q386" s="34"/>
      <c r="R386" s="34"/>
      <c r="S386" s="34"/>
      <c r="T386" s="34"/>
    </row>
    <row r="387" ht="15.75" hidden="1" customHeight="1">
      <c r="B387" s="86"/>
      <c r="C387" s="65"/>
      <c r="D387" s="65"/>
      <c r="E387" s="87"/>
      <c r="F387" s="88"/>
      <c r="G387" s="65"/>
      <c r="H387" s="65"/>
      <c r="I387" s="65"/>
      <c r="J387" s="65"/>
      <c r="K387" s="65"/>
      <c r="L387" s="65"/>
      <c r="M387" s="89"/>
      <c r="N387" s="90"/>
      <c r="O387" s="42" t="b">
        <v>0</v>
      </c>
      <c r="P387" s="44"/>
      <c r="Q387" s="34"/>
      <c r="R387" s="34"/>
      <c r="S387" s="34"/>
      <c r="T387" s="34"/>
    </row>
    <row r="388" ht="15.75" hidden="1" customHeight="1">
      <c r="B388" s="86"/>
      <c r="C388" s="65"/>
      <c r="D388" s="65"/>
      <c r="E388" s="87"/>
      <c r="F388" s="88"/>
      <c r="G388" s="65"/>
      <c r="H388" s="65"/>
      <c r="I388" s="65"/>
      <c r="J388" s="65"/>
      <c r="K388" s="65"/>
      <c r="L388" s="65"/>
      <c r="M388" s="89"/>
      <c r="N388" s="90"/>
      <c r="O388" s="42" t="b">
        <v>0</v>
      </c>
      <c r="P388" s="44"/>
      <c r="Q388" s="34"/>
      <c r="R388" s="34"/>
      <c r="S388" s="34"/>
      <c r="T388" s="34"/>
    </row>
    <row r="389" ht="15.75" hidden="1" customHeight="1">
      <c r="B389" s="86"/>
      <c r="C389" s="65"/>
      <c r="D389" s="65"/>
      <c r="E389" s="87"/>
      <c r="F389" s="88"/>
      <c r="G389" s="65"/>
      <c r="H389" s="65"/>
      <c r="I389" s="65"/>
      <c r="J389" s="65"/>
      <c r="K389" s="65"/>
      <c r="L389" s="65"/>
      <c r="M389" s="89"/>
      <c r="N389" s="90"/>
      <c r="O389" s="42" t="b">
        <v>0</v>
      </c>
      <c r="P389" s="44"/>
      <c r="Q389" s="34"/>
      <c r="R389" s="34"/>
      <c r="S389" s="34"/>
      <c r="T389" s="34"/>
    </row>
    <row r="390" ht="15.75" hidden="1" customHeight="1">
      <c r="B390" s="86"/>
      <c r="C390" s="65"/>
      <c r="D390" s="65"/>
      <c r="E390" s="87"/>
      <c r="F390" s="88"/>
      <c r="G390" s="65"/>
      <c r="H390" s="65"/>
      <c r="I390" s="65"/>
      <c r="J390" s="65"/>
      <c r="K390" s="65"/>
      <c r="L390" s="65"/>
      <c r="M390" s="89"/>
      <c r="N390" s="90"/>
      <c r="O390" s="42" t="b">
        <v>0</v>
      </c>
      <c r="P390" s="44"/>
      <c r="Q390" s="34"/>
      <c r="R390" s="34"/>
      <c r="S390" s="34"/>
      <c r="T390" s="34"/>
    </row>
    <row r="391" ht="15.75" hidden="1" customHeight="1">
      <c r="B391" s="86"/>
      <c r="C391" s="65"/>
      <c r="D391" s="65"/>
      <c r="E391" s="87"/>
      <c r="F391" s="88"/>
      <c r="G391" s="65"/>
      <c r="H391" s="65"/>
      <c r="I391" s="65"/>
      <c r="J391" s="65"/>
      <c r="K391" s="65"/>
      <c r="L391" s="65"/>
      <c r="M391" s="89"/>
      <c r="N391" s="90"/>
      <c r="O391" s="42" t="b">
        <v>0</v>
      </c>
      <c r="P391" s="44"/>
      <c r="Q391" s="34"/>
      <c r="R391" s="34"/>
      <c r="S391" s="34"/>
      <c r="T391" s="34"/>
    </row>
    <row r="392" ht="15.75" hidden="1" customHeight="1">
      <c r="B392" s="86"/>
      <c r="C392" s="65"/>
      <c r="D392" s="65"/>
      <c r="E392" s="87"/>
      <c r="F392" s="88"/>
      <c r="G392" s="65"/>
      <c r="H392" s="65"/>
      <c r="I392" s="65"/>
      <c r="J392" s="65"/>
      <c r="K392" s="65"/>
      <c r="L392" s="65"/>
      <c r="M392" s="89"/>
      <c r="N392" s="90"/>
      <c r="O392" s="42" t="b">
        <v>0</v>
      </c>
      <c r="P392" s="44"/>
      <c r="Q392" s="34"/>
      <c r="R392" s="34"/>
      <c r="S392" s="34"/>
      <c r="T392" s="34"/>
    </row>
    <row r="393" ht="15.75" hidden="1" customHeight="1">
      <c r="B393" s="86"/>
      <c r="C393" s="65"/>
      <c r="D393" s="65"/>
      <c r="E393" s="87"/>
      <c r="F393" s="88"/>
      <c r="G393" s="65"/>
      <c r="H393" s="65"/>
      <c r="I393" s="65"/>
      <c r="J393" s="65"/>
      <c r="K393" s="65"/>
      <c r="L393" s="65"/>
      <c r="M393" s="89"/>
      <c r="N393" s="90"/>
      <c r="O393" s="42" t="b">
        <v>0</v>
      </c>
      <c r="P393" s="44"/>
      <c r="Q393" s="34"/>
      <c r="R393" s="34"/>
      <c r="S393" s="34"/>
      <c r="T393" s="34"/>
    </row>
    <row r="394" ht="15.75" hidden="1" customHeight="1">
      <c r="B394" s="86"/>
      <c r="C394" s="65"/>
      <c r="D394" s="65"/>
      <c r="E394" s="87"/>
      <c r="F394" s="88"/>
      <c r="G394" s="65"/>
      <c r="H394" s="65"/>
      <c r="I394" s="65"/>
      <c r="J394" s="65"/>
      <c r="K394" s="65"/>
      <c r="L394" s="65"/>
      <c r="M394" s="89"/>
      <c r="N394" s="90"/>
      <c r="O394" s="42" t="b">
        <v>0</v>
      </c>
      <c r="P394" s="44"/>
      <c r="Q394" s="34"/>
      <c r="R394" s="34"/>
      <c r="S394" s="34"/>
      <c r="T394" s="34"/>
    </row>
    <row r="395" ht="15.75" hidden="1" customHeight="1">
      <c r="B395" s="86"/>
      <c r="C395" s="65"/>
      <c r="D395" s="65"/>
      <c r="E395" s="87"/>
      <c r="F395" s="88"/>
      <c r="G395" s="65"/>
      <c r="H395" s="65"/>
      <c r="I395" s="65"/>
      <c r="J395" s="65"/>
      <c r="K395" s="65"/>
      <c r="L395" s="65"/>
      <c r="M395" s="89"/>
      <c r="N395" s="90"/>
      <c r="O395" s="42" t="b">
        <v>0</v>
      </c>
      <c r="P395" s="44"/>
      <c r="Q395" s="34"/>
      <c r="R395" s="34"/>
      <c r="S395" s="34"/>
      <c r="T395" s="34"/>
    </row>
    <row r="396" ht="15.75" hidden="1" customHeight="1">
      <c r="B396" s="86"/>
      <c r="C396" s="65"/>
      <c r="D396" s="65"/>
      <c r="E396" s="87"/>
      <c r="F396" s="88"/>
      <c r="G396" s="65"/>
      <c r="H396" s="65"/>
      <c r="I396" s="65"/>
      <c r="J396" s="65"/>
      <c r="K396" s="65"/>
      <c r="L396" s="65"/>
      <c r="M396" s="89"/>
      <c r="N396" s="90"/>
      <c r="O396" s="42" t="b">
        <v>0</v>
      </c>
      <c r="P396" s="44"/>
      <c r="Q396" s="34"/>
      <c r="R396" s="34"/>
      <c r="S396" s="34"/>
      <c r="T396" s="34"/>
    </row>
    <row r="397" ht="15.75" hidden="1" customHeight="1">
      <c r="B397" s="86"/>
      <c r="C397" s="65"/>
      <c r="D397" s="65"/>
      <c r="E397" s="87"/>
      <c r="F397" s="88"/>
      <c r="G397" s="65"/>
      <c r="H397" s="65"/>
      <c r="I397" s="65"/>
      <c r="J397" s="65"/>
      <c r="K397" s="65"/>
      <c r="L397" s="65"/>
      <c r="M397" s="89"/>
      <c r="N397" s="90"/>
      <c r="O397" s="42" t="b">
        <v>0</v>
      </c>
      <c r="P397" s="44"/>
      <c r="Q397" s="34"/>
      <c r="R397" s="34"/>
      <c r="S397" s="34"/>
      <c r="T397" s="34"/>
    </row>
    <row r="398" ht="15.75" hidden="1" customHeight="1">
      <c r="B398" s="86"/>
      <c r="C398" s="65"/>
      <c r="D398" s="65"/>
      <c r="E398" s="87"/>
      <c r="F398" s="88"/>
      <c r="G398" s="65"/>
      <c r="H398" s="65"/>
      <c r="I398" s="65"/>
      <c r="J398" s="65"/>
      <c r="K398" s="65"/>
      <c r="L398" s="65"/>
      <c r="M398" s="89"/>
      <c r="N398" s="90"/>
      <c r="O398" s="42" t="b">
        <v>0</v>
      </c>
      <c r="P398" s="44"/>
      <c r="Q398" s="34"/>
      <c r="R398" s="34"/>
      <c r="S398" s="34"/>
      <c r="T398" s="34"/>
    </row>
    <row r="399" ht="15.75" hidden="1" customHeight="1">
      <c r="B399" s="86"/>
      <c r="C399" s="65"/>
      <c r="D399" s="65"/>
      <c r="E399" s="87"/>
      <c r="F399" s="88"/>
      <c r="G399" s="65"/>
      <c r="H399" s="65"/>
      <c r="I399" s="65"/>
      <c r="J399" s="65"/>
      <c r="K399" s="65"/>
      <c r="L399" s="65"/>
      <c r="M399" s="89"/>
      <c r="N399" s="90"/>
      <c r="O399" s="42" t="b">
        <v>0</v>
      </c>
      <c r="P399" s="44"/>
      <c r="Q399" s="34"/>
      <c r="R399" s="34"/>
      <c r="S399" s="34"/>
      <c r="T399" s="34"/>
    </row>
    <row r="400" ht="15.75" hidden="1" customHeight="1">
      <c r="B400" s="86"/>
      <c r="C400" s="65"/>
      <c r="D400" s="65"/>
      <c r="E400" s="87"/>
      <c r="F400" s="88"/>
      <c r="G400" s="65"/>
      <c r="H400" s="65"/>
      <c r="I400" s="65"/>
      <c r="J400" s="65"/>
      <c r="K400" s="65"/>
      <c r="L400" s="65"/>
      <c r="M400" s="89"/>
      <c r="N400" s="90"/>
      <c r="O400" s="42" t="b">
        <v>0</v>
      </c>
      <c r="P400" s="44"/>
      <c r="Q400" s="34"/>
      <c r="R400" s="34"/>
      <c r="S400" s="34"/>
      <c r="T400" s="34"/>
    </row>
    <row r="401" ht="15.75" hidden="1" customHeight="1">
      <c r="B401" s="86"/>
      <c r="C401" s="65"/>
      <c r="D401" s="65"/>
      <c r="E401" s="87"/>
      <c r="F401" s="88"/>
      <c r="G401" s="65"/>
      <c r="H401" s="65"/>
      <c r="I401" s="65"/>
      <c r="J401" s="65"/>
      <c r="K401" s="65"/>
      <c r="L401" s="65"/>
      <c r="M401" s="89"/>
      <c r="N401" s="90"/>
      <c r="O401" s="42" t="b">
        <v>0</v>
      </c>
      <c r="P401" s="44"/>
      <c r="Q401" s="34"/>
      <c r="R401" s="34"/>
      <c r="S401" s="34"/>
      <c r="T401" s="34"/>
    </row>
    <row r="402" ht="15.75" hidden="1" customHeight="1">
      <c r="B402" s="86"/>
      <c r="C402" s="65"/>
      <c r="D402" s="65"/>
      <c r="E402" s="87"/>
      <c r="F402" s="88"/>
      <c r="G402" s="65"/>
      <c r="H402" s="65"/>
      <c r="I402" s="65"/>
      <c r="J402" s="65"/>
      <c r="K402" s="65"/>
      <c r="L402" s="65"/>
      <c r="M402" s="89"/>
      <c r="N402" s="90"/>
      <c r="O402" s="42" t="b">
        <v>0</v>
      </c>
      <c r="P402" s="44"/>
      <c r="Q402" s="34"/>
      <c r="R402" s="34"/>
      <c r="S402" s="34"/>
      <c r="T402" s="34"/>
    </row>
    <row r="403" ht="15.75" hidden="1" customHeight="1">
      <c r="B403" s="86"/>
      <c r="C403" s="65"/>
      <c r="D403" s="65"/>
      <c r="E403" s="87"/>
      <c r="F403" s="88"/>
      <c r="G403" s="65"/>
      <c r="H403" s="65"/>
      <c r="I403" s="65"/>
      <c r="J403" s="65"/>
      <c r="K403" s="65"/>
      <c r="L403" s="65"/>
      <c r="M403" s="89"/>
      <c r="N403" s="90"/>
      <c r="O403" s="42" t="b">
        <v>0</v>
      </c>
      <c r="P403" s="44"/>
      <c r="Q403" s="34"/>
      <c r="R403" s="34"/>
      <c r="S403" s="34"/>
      <c r="T403" s="34"/>
    </row>
    <row r="404" ht="15.75" hidden="1" customHeight="1">
      <c r="B404" s="86"/>
      <c r="C404" s="65"/>
      <c r="D404" s="65"/>
      <c r="E404" s="87"/>
      <c r="F404" s="88"/>
      <c r="G404" s="65"/>
      <c r="H404" s="65"/>
      <c r="I404" s="65"/>
      <c r="J404" s="65"/>
      <c r="K404" s="65"/>
      <c r="L404" s="65"/>
      <c r="M404" s="89"/>
      <c r="N404" s="90"/>
      <c r="O404" s="42" t="b">
        <v>0</v>
      </c>
      <c r="P404" s="44"/>
      <c r="Q404" s="34"/>
      <c r="R404" s="34"/>
      <c r="S404" s="34"/>
      <c r="T404" s="34"/>
    </row>
    <row r="405" ht="15.75" hidden="1" customHeight="1">
      <c r="B405" s="86"/>
      <c r="C405" s="65"/>
      <c r="D405" s="65"/>
      <c r="E405" s="87"/>
      <c r="F405" s="88"/>
      <c r="G405" s="65"/>
      <c r="H405" s="65"/>
      <c r="I405" s="65"/>
      <c r="J405" s="65"/>
      <c r="K405" s="65"/>
      <c r="L405" s="65"/>
      <c r="M405" s="89"/>
      <c r="N405" s="90"/>
      <c r="O405" s="42" t="b">
        <v>0</v>
      </c>
      <c r="P405" s="44"/>
      <c r="Q405" s="34"/>
      <c r="R405" s="34"/>
      <c r="S405" s="34"/>
      <c r="T405" s="34"/>
    </row>
    <row r="406" ht="15.75" hidden="1" customHeight="1">
      <c r="B406" s="86"/>
      <c r="C406" s="65"/>
      <c r="D406" s="65"/>
      <c r="E406" s="87"/>
      <c r="F406" s="88"/>
      <c r="G406" s="65"/>
      <c r="H406" s="65"/>
      <c r="I406" s="65"/>
      <c r="J406" s="65"/>
      <c r="K406" s="65"/>
      <c r="L406" s="65"/>
      <c r="M406" s="89"/>
      <c r="N406" s="90"/>
      <c r="O406" s="42" t="b">
        <v>0</v>
      </c>
      <c r="P406" s="44"/>
      <c r="Q406" s="34"/>
      <c r="R406" s="34"/>
      <c r="S406" s="34"/>
      <c r="T406" s="34"/>
    </row>
    <row r="407" ht="15.75" hidden="1" customHeight="1">
      <c r="B407" s="86"/>
      <c r="C407" s="65"/>
      <c r="D407" s="65"/>
      <c r="E407" s="87"/>
      <c r="F407" s="88"/>
      <c r="G407" s="65"/>
      <c r="H407" s="65"/>
      <c r="I407" s="65"/>
      <c r="J407" s="65"/>
      <c r="K407" s="65"/>
      <c r="L407" s="65"/>
      <c r="M407" s="89"/>
      <c r="N407" s="90"/>
      <c r="O407" s="42" t="b">
        <v>0</v>
      </c>
      <c r="P407" s="44"/>
      <c r="Q407" s="34"/>
      <c r="R407" s="34"/>
      <c r="S407" s="34"/>
      <c r="T407" s="34"/>
    </row>
    <row r="408" ht="15.75" hidden="1" customHeight="1">
      <c r="B408" s="86"/>
      <c r="C408" s="65"/>
      <c r="D408" s="65"/>
      <c r="E408" s="87"/>
      <c r="F408" s="88"/>
      <c r="G408" s="65"/>
      <c r="H408" s="65"/>
      <c r="I408" s="65"/>
      <c r="J408" s="65"/>
      <c r="K408" s="65"/>
      <c r="L408" s="65"/>
      <c r="M408" s="89"/>
      <c r="N408" s="90"/>
      <c r="O408" s="42" t="b">
        <v>0</v>
      </c>
      <c r="P408" s="44"/>
      <c r="Q408" s="34"/>
      <c r="R408" s="34"/>
      <c r="S408" s="34"/>
      <c r="T408" s="34"/>
    </row>
    <row r="409" ht="15.75" hidden="1" customHeight="1">
      <c r="B409" s="86"/>
      <c r="C409" s="65"/>
      <c r="D409" s="65"/>
      <c r="E409" s="87"/>
      <c r="F409" s="88"/>
      <c r="G409" s="65"/>
      <c r="H409" s="65"/>
      <c r="I409" s="65"/>
      <c r="J409" s="65"/>
      <c r="K409" s="65"/>
      <c r="L409" s="65"/>
      <c r="M409" s="89"/>
      <c r="N409" s="90"/>
      <c r="O409" s="42" t="b">
        <v>0</v>
      </c>
      <c r="P409" s="44"/>
      <c r="Q409" s="34"/>
      <c r="R409" s="34"/>
      <c r="S409" s="34"/>
      <c r="T409" s="34"/>
    </row>
    <row r="410" ht="15.75" hidden="1" customHeight="1">
      <c r="B410" s="86"/>
      <c r="C410" s="65"/>
      <c r="D410" s="65"/>
      <c r="E410" s="87"/>
      <c r="F410" s="88"/>
      <c r="G410" s="65"/>
      <c r="H410" s="65"/>
      <c r="I410" s="65"/>
      <c r="J410" s="65"/>
      <c r="K410" s="65"/>
      <c r="L410" s="65"/>
      <c r="M410" s="89"/>
      <c r="N410" s="90"/>
      <c r="O410" s="42" t="b">
        <v>0</v>
      </c>
      <c r="P410" s="44"/>
      <c r="Q410" s="34"/>
      <c r="R410" s="34"/>
      <c r="S410" s="34"/>
      <c r="T410" s="34"/>
    </row>
    <row r="411" ht="15.75" hidden="1" customHeight="1">
      <c r="B411" s="86"/>
      <c r="C411" s="65"/>
      <c r="D411" s="65"/>
      <c r="E411" s="87"/>
      <c r="F411" s="88"/>
      <c r="G411" s="65"/>
      <c r="H411" s="65"/>
      <c r="I411" s="65"/>
      <c r="J411" s="65"/>
      <c r="K411" s="65"/>
      <c r="L411" s="65"/>
      <c r="M411" s="89"/>
      <c r="N411" s="90"/>
      <c r="O411" s="42" t="b">
        <v>0</v>
      </c>
      <c r="P411" s="44"/>
      <c r="Q411" s="34"/>
      <c r="R411" s="34"/>
      <c r="S411" s="34"/>
      <c r="T411" s="34"/>
    </row>
    <row r="412" ht="15.75" hidden="1" customHeight="1">
      <c r="B412" s="86"/>
      <c r="C412" s="65"/>
      <c r="D412" s="65"/>
      <c r="E412" s="87"/>
      <c r="F412" s="88"/>
      <c r="G412" s="65"/>
      <c r="H412" s="65"/>
      <c r="I412" s="65"/>
      <c r="J412" s="65"/>
      <c r="K412" s="65"/>
      <c r="L412" s="65"/>
      <c r="M412" s="89"/>
      <c r="N412" s="90"/>
      <c r="O412" s="42" t="b">
        <v>0</v>
      </c>
      <c r="P412" s="44"/>
      <c r="Q412" s="34"/>
      <c r="R412" s="34"/>
      <c r="S412" s="34"/>
      <c r="T412" s="34"/>
    </row>
    <row r="413" ht="15.75" hidden="1" customHeight="1">
      <c r="B413" s="86"/>
      <c r="C413" s="65"/>
      <c r="D413" s="65"/>
      <c r="E413" s="87"/>
      <c r="F413" s="88"/>
      <c r="G413" s="65"/>
      <c r="H413" s="65"/>
      <c r="I413" s="65"/>
      <c r="J413" s="65"/>
      <c r="K413" s="65"/>
      <c r="L413" s="65"/>
      <c r="M413" s="89"/>
      <c r="N413" s="90"/>
      <c r="O413" s="42" t="b">
        <v>0</v>
      </c>
      <c r="P413" s="44"/>
      <c r="Q413" s="34"/>
      <c r="R413" s="34"/>
      <c r="S413" s="34"/>
      <c r="T413" s="34"/>
    </row>
    <row r="414" ht="15.75" hidden="1" customHeight="1">
      <c r="B414" s="86"/>
      <c r="C414" s="65"/>
      <c r="D414" s="65"/>
      <c r="E414" s="87"/>
      <c r="F414" s="88"/>
      <c r="G414" s="65"/>
      <c r="H414" s="65"/>
      <c r="I414" s="65"/>
      <c r="J414" s="65"/>
      <c r="K414" s="65"/>
      <c r="L414" s="65"/>
      <c r="M414" s="89"/>
      <c r="N414" s="90"/>
      <c r="O414" s="42" t="b">
        <v>0</v>
      </c>
      <c r="P414" s="44"/>
      <c r="Q414" s="34"/>
      <c r="R414" s="34"/>
      <c r="S414" s="34"/>
      <c r="T414" s="34"/>
    </row>
    <row r="415" ht="15.75" hidden="1" customHeight="1">
      <c r="B415" s="86"/>
      <c r="C415" s="65"/>
      <c r="D415" s="65"/>
      <c r="E415" s="87"/>
      <c r="F415" s="88"/>
      <c r="G415" s="65"/>
      <c r="H415" s="65"/>
      <c r="I415" s="65"/>
      <c r="J415" s="65"/>
      <c r="K415" s="65"/>
      <c r="L415" s="65"/>
      <c r="M415" s="89"/>
      <c r="N415" s="90"/>
      <c r="O415" s="42" t="b">
        <v>0</v>
      </c>
      <c r="P415" s="44"/>
      <c r="Q415" s="34"/>
      <c r="R415" s="34"/>
      <c r="S415" s="34"/>
      <c r="T415" s="34"/>
    </row>
    <row r="416" ht="15.75" hidden="1" customHeight="1">
      <c r="B416" s="86"/>
      <c r="C416" s="65"/>
      <c r="D416" s="65"/>
      <c r="E416" s="87"/>
      <c r="F416" s="88"/>
      <c r="G416" s="65"/>
      <c r="H416" s="65"/>
      <c r="I416" s="65"/>
      <c r="J416" s="65"/>
      <c r="K416" s="65"/>
      <c r="L416" s="65"/>
      <c r="M416" s="89"/>
      <c r="N416" s="90"/>
      <c r="O416" s="42" t="b">
        <v>0</v>
      </c>
      <c r="P416" s="44"/>
      <c r="Q416" s="34"/>
      <c r="R416" s="34"/>
      <c r="S416" s="34"/>
      <c r="T416" s="34"/>
    </row>
    <row r="417" ht="15.75" hidden="1" customHeight="1">
      <c r="B417" s="86"/>
      <c r="C417" s="65"/>
      <c r="D417" s="65"/>
      <c r="E417" s="87"/>
      <c r="F417" s="88"/>
      <c r="G417" s="65"/>
      <c r="H417" s="65"/>
      <c r="I417" s="65"/>
      <c r="J417" s="65"/>
      <c r="K417" s="65"/>
      <c r="L417" s="65"/>
      <c r="M417" s="89"/>
      <c r="N417" s="90"/>
      <c r="O417" s="42" t="b">
        <v>0</v>
      </c>
      <c r="P417" s="44"/>
      <c r="Q417" s="34"/>
      <c r="R417" s="34"/>
      <c r="S417" s="34"/>
      <c r="T417" s="34"/>
    </row>
    <row r="418" ht="15.75" hidden="1" customHeight="1">
      <c r="B418" s="86"/>
      <c r="C418" s="65"/>
      <c r="D418" s="65"/>
      <c r="E418" s="87"/>
      <c r="F418" s="88"/>
      <c r="G418" s="65"/>
      <c r="H418" s="65"/>
      <c r="I418" s="65"/>
      <c r="J418" s="65"/>
      <c r="K418" s="65"/>
      <c r="L418" s="65"/>
      <c r="M418" s="89"/>
      <c r="N418" s="90"/>
      <c r="O418" s="42" t="b">
        <v>0</v>
      </c>
      <c r="P418" s="44"/>
      <c r="Q418" s="34"/>
      <c r="R418" s="34"/>
      <c r="S418" s="34"/>
      <c r="T418" s="34"/>
    </row>
    <row r="419" ht="15.75" hidden="1" customHeight="1">
      <c r="B419" s="86"/>
      <c r="C419" s="65"/>
      <c r="D419" s="65"/>
      <c r="E419" s="87"/>
      <c r="F419" s="88"/>
      <c r="G419" s="65"/>
      <c r="H419" s="65"/>
      <c r="I419" s="65"/>
      <c r="J419" s="65"/>
      <c r="K419" s="65"/>
      <c r="L419" s="65"/>
      <c r="M419" s="89"/>
      <c r="N419" s="90"/>
      <c r="O419" s="42" t="b">
        <v>0</v>
      </c>
      <c r="P419" s="44"/>
      <c r="Q419" s="34"/>
      <c r="R419" s="34"/>
      <c r="S419" s="34"/>
      <c r="T419" s="34"/>
    </row>
    <row r="420" ht="15.75" hidden="1" customHeight="1">
      <c r="B420" s="86"/>
      <c r="C420" s="65"/>
      <c r="D420" s="65"/>
      <c r="E420" s="87"/>
      <c r="F420" s="88"/>
      <c r="G420" s="65"/>
      <c r="H420" s="65"/>
      <c r="I420" s="65"/>
      <c r="J420" s="65"/>
      <c r="K420" s="65"/>
      <c r="L420" s="65"/>
      <c r="M420" s="89"/>
      <c r="N420" s="90"/>
      <c r="O420" s="42" t="b">
        <v>0</v>
      </c>
      <c r="P420" s="44"/>
      <c r="Q420" s="34"/>
      <c r="R420" s="34"/>
      <c r="S420" s="34"/>
      <c r="T420" s="34"/>
    </row>
    <row r="421" ht="15.75" hidden="1" customHeight="1">
      <c r="B421" s="86"/>
      <c r="C421" s="65"/>
      <c r="D421" s="65"/>
      <c r="E421" s="87"/>
      <c r="F421" s="88"/>
      <c r="G421" s="65"/>
      <c r="H421" s="65"/>
      <c r="I421" s="65"/>
      <c r="J421" s="65"/>
      <c r="K421" s="65"/>
      <c r="L421" s="65"/>
      <c r="M421" s="89"/>
      <c r="N421" s="90"/>
      <c r="O421" s="42" t="b">
        <v>0</v>
      </c>
      <c r="P421" s="44"/>
      <c r="Q421" s="34"/>
      <c r="R421" s="34"/>
      <c r="S421" s="34"/>
      <c r="T421" s="34"/>
    </row>
    <row r="422" ht="15.75" hidden="1" customHeight="1">
      <c r="B422" s="86"/>
      <c r="C422" s="65"/>
      <c r="D422" s="65"/>
      <c r="E422" s="87"/>
      <c r="F422" s="88"/>
      <c r="G422" s="65"/>
      <c r="H422" s="65"/>
      <c r="I422" s="65"/>
      <c r="J422" s="65"/>
      <c r="K422" s="65"/>
      <c r="L422" s="65"/>
      <c r="M422" s="89"/>
      <c r="N422" s="90"/>
      <c r="O422" s="42" t="b">
        <v>0</v>
      </c>
      <c r="P422" s="44"/>
      <c r="Q422" s="34"/>
      <c r="R422" s="34"/>
      <c r="S422" s="34"/>
      <c r="T422" s="34"/>
    </row>
    <row r="423" ht="15.75" hidden="1" customHeight="1">
      <c r="B423" s="86"/>
      <c r="C423" s="65"/>
      <c r="D423" s="65"/>
      <c r="E423" s="87"/>
      <c r="F423" s="88"/>
      <c r="G423" s="65"/>
      <c r="H423" s="65"/>
      <c r="I423" s="65"/>
      <c r="J423" s="65"/>
      <c r="K423" s="65"/>
      <c r="L423" s="65"/>
      <c r="M423" s="89"/>
      <c r="N423" s="90"/>
      <c r="O423" s="42" t="b">
        <v>0</v>
      </c>
      <c r="P423" s="44"/>
      <c r="Q423" s="34"/>
      <c r="R423" s="34"/>
      <c r="S423" s="34"/>
      <c r="T423" s="34"/>
    </row>
    <row r="424" ht="15.75" hidden="1" customHeight="1">
      <c r="B424" s="86"/>
      <c r="C424" s="65"/>
      <c r="D424" s="65"/>
      <c r="E424" s="87"/>
      <c r="F424" s="88"/>
      <c r="G424" s="65"/>
      <c r="H424" s="65"/>
      <c r="I424" s="65"/>
      <c r="J424" s="65"/>
      <c r="K424" s="65"/>
      <c r="L424" s="65"/>
      <c r="M424" s="89"/>
      <c r="N424" s="90"/>
      <c r="O424" s="42" t="b">
        <v>0</v>
      </c>
      <c r="P424" s="44"/>
      <c r="Q424" s="34"/>
      <c r="R424" s="34"/>
      <c r="S424" s="34"/>
      <c r="T424" s="34"/>
    </row>
    <row r="425" ht="15.75" hidden="1" customHeight="1">
      <c r="B425" s="86"/>
      <c r="C425" s="65"/>
      <c r="D425" s="65"/>
      <c r="E425" s="87"/>
      <c r="F425" s="88"/>
      <c r="G425" s="65"/>
      <c r="H425" s="65"/>
      <c r="I425" s="65"/>
      <c r="J425" s="65"/>
      <c r="K425" s="65"/>
      <c r="L425" s="65"/>
      <c r="M425" s="89"/>
      <c r="N425" s="90"/>
      <c r="O425" s="42" t="b">
        <v>0</v>
      </c>
      <c r="P425" s="45"/>
      <c r="Q425" s="34"/>
      <c r="R425" s="33"/>
      <c r="S425" s="34"/>
      <c r="T425" s="34"/>
    </row>
    <row r="426" ht="15.75" hidden="1" customHeight="1">
      <c r="B426" s="86"/>
      <c r="C426" s="65"/>
      <c r="D426" s="65"/>
      <c r="E426" s="87"/>
      <c r="F426" s="88"/>
      <c r="G426" s="65"/>
      <c r="H426" s="65"/>
      <c r="I426" s="65"/>
      <c r="J426" s="65"/>
      <c r="K426" s="65"/>
      <c r="L426" s="65"/>
      <c r="M426" s="89"/>
      <c r="N426" s="90"/>
      <c r="O426" s="42" t="b">
        <v>0</v>
      </c>
      <c r="P426" s="45"/>
      <c r="Q426" s="34"/>
      <c r="R426" s="33"/>
      <c r="S426" s="34"/>
      <c r="T426" s="34"/>
    </row>
    <row r="427" ht="15.75" hidden="1" customHeight="1">
      <c r="B427" s="86"/>
      <c r="C427" s="65"/>
      <c r="D427" s="65"/>
      <c r="E427" s="87"/>
      <c r="F427" s="88"/>
      <c r="G427" s="65"/>
      <c r="H427" s="65"/>
      <c r="I427" s="65"/>
      <c r="J427" s="65"/>
      <c r="K427" s="65"/>
      <c r="L427" s="65"/>
      <c r="M427" s="89"/>
      <c r="N427" s="90"/>
      <c r="O427" s="42" t="b">
        <v>0</v>
      </c>
      <c r="P427" s="44"/>
      <c r="Q427" s="34"/>
      <c r="R427" s="33"/>
      <c r="S427" s="34"/>
      <c r="T427" s="34"/>
    </row>
    <row r="428" ht="15.75" hidden="1" customHeight="1">
      <c r="B428" s="86"/>
      <c r="C428" s="65"/>
      <c r="D428" s="65"/>
      <c r="E428" s="87"/>
      <c r="F428" s="88"/>
      <c r="G428" s="65"/>
      <c r="H428" s="65"/>
      <c r="I428" s="65"/>
      <c r="J428" s="65"/>
      <c r="K428" s="65"/>
      <c r="L428" s="65"/>
      <c r="M428" s="89"/>
      <c r="N428" s="90"/>
      <c r="O428" s="42" t="b">
        <v>0</v>
      </c>
      <c r="P428" s="44"/>
      <c r="Q428" s="34"/>
      <c r="R428" s="33"/>
      <c r="S428" s="34"/>
      <c r="T428" s="34"/>
    </row>
    <row r="429" ht="15.75" hidden="1" customHeight="1">
      <c r="B429" s="86"/>
      <c r="C429" s="65"/>
      <c r="D429" s="65"/>
      <c r="E429" s="87"/>
      <c r="F429" s="88"/>
      <c r="G429" s="65"/>
      <c r="H429" s="65"/>
      <c r="I429" s="65"/>
      <c r="J429" s="65"/>
      <c r="K429" s="65"/>
      <c r="L429" s="65"/>
      <c r="M429" s="89"/>
      <c r="N429" s="90"/>
      <c r="O429" s="42" t="b">
        <v>0</v>
      </c>
      <c r="P429" s="36"/>
      <c r="Q429" s="34"/>
      <c r="R429" s="33"/>
      <c r="S429" s="34"/>
      <c r="T429" s="34"/>
    </row>
    <row r="430" ht="15.75" hidden="1" customHeight="1">
      <c r="B430" s="86"/>
      <c r="C430" s="65"/>
      <c r="D430" s="65"/>
      <c r="E430" s="87"/>
      <c r="F430" s="88"/>
      <c r="G430" s="65"/>
      <c r="H430" s="65"/>
      <c r="I430" s="65"/>
      <c r="J430" s="65"/>
      <c r="K430" s="65"/>
      <c r="L430" s="65"/>
      <c r="M430" s="89"/>
      <c r="N430" s="90"/>
      <c r="O430" s="42" t="b">
        <v>0</v>
      </c>
      <c r="P430" s="44"/>
      <c r="Q430" s="34"/>
      <c r="R430" s="34"/>
      <c r="S430" s="34"/>
      <c r="T430" s="34"/>
    </row>
    <row r="431" ht="15.75" hidden="1" customHeight="1">
      <c r="B431" s="86"/>
      <c r="C431" s="65"/>
      <c r="D431" s="65"/>
      <c r="E431" s="87"/>
      <c r="F431" s="88"/>
      <c r="G431" s="65"/>
      <c r="H431" s="65"/>
      <c r="I431" s="65"/>
      <c r="J431" s="65"/>
      <c r="K431" s="65"/>
      <c r="L431" s="65"/>
      <c r="M431" s="89"/>
      <c r="N431" s="90"/>
      <c r="O431" s="42" t="b">
        <v>0</v>
      </c>
      <c r="P431" s="44"/>
      <c r="Q431" s="34"/>
      <c r="R431" s="34"/>
      <c r="S431" s="34"/>
      <c r="T431" s="34"/>
    </row>
    <row r="432" ht="15.75" hidden="1" customHeight="1">
      <c r="B432" s="86"/>
      <c r="C432" s="65"/>
      <c r="D432" s="65"/>
      <c r="E432" s="87"/>
      <c r="F432" s="88"/>
      <c r="G432" s="65"/>
      <c r="H432" s="65"/>
      <c r="I432" s="65"/>
      <c r="J432" s="65"/>
      <c r="K432" s="65"/>
      <c r="L432" s="65"/>
      <c r="M432" s="89"/>
      <c r="N432" s="90"/>
      <c r="O432" s="42" t="b">
        <v>0</v>
      </c>
      <c r="P432" s="44"/>
      <c r="Q432" s="34"/>
      <c r="R432" s="34"/>
      <c r="S432" s="34"/>
      <c r="T432" s="34"/>
    </row>
    <row r="433" ht="15.75" hidden="1" customHeight="1">
      <c r="B433" s="86"/>
      <c r="C433" s="65"/>
      <c r="D433" s="65"/>
      <c r="E433" s="87"/>
      <c r="F433" s="88"/>
      <c r="G433" s="65"/>
      <c r="H433" s="65"/>
      <c r="I433" s="65"/>
      <c r="J433" s="65"/>
      <c r="K433" s="65"/>
      <c r="L433" s="65"/>
      <c r="M433" s="89"/>
      <c r="N433" s="90"/>
      <c r="O433" s="42" t="b">
        <v>0</v>
      </c>
      <c r="P433" s="44"/>
      <c r="Q433" s="34"/>
      <c r="R433" s="34"/>
      <c r="S433" s="34"/>
      <c r="T433" s="34"/>
    </row>
    <row r="434" ht="15.75" hidden="1" customHeight="1">
      <c r="B434" s="86"/>
      <c r="C434" s="65"/>
      <c r="D434" s="65"/>
      <c r="E434" s="87"/>
      <c r="F434" s="88"/>
      <c r="G434" s="65"/>
      <c r="H434" s="65"/>
      <c r="I434" s="65"/>
      <c r="J434" s="65"/>
      <c r="K434" s="65"/>
      <c r="L434" s="65"/>
      <c r="M434" s="89"/>
      <c r="N434" s="90"/>
      <c r="O434" s="42" t="b">
        <v>0</v>
      </c>
      <c r="P434" s="44"/>
      <c r="Q434" s="34"/>
      <c r="R434" s="34"/>
      <c r="S434" s="34"/>
      <c r="T434" s="34"/>
    </row>
    <row r="435" ht="15.75" hidden="1" customHeight="1">
      <c r="B435" s="86"/>
      <c r="C435" s="65"/>
      <c r="D435" s="65"/>
      <c r="E435" s="87"/>
      <c r="F435" s="88"/>
      <c r="G435" s="65"/>
      <c r="H435" s="65"/>
      <c r="I435" s="65"/>
      <c r="J435" s="65"/>
      <c r="K435" s="65"/>
      <c r="L435" s="65"/>
      <c r="M435" s="89"/>
      <c r="N435" s="90"/>
      <c r="O435" s="42" t="b">
        <v>0</v>
      </c>
      <c r="P435" s="44"/>
      <c r="Q435" s="34"/>
      <c r="R435" s="34"/>
      <c r="S435" s="34"/>
      <c r="T435" s="34"/>
    </row>
    <row r="436" ht="15.75" hidden="1" customHeight="1">
      <c r="B436" s="86"/>
      <c r="C436" s="65"/>
      <c r="D436" s="65"/>
      <c r="E436" s="87"/>
      <c r="F436" s="88"/>
      <c r="G436" s="65"/>
      <c r="H436" s="65"/>
      <c r="I436" s="65"/>
      <c r="J436" s="65"/>
      <c r="K436" s="65"/>
      <c r="L436" s="65"/>
      <c r="M436" s="89"/>
      <c r="N436" s="90"/>
      <c r="O436" s="42" t="b">
        <v>0</v>
      </c>
      <c r="P436" s="44"/>
      <c r="Q436" s="34"/>
      <c r="R436" s="34"/>
      <c r="S436" s="34"/>
      <c r="T436" s="34"/>
    </row>
    <row r="437" ht="15.75" hidden="1" customHeight="1">
      <c r="B437" s="86"/>
      <c r="C437" s="65"/>
      <c r="D437" s="65"/>
      <c r="E437" s="87"/>
      <c r="F437" s="88"/>
      <c r="G437" s="65"/>
      <c r="H437" s="65"/>
      <c r="I437" s="65"/>
      <c r="J437" s="65"/>
      <c r="K437" s="65"/>
      <c r="L437" s="65"/>
      <c r="M437" s="89"/>
      <c r="N437" s="90"/>
      <c r="O437" s="42" t="b">
        <v>0</v>
      </c>
      <c r="P437" s="44"/>
      <c r="Q437" s="34"/>
      <c r="R437" s="34"/>
      <c r="S437" s="34"/>
      <c r="T437" s="34"/>
    </row>
    <row r="438" ht="15.75" hidden="1" customHeight="1">
      <c r="B438" s="86"/>
      <c r="C438" s="65"/>
      <c r="D438" s="65"/>
      <c r="E438" s="87"/>
      <c r="F438" s="88"/>
      <c r="G438" s="65"/>
      <c r="H438" s="65"/>
      <c r="I438" s="65"/>
      <c r="J438" s="65"/>
      <c r="K438" s="65"/>
      <c r="L438" s="65"/>
      <c r="M438" s="89"/>
      <c r="N438" s="90"/>
      <c r="O438" s="42" t="b">
        <v>0</v>
      </c>
      <c r="P438" s="44"/>
      <c r="Q438" s="34"/>
      <c r="R438" s="34"/>
      <c r="S438" s="34"/>
      <c r="T438" s="34"/>
    </row>
    <row r="439" ht="15.75" hidden="1" customHeight="1">
      <c r="B439" s="86"/>
      <c r="C439" s="65"/>
      <c r="D439" s="65"/>
      <c r="E439" s="87"/>
      <c r="F439" s="88"/>
      <c r="G439" s="65"/>
      <c r="H439" s="65"/>
      <c r="I439" s="65"/>
      <c r="J439" s="65"/>
      <c r="K439" s="65"/>
      <c r="L439" s="65"/>
      <c r="M439" s="89"/>
      <c r="N439" s="90"/>
      <c r="O439" s="42" t="b">
        <v>0</v>
      </c>
      <c r="P439" s="44"/>
      <c r="Q439" s="34"/>
      <c r="R439" s="34"/>
      <c r="S439" s="34"/>
      <c r="T439" s="34"/>
    </row>
    <row r="440" ht="15.75" hidden="1" customHeight="1">
      <c r="B440" s="86"/>
      <c r="C440" s="65"/>
      <c r="D440" s="65"/>
      <c r="E440" s="87"/>
      <c r="F440" s="88"/>
      <c r="G440" s="65"/>
      <c r="H440" s="65"/>
      <c r="I440" s="65"/>
      <c r="J440" s="65"/>
      <c r="K440" s="65"/>
      <c r="L440" s="65"/>
      <c r="M440" s="89"/>
      <c r="N440" s="90"/>
      <c r="O440" s="42" t="b">
        <v>0</v>
      </c>
      <c r="P440" s="44"/>
      <c r="Q440" s="34"/>
      <c r="R440" s="34"/>
      <c r="S440" s="34"/>
      <c r="T440" s="34"/>
    </row>
    <row r="441" ht="15.75" hidden="1" customHeight="1">
      <c r="B441" s="86"/>
      <c r="C441" s="65"/>
      <c r="D441" s="65"/>
      <c r="E441" s="87"/>
      <c r="F441" s="88"/>
      <c r="G441" s="65"/>
      <c r="H441" s="65"/>
      <c r="I441" s="65"/>
      <c r="J441" s="65"/>
      <c r="K441" s="65"/>
      <c r="L441" s="65"/>
      <c r="M441" s="89"/>
      <c r="N441" s="90"/>
      <c r="O441" s="42" t="b">
        <v>0</v>
      </c>
      <c r="P441" s="44"/>
      <c r="Q441" s="34"/>
      <c r="R441" s="34"/>
      <c r="S441" s="34"/>
      <c r="T441" s="34"/>
    </row>
    <row r="442" ht="15.75" hidden="1" customHeight="1">
      <c r="B442" s="86"/>
      <c r="C442" s="65"/>
      <c r="D442" s="65"/>
      <c r="E442" s="87"/>
      <c r="F442" s="88"/>
      <c r="G442" s="65"/>
      <c r="H442" s="65"/>
      <c r="I442" s="65"/>
      <c r="J442" s="65"/>
      <c r="K442" s="65"/>
      <c r="L442" s="65"/>
      <c r="M442" s="89"/>
      <c r="N442" s="90"/>
      <c r="O442" s="42" t="b">
        <v>0</v>
      </c>
      <c r="P442" s="44"/>
      <c r="Q442" s="34"/>
      <c r="R442" s="34"/>
      <c r="S442" s="34"/>
      <c r="T442" s="34"/>
    </row>
    <row r="443" ht="15.75" hidden="1" customHeight="1">
      <c r="B443" s="86"/>
      <c r="C443" s="65"/>
      <c r="D443" s="65"/>
      <c r="E443" s="87"/>
      <c r="F443" s="88"/>
      <c r="G443" s="65"/>
      <c r="H443" s="65"/>
      <c r="I443" s="65"/>
      <c r="J443" s="65"/>
      <c r="K443" s="65"/>
      <c r="L443" s="65"/>
      <c r="M443" s="89"/>
      <c r="N443" s="90"/>
      <c r="O443" s="42" t="b">
        <v>0</v>
      </c>
      <c r="P443" s="44"/>
      <c r="Q443" s="34"/>
      <c r="R443" s="34"/>
      <c r="S443" s="34"/>
      <c r="T443" s="34"/>
    </row>
    <row r="444" ht="15.75" hidden="1" customHeight="1">
      <c r="B444" s="86"/>
      <c r="C444" s="65"/>
      <c r="D444" s="65"/>
      <c r="E444" s="87"/>
      <c r="F444" s="88"/>
      <c r="G444" s="65"/>
      <c r="H444" s="65"/>
      <c r="I444" s="65"/>
      <c r="J444" s="65"/>
      <c r="K444" s="65"/>
      <c r="L444" s="65"/>
      <c r="M444" s="89"/>
      <c r="N444" s="90"/>
      <c r="O444" s="42" t="b">
        <v>0</v>
      </c>
      <c r="P444" s="44"/>
      <c r="Q444" s="34"/>
      <c r="R444" s="34"/>
      <c r="S444" s="34"/>
      <c r="T444" s="34"/>
    </row>
    <row r="445" ht="15.75" hidden="1" customHeight="1">
      <c r="B445" s="86"/>
      <c r="C445" s="65"/>
      <c r="D445" s="65"/>
      <c r="E445" s="87"/>
      <c r="F445" s="88"/>
      <c r="G445" s="65"/>
      <c r="H445" s="65"/>
      <c r="I445" s="65"/>
      <c r="J445" s="65"/>
      <c r="K445" s="65"/>
      <c r="L445" s="65"/>
      <c r="M445" s="89"/>
      <c r="N445" s="90"/>
      <c r="O445" s="42" t="b">
        <v>0</v>
      </c>
      <c r="P445" s="44"/>
      <c r="Q445" s="34"/>
      <c r="R445" s="34"/>
      <c r="S445" s="34"/>
      <c r="T445" s="34"/>
    </row>
    <row r="446" ht="15.75" hidden="1" customHeight="1">
      <c r="B446" s="86"/>
      <c r="C446" s="65"/>
      <c r="D446" s="65"/>
      <c r="E446" s="87"/>
      <c r="F446" s="88"/>
      <c r="G446" s="65"/>
      <c r="H446" s="65"/>
      <c r="I446" s="65"/>
      <c r="J446" s="65"/>
      <c r="K446" s="65"/>
      <c r="L446" s="65"/>
      <c r="M446" s="89"/>
      <c r="N446" s="90"/>
      <c r="O446" s="42" t="b">
        <v>0</v>
      </c>
      <c r="P446" s="44"/>
      <c r="Q446" s="34"/>
      <c r="R446" s="34"/>
      <c r="S446" s="34"/>
      <c r="T446" s="34"/>
    </row>
    <row r="447" ht="15.75" hidden="1" customHeight="1">
      <c r="B447" s="86"/>
      <c r="C447" s="65"/>
      <c r="D447" s="65"/>
      <c r="E447" s="87"/>
      <c r="F447" s="88"/>
      <c r="G447" s="65"/>
      <c r="H447" s="65"/>
      <c r="I447" s="65"/>
      <c r="J447" s="65"/>
      <c r="K447" s="65"/>
      <c r="L447" s="65"/>
      <c r="M447" s="89"/>
      <c r="N447" s="90"/>
      <c r="O447" s="42" t="b">
        <v>0</v>
      </c>
      <c r="P447" s="44"/>
      <c r="Q447" s="34"/>
      <c r="R447" s="34"/>
      <c r="S447" s="34"/>
      <c r="T447" s="34"/>
    </row>
    <row r="448" ht="15.75" hidden="1" customHeight="1">
      <c r="B448" s="86"/>
      <c r="C448" s="65"/>
      <c r="D448" s="65"/>
      <c r="E448" s="87"/>
      <c r="F448" s="88"/>
      <c r="G448" s="65"/>
      <c r="H448" s="65"/>
      <c r="I448" s="65"/>
      <c r="J448" s="65"/>
      <c r="K448" s="65"/>
      <c r="L448" s="65"/>
      <c r="M448" s="89"/>
      <c r="N448" s="90"/>
      <c r="O448" s="42" t="b">
        <v>0</v>
      </c>
      <c r="P448" s="44"/>
      <c r="Q448" s="34"/>
      <c r="R448" s="34"/>
      <c r="S448" s="34"/>
      <c r="T448" s="34"/>
    </row>
    <row r="449" ht="15.75" hidden="1" customHeight="1">
      <c r="B449" s="86"/>
      <c r="C449" s="65"/>
      <c r="D449" s="65"/>
      <c r="E449" s="87"/>
      <c r="F449" s="88"/>
      <c r="G449" s="65"/>
      <c r="H449" s="65"/>
      <c r="I449" s="65"/>
      <c r="J449" s="65"/>
      <c r="K449" s="65"/>
      <c r="L449" s="65"/>
      <c r="M449" s="89"/>
      <c r="N449" s="90"/>
      <c r="O449" s="42" t="b">
        <v>0</v>
      </c>
      <c r="P449" s="44"/>
      <c r="Q449" s="34"/>
      <c r="R449" s="34"/>
      <c r="S449" s="34"/>
      <c r="T449" s="34"/>
    </row>
    <row r="450" ht="15.75" hidden="1" customHeight="1">
      <c r="B450" s="86"/>
      <c r="C450" s="65"/>
      <c r="D450" s="65"/>
      <c r="E450" s="87"/>
      <c r="F450" s="88"/>
      <c r="G450" s="65"/>
      <c r="H450" s="65"/>
      <c r="I450" s="65"/>
      <c r="J450" s="65"/>
      <c r="K450" s="65"/>
      <c r="L450" s="65"/>
      <c r="M450" s="89"/>
      <c r="N450" s="90"/>
      <c r="O450" s="42" t="b">
        <v>0</v>
      </c>
      <c r="P450" s="44"/>
      <c r="Q450" s="34"/>
      <c r="R450" s="34"/>
      <c r="S450" s="34"/>
      <c r="T450" s="34"/>
    </row>
    <row r="451" ht="15.75" hidden="1" customHeight="1">
      <c r="B451" s="86"/>
      <c r="C451" s="65"/>
      <c r="D451" s="65"/>
      <c r="E451" s="87"/>
      <c r="F451" s="88"/>
      <c r="G451" s="65"/>
      <c r="H451" s="65"/>
      <c r="I451" s="65"/>
      <c r="J451" s="65"/>
      <c r="K451" s="65"/>
      <c r="L451" s="65"/>
      <c r="M451" s="89"/>
      <c r="N451" s="90"/>
      <c r="O451" s="42" t="b">
        <v>0</v>
      </c>
      <c r="P451" s="44"/>
      <c r="Q451" s="34"/>
      <c r="R451" s="34"/>
      <c r="S451" s="34"/>
      <c r="T451" s="34"/>
    </row>
    <row r="452" ht="15.75" hidden="1" customHeight="1">
      <c r="B452" s="86"/>
      <c r="C452" s="65"/>
      <c r="D452" s="65"/>
      <c r="E452" s="87"/>
      <c r="F452" s="88"/>
      <c r="G452" s="65"/>
      <c r="H452" s="65"/>
      <c r="I452" s="65"/>
      <c r="J452" s="65"/>
      <c r="K452" s="65"/>
      <c r="L452" s="65"/>
      <c r="M452" s="89"/>
      <c r="N452" s="90"/>
      <c r="O452" s="42" t="b">
        <v>0</v>
      </c>
      <c r="P452" s="44"/>
      <c r="Q452" s="34"/>
      <c r="R452" s="34"/>
      <c r="S452" s="34"/>
      <c r="T452" s="34"/>
    </row>
    <row r="453" ht="15.75" hidden="1" customHeight="1">
      <c r="B453" s="86"/>
      <c r="C453" s="65"/>
      <c r="D453" s="65"/>
      <c r="E453" s="87"/>
      <c r="F453" s="88"/>
      <c r="G453" s="65"/>
      <c r="H453" s="65"/>
      <c r="I453" s="65"/>
      <c r="J453" s="65"/>
      <c r="K453" s="65"/>
      <c r="L453" s="65"/>
      <c r="M453" s="89"/>
      <c r="N453" s="90"/>
      <c r="O453" s="42" t="b">
        <v>0</v>
      </c>
      <c r="P453" s="44"/>
      <c r="Q453" s="34"/>
      <c r="R453" s="34"/>
      <c r="S453" s="34"/>
      <c r="T453" s="34"/>
    </row>
    <row r="454" ht="15.75" hidden="1" customHeight="1">
      <c r="B454" s="86"/>
      <c r="C454" s="65"/>
      <c r="D454" s="65"/>
      <c r="E454" s="87"/>
      <c r="F454" s="88"/>
      <c r="G454" s="65"/>
      <c r="H454" s="65"/>
      <c r="I454" s="65"/>
      <c r="J454" s="65"/>
      <c r="K454" s="65"/>
      <c r="L454" s="65"/>
      <c r="M454" s="89"/>
      <c r="N454" s="90"/>
      <c r="O454" s="42" t="b">
        <v>0</v>
      </c>
      <c r="P454" s="44"/>
      <c r="Q454" s="34"/>
      <c r="R454" s="34"/>
      <c r="S454" s="34"/>
      <c r="T454" s="34"/>
    </row>
    <row r="455" ht="15.75" hidden="1" customHeight="1">
      <c r="B455" s="86"/>
      <c r="C455" s="65"/>
      <c r="D455" s="65"/>
      <c r="E455" s="87"/>
      <c r="F455" s="88"/>
      <c r="G455" s="65"/>
      <c r="H455" s="65"/>
      <c r="I455" s="65"/>
      <c r="J455" s="65"/>
      <c r="K455" s="65"/>
      <c r="L455" s="65"/>
      <c r="M455" s="89"/>
      <c r="N455" s="90"/>
      <c r="O455" s="42" t="b">
        <v>0</v>
      </c>
      <c r="P455" s="44"/>
      <c r="Q455" s="34"/>
      <c r="R455" s="34"/>
      <c r="S455" s="34"/>
      <c r="T455" s="34"/>
    </row>
    <row r="456" ht="15.75" hidden="1" customHeight="1">
      <c r="B456" s="86"/>
      <c r="C456" s="65"/>
      <c r="D456" s="65"/>
      <c r="E456" s="87"/>
      <c r="F456" s="88"/>
      <c r="G456" s="65"/>
      <c r="H456" s="65"/>
      <c r="I456" s="65"/>
      <c r="J456" s="65"/>
      <c r="K456" s="65"/>
      <c r="L456" s="65"/>
      <c r="M456" s="89"/>
      <c r="N456" s="90"/>
      <c r="O456" s="42" t="b">
        <v>0</v>
      </c>
      <c r="P456" s="44"/>
      <c r="Q456" s="34"/>
      <c r="R456" s="34"/>
      <c r="S456" s="34"/>
      <c r="T456" s="34"/>
    </row>
    <row r="457" ht="15.75" hidden="1" customHeight="1">
      <c r="B457" s="86"/>
      <c r="C457" s="65"/>
      <c r="D457" s="65"/>
      <c r="E457" s="87"/>
      <c r="F457" s="88"/>
      <c r="G457" s="65"/>
      <c r="H457" s="65"/>
      <c r="I457" s="65"/>
      <c r="J457" s="65"/>
      <c r="K457" s="65"/>
      <c r="L457" s="65"/>
      <c r="M457" s="89"/>
      <c r="N457" s="90"/>
      <c r="O457" s="42" t="b">
        <v>0</v>
      </c>
      <c r="P457" s="44"/>
      <c r="Q457" s="34"/>
      <c r="R457" s="34"/>
      <c r="S457" s="34"/>
      <c r="T457" s="34"/>
    </row>
    <row r="458" ht="15.75" hidden="1" customHeight="1">
      <c r="B458" s="86"/>
      <c r="C458" s="65"/>
      <c r="D458" s="65"/>
      <c r="E458" s="87"/>
      <c r="F458" s="88"/>
      <c r="G458" s="65"/>
      <c r="H458" s="65"/>
      <c r="I458" s="65"/>
      <c r="J458" s="65"/>
      <c r="K458" s="65"/>
      <c r="L458" s="65"/>
      <c r="M458" s="89"/>
      <c r="N458" s="90"/>
      <c r="O458" s="42" t="b">
        <v>0</v>
      </c>
      <c r="P458" s="44"/>
      <c r="Q458" s="34"/>
      <c r="R458" s="34"/>
      <c r="S458" s="34"/>
      <c r="T458" s="35"/>
    </row>
    <row r="459" ht="15.75" hidden="1" customHeight="1">
      <c r="B459" s="86"/>
      <c r="C459" s="65"/>
      <c r="D459" s="65"/>
      <c r="E459" s="87"/>
      <c r="F459" s="88"/>
      <c r="G459" s="65"/>
      <c r="H459" s="65"/>
      <c r="I459" s="65"/>
      <c r="J459" s="65"/>
      <c r="K459" s="65"/>
      <c r="L459" s="65"/>
      <c r="M459" s="89"/>
      <c r="N459" s="90"/>
      <c r="O459" s="42" t="b">
        <v>0</v>
      </c>
      <c r="P459" s="44"/>
      <c r="Q459" s="34"/>
      <c r="R459" s="34"/>
      <c r="S459" s="34"/>
      <c r="T459" s="34"/>
    </row>
    <row r="460" ht="15.75" hidden="1" customHeight="1">
      <c r="B460" s="86"/>
      <c r="C460" s="65"/>
      <c r="D460" s="65"/>
      <c r="E460" s="87"/>
      <c r="F460" s="88"/>
      <c r="G460" s="65"/>
      <c r="H460" s="65"/>
      <c r="I460" s="65"/>
      <c r="J460" s="65"/>
      <c r="K460" s="65"/>
      <c r="L460" s="65"/>
      <c r="M460" s="89"/>
      <c r="N460" s="90"/>
      <c r="O460" s="42" t="b">
        <v>0</v>
      </c>
      <c r="P460" s="44"/>
      <c r="Q460" s="34"/>
      <c r="R460" s="34"/>
      <c r="S460" s="34"/>
      <c r="T460" s="34"/>
    </row>
    <row r="461" ht="15.75" hidden="1" customHeight="1">
      <c r="B461" s="86"/>
      <c r="C461" s="65"/>
      <c r="D461" s="65"/>
      <c r="E461" s="87"/>
      <c r="F461" s="88"/>
      <c r="G461" s="65"/>
      <c r="H461" s="65"/>
      <c r="I461" s="65"/>
      <c r="J461" s="65"/>
      <c r="K461" s="65"/>
      <c r="L461" s="65"/>
      <c r="M461" s="89"/>
      <c r="N461" s="90"/>
      <c r="O461" s="42" t="b">
        <v>0</v>
      </c>
      <c r="P461" s="44"/>
      <c r="Q461" s="34"/>
      <c r="R461" s="34"/>
      <c r="S461" s="34"/>
      <c r="T461" s="34"/>
    </row>
    <row r="462" ht="15.75" hidden="1" customHeight="1">
      <c r="B462" s="86"/>
      <c r="C462" s="65"/>
      <c r="D462" s="65"/>
      <c r="E462" s="87"/>
      <c r="F462" s="88"/>
      <c r="G462" s="65"/>
      <c r="H462" s="65"/>
      <c r="I462" s="65"/>
      <c r="J462" s="65"/>
      <c r="K462" s="65"/>
      <c r="L462" s="65"/>
      <c r="M462" s="89"/>
      <c r="N462" s="90"/>
      <c r="O462" s="42" t="b">
        <v>0</v>
      </c>
      <c r="P462" s="44"/>
      <c r="Q462" s="34"/>
      <c r="R462" s="34"/>
      <c r="S462" s="34"/>
      <c r="T462" s="34"/>
    </row>
    <row r="463" ht="15.75" hidden="1" customHeight="1">
      <c r="B463" s="86"/>
      <c r="C463" s="98"/>
      <c r="D463" s="65"/>
      <c r="E463" s="87"/>
      <c r="F463" s="88"/>
      <c r="G463" s="65"/>
      <c r="H463" s="65"/>
      <c r="I463" s="65"/>
      <c r="J463" s="65"/>
      <c r="K463" s="65"/>
      <c r="L463" s="65"/>
      <c r="M463" s="89"/>
      <c r="N463" s="90"/>
      <c r="O463" s="42" t="b">
        <v>0</v>
      </c>
      <c r="P463" s="44"/>
      <c r="Q463" s="34"/>
      <c r="R463" s="33"/>
      <c r="S463" s="34"/>
      <c r="T463" s="34"/>
    </row>
    <row r="464" ht="15.75" hidden="1" customHeight="1">
      <c r="B464" s="86"/>
      <c r="C464" s="65"/>
      <c r="D464" s="65"/>
      <c r="E464" s="87"/>
      <c r="F464" s="88"/>
      <c r="G464" s="65"/>
      <c r="H464" s="65"/>
      <c r="I464" s="65"/>
      <c r="J464" s="65"/>
      <c r="K464" s="65"/>
      <c r="L464" s="65"/>
      <c r="M464" s="89"/>
      <c r="N464" s="90"/>
      <c r="O464" s="42" t="b">
        <v>0</v>
      </c>
      <c r="P464" s="44"/>
      <c r="Q464" s="34"/>
      <c r="R464" s="34"/>
      <c r="S464" s="34"/>
      <c r="T464" s="34"/>
    </row>
    <row r="465" ht="15.75" hidden="1" customHeight="1">
      <c r="B465" s="86"/>
      <c r="C465" s="65"/>
      <c r="D465" s="65"/>
      <c r="E465" s="87"/>
      <c r="F465" s="88"/>
      <c r="G465" s="65"/>
      <c r="H465" s="65"/>
      <c r="I465" s="65"/>
      <c r="J465" s="65"/>
      <c r="K465" s="65"/>
      <c r="L465" s="65"/>
      <c r="M465" s="89"/>
      <c r="N465" s="90"/>
      <c r="O465" s="42" t="b">
        <v>0</v>
      </c>
      <c r="P465" s="44"/>
      <c r="Q465" s="34"/>
      <c r="R465" s="34"/>
      <c r="S465" s="34"/>
      <c r="T465" s="34"/>
    </row>
    <row r="466" ht="15.75" hidden="1" customHeight="1">
      <c r="B466" s="86"/>
      <c r="C466" s="65"/>
      <c r="D466" s="65"/>
      <c r="E466" s="87"/>
      <c r="F466" s="88"/>
      <c r="G466" s="65"/>
      <c r="H466" s="65"/>
      <c r="I466" s="65"/>
      <c r="J466" s="65"/>
      <c r="K466" s="65"/>
      <c r="L466" s="65"/>
      <c r="M466" s="89"/>
      <c r="N466" s="90"/>
      <c r="O466" s="42" t="b">
        <v>0</v>
      </c>
      <c r="P466" s="44"/>
      <c r="Q466" s="34"/>
      <c r="R466" s="34"/>
      <c r="S466" s="34"/>
      <c r="T466" s="34"/>
    </row>
    <row r="467" ht="15.75" hidden="1" customHeight="1">
      <c r="B467" s="86"/>
      <c r="C467" s="65"/>
      <c r="D467" s="65"/>
      <c r="E467" s="87"/>
      <c r="F467" s="88"/>
      <c r="G467" s="65"/>
      <c r="H467" s="65"/>
      <c r="I467" s="65"/>
      <c r="J467" s="65"/>
      <c r="K467" s="65"/>
      <c r="L467" s="65"/>
      <c r="M467" s="89"/>
      <c r="N467" s="90"/>
      <c r="O467" s="42" t="b">
        <v>0</v>
      </c>
      <c r="P467" s="44"/>
      <c r="Q467" s="34"/>
      <c r="R467" s="34"/>
      <c r="S467" s="34"/>
      <c r="T467" s="34"/>
    </row>
    <row r="468" ht="15.75" hidden="1" customHeight="1">
      <c r="B468" s="86"/>
      <c r="C468" s="65"/>
      <c r="D468" s="65"/>
      <c r="E468" s="87"/>
      <c r="F468" s="88"/>
      <c r="G468" s="65"/>
      <c r="H468" s="65"/>
      <c r="I468" s="65"/>
      <c r="J468" s="65"/>
      <c r="K468" s="65"/>
      <c r="L468" s="65"/>
      <c r="M468" s="89"/>
      <c r="N468" s="90"/>
      <c r="O468" s="42" t="b">
        <v>0</v>
      </c>
      <c r="P468" s="44"/>
      <c r="Q468" s="34"/>
      <c r="R468" s="34"/>
      <c r="S468" s="34"/>
      <c r="T468" s="34"/>
    </row>
    <row r="469" ht="15.75" hidden="1" customHeight="1">
      <c r="B469" s="86"/>
      <c r="C469" s="65"/>
      <c r="D469" s="65"/>
      <c r="E469" s="87"/>
      <c r="F469" s="88"/>
      <c r="G469" s="65"/>
      <c r="H469" s="65"/>
      <c r="I469" s="65"/>
      <c r="J469" s="65"/>
      <c r="K469" s="65"/>
      <c r="L469" s="65"/>
      <c r="M469" s="89"/>
      <c r="N469" s="90"/>
      <c r="O469" s="42" t="b">
        <v>0</v>
      </c>
      <c r="P469" s="44"/>
      <c r="Q469" s="34"/>
      <c r="R469" s="34"/>
      <c r="S469" s="34"/>
      <c r="T469" s="34"/>
    </row>
    <row r="470" ht="15.75" hidden="1" customHeight="1">
      <c r="B470" s="86"/>
      <c r="C470" s="65"/>
      <c r="D470" s="65"/>
      <c r="E470" s="87"/>
      <c r="F470" s="88"/>
      <c r="G470" s="65"/>
      <c r="H470" s="65"/>
      <c r="I470" s="65"/>
      <c r="J470" s="65"/>
      <c r="K470" s="65"/>
      <c r="L470" s="65"/>
      <c r="M470" s="89"/>
      <c r="N470" s="90"/>
      <c r="O470" s="42" t="b">
        <v>0</v>
      </c>
      <c r="P470" s="44"/>
      <c r="Q470" s="34"/>
      <c r="R470" s="34"/>
      <c r="S470" s="34"/>
      <c r="T470" s="34"/>
    </row>
    <row r="471" ht="15.75" hidden="1" customHeight="1">
      <c r="B471" s="86"/>
      <c r="C471" s="65"/>
      <c r="D471" s="65"/>
      <c r="E471" s="87"/>
      <c r="F471" s="88"/>
      <c r="G471" s="65"/>
      <c r="H471" s="65"/>
      <c r="I471" s="65"/>
      <c r="J471" s="65"/>
      <c r="K471" s="65"/>
      <c r="L471" s="65"/>
      <c r="M471" s="89"/>
      <c r="N471" s="90"/>
      <c r="O471" s="42" t="b">
        <v>0</v>
      </c>
      <c r="P471" s="44"/>
      <c r="Q471" s="34"/>
      <c r="R471" s="34"/>
      <c r="S471" s="34"/>
      <c r="T471" s="34"/>
    </row>
    <row r="472" ht="15.75" hidden="1" customHeight="1">
      <c r="B472" s="86"/>
      <c r="C472" s="65"/>
      <c r="D472" s="65"/>
      <c r="E472" s="87"/>
      <c r="F472" s="88"/>
      <c r="G472" s="65"/>
      <c r="H472" s="65"/>
      <c r="I472" s="65"/>
      <c r="J472" s="65"/>
      <c r="K472" s="65"/>
      <c r="L472" s="65"/>
      <c r="M472" s="89"/>
      <c r="N472" s="90"/>
      <c r="O472" s="42" t="b">
        <v>0</v>
      </c>
      <c r="P472" s="44"/>
      <c r="Q472" s="34"/>
      <c r="R472" s="34"/>
      <c r="S472" s="34"/>
      <c r="T472" s="34"/>
    </row>
    <row r="473" ht="15.75" hidden="1" customHeight="1">
      <c r="B473" s="86"/>
      <c r="C473" s="65"/>
      <c r="D473" s="65"/>
      <c r="E473" s="87"/>
      <c r="F473" s="88"/>
      <c r="G473" s="65"/>
      <c r="H473" s="65"/>
      <c r="I473" s="65"/>
      <c r="J473" s="65"/>
      <c r="K473" s="65"/>
      <c r="L473" s="65"/>
      <c r="M473" s="89"/>
      <c r="N473" s="90"/>
      <c r="O473" s="42" t="b">
        <v>0</v>
      </c>
      <c r="P473" s="44"/>
      <c r="Q473" s="34"/>
      <c r="R473" s="34"/>
      <c r="S473" s="34"/>
      <c r="T473" s="34"/>
    </row>
    <row r="474" ht="15.75" hidden="1" customHeight="1">
      <c r="B474" s="86"/>
      <c r="C474" s="65"/>
      <c r="D474" s="65"/>
      <c r="E474" s="87"/>
      <c r="F474" s="88"/>
      <c r="G474" s="65"/>
      <c r="H474" s="65"/>
      <c r="I474" s="65"/>
      <c r="J474" s="65"/>
      <c r="K474" s="65"/>
      <c r="L474" s="65"/>
      <c r="M474" s="89"/>
      <c r="N474" s="90"/>
      <c r="O474" s="42" t="b">
        <v>0</v>
      </c>
      <c r="P474" s="44"/>
      <c r="Q474" s="34"/>
      <c r="R474" s="34"/>
      <c r="S474" s="34"/>
      <c r="T474" s="34"/>
    </row>
    <row r="475" ht="15.75" hidden="1" customHeight="1">
      <c r="B475" s="86"/>
      <c r="C475" s="65"/>
      <c r="D475" s="65"/>
      <c r="E475" s="87"/>
      <c r="F475" s="88"/>
      <c r="G475" s="65"/>
      <c r="H475" s="65"/>
      <c r="I475" s="65"/>
      <c r="J475" s="65"/>
      <c r="K475" s="65"/>
      <c r="L475" s="65"/>
      <c r="M475" s="89"/>
      <c r="N475" s="90"/>
      <c r="O475" s="42" t="b">
        <v>0</v>
      </c>
      <c r="P475" s="44"/>
      <c r="Q475" s="34"/>
      <c r="R475" s="34"/>
      <c r="S475" s="34"/>
      <c r="T475" s="34"/>
    </row>
    <row r="476" ht="15.75" hidden="1" customHeight="1">
      <c r="B476" s="86"/>
      <c r="C476" s="65"/>
      <c r="D476" s="65"/>
      <c r="E476" s="87"/>
      <c r="F476" s="88"/>
      <c r="G476" s="65"/>
      <c r="H476" s="65"/>
      <c r="I476" s="65"/>
      <c r="J476" s="65"/>
      <c r="K476" s="65"/>
      <c r="L476" s="65"/>
      <c r="M476" s="89"/>
      <c r="N476" s="90"/>
      <c r="O476" s="42" t="b">
        <v>0</v>
      </c>
      <c r="P476" s="44"/>
      <c r="Q476" s="34"/>
      <c r="R476" s="34"/>
      <c r="S476" s="34"/>
      <c r="T476" s="34"/>
    </row>
    <row r="477" ht="15.75" hidden="1" customHeight="1">
      <c r="B477" s="86"/>
      <c r="C477" s="65"/>
      <c r="D477" s="65"/>
      <c r="E477" s="87"/>
      <c r="F477" s="88"/>
      <c r="G477" s="65"/>
      <c r="H477" s="65"/>
      <c r="I477" s="65"/>
      <c r="J477" s="65"/>
      <c r="K477" s="65"/>
      <c r="L477" s="65"/>
      <c r="M477" s="89"/>
      <c r="N477" s="90"/>
      <c r="O477" s="42" t="b">
        <v>0</v>
      </c>
      <c r="P477" s="44"/>
      <c r="Q477" s="34"/>
      <c r="R477" s="34"/>
      <c r="S477" s="34"/>
      <c r="T477" s="34"/>
    </row>
    <row r="478" ht="15.75" hidden="1" customHeight="1">
      <c r="B478" s="86"/>
      <c r="C478" s="65"/>
      <c r="D478" s="65"/>
      <c r="E478" s="87"/>
      <c r="F478" s="88"/>
      <c r="G478" s="65"/>
      <c r="H478" s="65"/>
      <c r="I478" s="65"/>
      <c r="J478" s="65"/>
      <c r="K478" s="65"/>
      <c r="L478" s="65"/>
      <c r="M478" s="89"/>
      <c r="N478" s="90"/>
      <c r="O478" s="42" t="b">
        <v>0</v>
      </c>
      <c r="P478" s="44"/>
      <c r="Q478" s="34"/>
      <c r="R478" s="34"/>
      <c r="S478" s="34"/>
      <c r="T478" s="34"/>
    </row>
    <row r="479" ht="15.75" hidden="1" customHeight="1">
      <c r="B479" s="86"/>
      <c r="C479" s="65"/>
      <c r="D479" s="65"/>
      <c r="E479" s="87"/>
      <c r="F479" s="88"/>
      <c r="G479" s="65"/>
      <c r="H479" s="65"/>
      <c r="I479" s="65"/>
      <c r="J479" s="65"/>
      <c r="K479" s="65"/>
      <c r="L479" s="65"/>
      <c r="M479" s="89"/>
      <c r="N479" s="90"/>
      <c r="O479" s="42" t="b">
        <v>0</v>
      </c>
      <c r="P479" s="44"/>
      <c r="Q479" s="34"/>
      <c r="R479" s="34"/>
      <c r="S479" s="34"/>
      <c r="T479" s="34"/>
    </row>
    <row r="480" ht="15.75" hidden="1" customHeight="1">
      <c r="B480" s="86"/>
      <c r="C480" s="65"/>
      <c r="D480" s="65"/>
      <c r="E480" s="87"/>
      <c r="F480" s="88"/>
      <c r="G480" s="65"/>
      <c r="H480" s="65"/>
      <c r="I480" s="65"/>
      <c r="J480" s="65"/>
      <c r="K480" s="65"/>
      <c r="L480" s="65"/>
      <c r="M480" s="89"/>
      <c r="N480" s="90"/>
      <c r="O480" s="42" t="b">
        <v>0</v>
      </c>
      <c r="P480" s="44"/>
      <c r="Q480" s="34"/>
      <c r="R480" s="34"/>
      <c r="S480" s="34"/>
      <c r="T480" s="34"/>
    </row>
    <row r="481" ht="15.75" hidden="1" customHeight="1">
      <c r="B481" s="86"/>
      <c r="C481" s="65"/>
      <c r="D481" s="65"/>
      <c r="E481" s="87"/>
      <c r="F481" s="88"/>
      <c r="G481" s="65"/>
      <c r="H481" s="65"/>
      <c r="I481" s="65"/>
      <c r="J481" s="65"/>
      <c r="K481" s="65"/>
      <c r="L481" s="65"/>
      <c r="M481" s="89"/>
      <c r="N481" s="90"/>
      <c r="O481" s="42" t="b">
        <v>0</v>
      </c>
      <c r="P481" s="44"/>
      <c r="Q481" s="34"/>
      <c r="R481" s="34"/>
      <c r="S481" s="34"/>
      <c r="T481" s="34"/>
    </row>
    <row r="482" ht="15.75" hidden="1" customHeight="1">
      <c r="B482" s="86"/>
      <c r="C482" s="65"/>
      <c r="D482" s="65"/>
      <c r="E482" s="87"/>
      <c r="F482" s="88"/>
      <c r="G482" s="65"/>
      <c r="H482" s="65"/>
      <c r="I482" s="65"/>
      <c r="J482" s="65"/>
      <c r="K482" s="65"/>
      <c r="L482" s="65"/>
      <c r="M482" s="89"/>
      <c r="N482" s="90"/>
      <c r="O482" s="42" t="b">
        <v>0</v>
      </c>
      <c r="P482" s="44"/>
      <c r="Q482" s="34"/>
      <c r="R482" s="34"/>
      <c r="S482" s="34"/>
      <c r="T482" s="34"/>
    </row>
    <row r="483" ht="15.75" hidden="1" customHeight="1">
      <c r="B483" s="86"/>
      <c r="C483" s="65"/>
      <c r="D483" s="65"/>
      <c r="E483" s="87"/>
      <c r="F483" s="88"/>
      <c r="G483" s="65"/>
      <c r="H483" s="65"/>
      <c r="I483" s="65"/>
      <c r="J483" s="65"/>
      <c r="K483" s="65"/>
      <c r="L483" s="65"/>
      <c r="M483" s="89"/>
      <c r="N483" s="90"/>
      <c r="O483" s="42" t="b">
        <v>0</v>
      </c>
      <c r="P483" s="36"/>
      <c r="Q483" s="34"/>
      <c r="R483" s="34"/>
      <c r="S483" s="34"/>
      <c r="T483" s="34"/>
    </row>
    <row r="484" ht="15.75" hidden="1" customHeight="1">
      <c r="B484" s="86"/>
      <c r="C484" s="65"/>
      <c r="D484" s="65"/>
      <c r="E484" s="87"/>
      <c r="F484" s="88"/>
      <c r="G484" s="65"/>
      <c r="H484" s="65"/>
      <c r="I484" s="65"/>
      <c r="J484" s="65"/>
      <c r="K484" s="65"/>
      <c r="L484" s="65"/>
      <c r="M484" s="89"/>
      <c r="N484" s="90"/>
      <c r="O484" s="42" t="b">
        <v>0</v>
      </c>
      <c r="P484" s="36"/>
      <c r="Q484" s="34"/>
      <c r="R484" s="33"/>
      <c r="S484" s="34"/>
      <c r="T484" s="35"/>
    </row>
    <row r="485" ht="15.0" hidden="1" customHeight="1">
      <c r="B485" s="86"/>
      <c r="C485" s="65"/>
      <c r="D485" s="65"/>
      <c r="E485" s="87"/>
      <c r="F485" s="88"/>
      <c r="G485" s="65"/>
      <c r="H485" s="65"/>
      <c r="I485" s="65"/>
      <c r="J485" s="65"/>
      <c r="K485" s="65"/>
      <c r="L485" s="65"/>
      <c r="M485" s="89"/>
      <c r="N485" s="90"/>
      <c r="O485" s="42" t="b">
        <v>0</v>
      </c>
      <c r="P485" s="44"/>
      <c r="Q485" s="34"/>
      <c r="R485" s="33"/>
      <c r="S485" s="34"/>
      <c r="T485" s="34"/>
    </row>
    <row r="486" ht="15.75" hidden="1" customHeight="1">
      <c r="B486" s="86"/>
      <c r="C486" s="65"/>
      <c r="D486" s="65"/>
      <c r="E486" s="87"/>
      <c r="F486" s="88"/>
      <c r="G486" s="65"/>
      <c r="H486" s="65"/>
      <c r="I486" s="65"/>
      <c r="J486" s="65"/>
      <c r="K486" s="65"/>
      <c r="L486" s="65"/>
      <c r="M486" s="89"/>
      <c r="N486" s="90"/>
      <c r="O486" s="42" t="b">
        <v>0</v>
      </c>
      <c r="P486" s="44"/>
      <c r="Q486" s="34"/>
      <c r="R486" s="34"/>
      <c r="S486" s="34"/>
      <c r="T486" s="34"/>
    </row>
    <row r="487" ht="15.75" hidden="1" customHeight="1">
      <c r="B487" s="86"/>
      <c r="C487" s="65"/>
      <c r="D487" s="65"/>
      <c r="E487" s="87"/>
      <c r="F487" s="88"/>
      <c r="G487" s="65"/>
      <c r="H487" s="65"/>
      <c r="I487" s="65"/>
      <c r="J487" s="65"/>
      <c r="K487" s="65"/>
      <c r="L487" s="65"/>
      <c r="M487" s="89"/>
      <c r="N487" s="90"/>
      <c r="O487" s="42" t="b">
        <v>0</v>
      </c>
      <c r="P487" s="44"/>
      <c r="Q487" s="34"/>
      <c r="R487" s="34"/>
      <c r="S487" s="34"/>
      <c r="T487" s="34"/>
    </row>
    <row r="488" ht="15.75" hidden="1" customHeight="1">
      <c r="B488" s="86"/>
      <c r="C488" s="65"/>
      <c r="D488" s="65"/>
      <c r="E488" s="87"/>
      <c r="F488" s="88"/>
      <c r="G488" s="65"/>
      <c r="H488" s="65"/>
      <c r="I488" s="65"/>
      <c r="J488" s="65"/>
      <c r="K488" s="65"/>
      <c r="L488" s="65"/>
      <c r="M488" s="89"/>
      <c r="N488" s="90"/>
      <c r="O488" s="42" t="b">
        <v>0</v>
      </c>
      <c r="P488" s="44"/>
      <c r="Q488" s="34"/>
      <c r="R488" s="34"/>
      <c r="S488" s="34"/>
      <c r="T488" s="35"/>
    </row>
    <row r="489" ht="15.75" hidden="1" customHeight="1">
      <c r="B489" s="86"/>
      <c r="C489" s="65"/>
      <c r="D489" s="65"/>
      <c r="E489" s="87"/>
      <c r="F489" s="88"/>
      <c r="G489" s="65"/>
      <c r="H489" s="65"/>
      <c r="I489" s="65"/>
      <c r="J489" s="65"/>
      <c r="K489" s="65"/>
      <c r="L489" s="65"/>
      <c r="M489" s="89"/>
      <c r="N489" s="90"/>
      <c r="O489" s="42" t="b">
        <v>0</v>
      </c>
      <c r="P489" s="44"/>
      <c r="Q489" s="34"/>
      <c r="R489" s="34"/>
      <c r="S489" s="34"/>
      <c r="T489" s="34"/>
    </row>
    <row r="490" ht="15.75" hidden="1" customHeight="1">
      <c r="B490" s="86"/>
      <c r="C490" s="65"/>
      <c r="D490" s="65"/>
      <c r="E490" s="87"/>
      <c r="F490" s="88"/>
      <c r="G490" s="65"/>
      <c r="H490" s="65"/>
      <c r="I490" s="65"/>
      <c r="J490" s="65"/>
      <c r="K490" s="65"/>
      <c r="L490" s="65"/>
      <c r="M490" s="89"/>
      <c r="N490" s="90"/>
      <c r="O490" s="42" t="b">
        <v>0</v>
      </c>
      <c r="P490" s="44"/>
      <c r="Q490" s="34"/>
      <c r="R490" s="34"/>
      <c r="S490" s="34"/>
      <c r="T490" s="34"/>
    </row>
    <row r="491" ht="15.75" hidden="1" customHeight="1">
      <c r="B491" s="86"/>
      <c r="C491" s="65"/>
      <c r="D491" s="65"/>
      <c r="E491" s="87"/>
      <c r="F491" s="88"/>
      <c r="G491" s="65"/>
      <c r="H491" s="65"/>
      <c r="I491" s="65"/>
      <c r="J491" s="65"/>
      <c r="K491" s="65"/>
      <c r="L491" s="65"/>
      <c r="M491" s="89"/>
      <c r="N491" s="90"/>
      <c r="O491" s="42" t="b">
        <v>0</v>
      </c>
      <c r="P491" s="44"/>
      <c r="Q491" s="34"/>
      <c r="R491" s="34"/>
      <c r="S491" s="34"/>
      <c r="T491" s="34"/>
    </row>
    <row r="492" ht="15.75" hidden="1" customHeight="1">
      <c r="B492" s="86"/>
      <c r="C492" s="65"/>
      <c r="D492" s="65"/>
      <c r="E492" s="87"/>
      <c r="F492" s="88"/>
      <c r="G492" s="65"/>
      <c r="H492" s="65"/>
      <c r="I492" s="65"/>
      <c r="J492" s="65"/>
      <c r="K492" s="65"/>
      <c r="L492" s="65"/>
      <c r="M492" s="89"/>
      <c r="N492" s="90"/>
      <c r="O492" s="42" t="b">
        <v>0</v>
      </c>
      <c r="P492" s="44"/>
      <c r="Q492" s="34"/>
      <c r="R492" s="34"/>
      <c r="S492" s="34"/>
      <c r="T492" s="35"/>
    </row>
    <row r="493" ht="15.75" hidden="1" customHeight="1">
      <c r="B493" s="86"/>
      <c r="C493" s="65"/>
      <c r="D493" s="65"/>
      <c r="E493" s="87"/>
      <c r="F493" s="88"/>
      <c r="G493" s="65"/>
      <c r="H493" s="65"/>
      <c r="I493" s="65"/>
      <c r="J493" s="65"/>
      <c r="K493" s="65"/>
      <c r="L493" s="65"/>
      <c r="M493" s="89"/>
      <c r="N493" s="90"/>
      <c r="O493" s="42" t="b">
        <v>0</v>
      </c>
      <c r="P493" s="44"/>
      <c r="Q493" s="34"/>
      <c r="R493" s="34"/>
      <c r="S493" s="34"/>
      <c r="T493" s="34"/>
    </row>
    <row r="494" ht="15.75" hidden="1" customHeight="1">
      <c r="B494" s="86"/>
      <c r="C494" s="65"/>
      <c r="D494" s="65"/>
      <c r="E494" s="87"/>
      <c r="F494" s="88"/>
      <c r="G494" s="65"/>
      <c r="H494" s="65"/>
      <c r="I494" s="65"/>
      <c r="J494" s="65"/>
      <c r="K494" s="65"/>
      <c r="L494" s="65"/>
      <c r="M494" s="89"/>
      <c r="N494" s="90"/>
      <c r="O494" s="42" t="b">
        <v>0</v>
      </c>
      <c r="P494" s="44"/>
      <c r="Q494" s="34"/>
      <c r="R494" s="34"/>
      <c r="S494" s="34"/>
      <c r="T494" s="34"/>
    </row>
    <row r="495" ht="15.75" hidden="1" customHeight="1">
      <c r="B495" s="86"/>
      <c r="C495" s="65"/>
      <c r="D495" s="65"/>
      <c r="E495" s="87"/>
      <c r="F495" s="88"/>
      <c r="G495" s="65"/>
      <c r="H495" s="65"/>
      <c r="I495" s="65"/>
      <c r="J495" s="65"/>
      <c r="K495" s="65"/>
      <c r="L495" s="65"/>
      <c r="M495" s="89"/>
      <c r="N495" s="90"/>
      <c r="O495" s="42" t="b">
        <v>0</v>
      </c>
      <c r="P495" s="44"/>
      <c r="Q495" s="34"/>
      <c r="R495" s="34"/>
      <c r="S495" s="34"/>
      <c r="T495" s="34"/>
    </row>
    <row r="496" ht="15.75" hidden="1" customHeight="1">
      <c r="B496" s="86"/>
      <c r="C496" s="65"/>
      <c r="D496" s="65"/>
      <c r="E496" s="87"/>
      <c r="F496" s="88"/>
      <c r="G496" s="65"/>
      <c r="H496" s="65"/>
      <c r="I496" s="65"/>
      <c r="J496" s="65"/>
      <c r="K496" s="65"/>
      <c r="L496" s="65"/>
      <c r="M496" s="89"/>
      <c r="N496" s="90"/>
      <c r="O496" s="42" t="b">
        <v>0</v>
      </c>
      <c r="P496" s="44"/>
      <c r="Q496" s="34"/>
      <c r="R496" s="34"/>
      <c r="S496" s="34"/>
      <c r="T496" s="34"/>
    </row>
    <row r="497" ht="15.75" hidden="1" customHeight="1">
      <c r="B497" s="86"/>
      <c r="C497" s="65"/>
      <c r="D497" s="65"/>
      <c r="E497" s="87"/>
      <c r="F497" s="88"/>
      <c r="G497" s="65"/>
      <c r="H497" s="65"/>
      <c r="I497" s="65"/>
      <c r="J497" s="65"/>
      <c r="K497" s="65"/>
      <c r="L497" s="65"/>
      <c r="M497" s="89"/>
      <c r="N497" s="90"/>
      <c r="O497" s="42" t="b">
        <v>0</v>
      </c>
      <c r="P497" s="44"/>
      <c r="Q497" s="34"/>
      <c r="R497" s="34"/>
      <c r="S497" s="34"/>
      <c r="T497" s="34"/>
    </row>
    <row r="498" ht="15.75" hidden="1" customHeight="1">
      <c r="B498" s="86"/>
      <c r="C498" s="65"/>
      <c r="D498" s="65"/>
      <c r="E498" s="87"/>
      <c r="F498" s="88"/>
      <c r="G498" s="65"/>
      <c r="H498" s="65"/>
      <c r="I498" s="65"/>
      <c r="J498" s="65"/>
      <c r="K498" s="65"/>
      <c r="L498" s="65"/>
      <c r="M498" s="89"/>
      <c r="N498" s="90"/>
      <c r="O498" s="42" t="b">
        <v>0</v>
      </c>
      <c r="P498" s="44"/>
      <c r="Q498" s="34"/>
      <c r="R498" s="34"/>
      <c r="S498" s="34"/>
      <c r="T498" s="34"/>
    </row>
    <row r="499" ht="15.75" hidden="1" customHeight="1">
      <c r="B499" s="86"/>
      <c r="C499" s="65"/>
      <c r="D499" s="65"/>
      <c r="E499" s="87"/>
      <c r="F499" s="88"/>
      <c r="G499" s="65"/>
      <c r="H499" s="65"/>
      <c r="I499" s="65"/>
      <c r="J499" s="65"/>
      <c r="K499" s="65"/>
      <c r="L499" s="65"/>
      <c r="M499" s="89"/>
      <c r="N499" s="90"/>
      <c r="O499" s="42" t="b">
        <v>0</v>
      </c>
      <c r="P499" s="44"/>
      <c r="Q499" s="34"/>
      <c r="R499" s="34"/>
      <c r="S499" s="34"/>
      <c r="T499" s="34"/>
    </row>
    <row r="500" ht="15.75" hidden="1" customHeight="1">
      <c r="B500" s="86"/>
      <c r="C500" s="65"/>
      <c r="D500" s="65"/>
      <c r="E500" s="87"/>
      <c r="F500" s="88"/>
      <c r="G500" s="65"/>
      <c r="H500" s="65"/>
      <c r="I500" s="65"/>
      <c r="J500" s="65"/>
      <c r="K500" s="65"/>
      <c r="L500" s="65"/>
      <c r="M500" s="89"/>
      <c r="N500" s="90"/>
      <c r="O500" s="42" t="b">
        <v>0</v>
      </c>
      <c r="P500" s="44"/>
      <c r="Q500" s="34"/>
      <c r="R500" s="34"/>
      <c r="S500" s="34"/>
      <c r="T500" s="34"/>
    </row>
    <row r="501" ht="15.75" hidden="1" customHeight="1">
      <c r="B501" s="86"/>
      <c r="C501" s="65"/>
      <c r="D501" s="65"/>
      <c r="E501" s="87"/>
      <c r="F501" s="88"/>
      <c r="G501" s="65"/>
      <c r="H501" s="65"/>
      <c r="I501" s="65"/>
      <c r="J501" s="65"/>
      <c r="K501" s="65"/>
      <c r="L501" s="65"/>
      <c r="M501" s="89"/>
      <c r="N501" s="90"/>
      <c r="O501" s="42" t="b">
        <v>0</v>
      </c>
      <c r="P501" s="44"/>
      <c r="Q501" s="34"/>
      <c r="R501" s="34"/>
      <c r="S501" s="34"/>
      <c r="T501" s="34"/>
    </row>
    <row r="502" ht="15.75" hidden="1" customHeight="1">
      <c r="B502" s="86"/>
      <c r="C502" s="65"/>
      <c r="D502" s="65"/>
      <c r="E502" s="87"/>
      <c r="F502" s="88"/>
      <c r="G502" s="65"/>
      <c r="H502" s="65"/>
      <c r="I502" s="65"/>
      <c r="J502" s="65"/>
      <c r="K502" s="65"/>
      <c r="L502" s="65"/>
      <c r="M502" s="89"/>
      <c r="N502" s="90"/>
      <c r="O502" s="42" t="b">
        <v>0</v>
      </c>
      <c r="P502" s="44"/>
      <c r="Q502" s="34"/>
      <c r="R502" s="34"/>
      <c r="S502" s="34"/>
      <c r="T502" s="34"/>
    </row>
    <row r="503" ht="15.75" hidden="1" customHeight="1">
      <c r="B503" s="86"/>
      <c r="C503" s="65"/>
      <c r="D503" s="65"/>
      <c r="E503" s="87"/>
      <c r="F503" s="88"/>
      <c r="G503" s="65"/>
      <c r="H503" s="65"/>
      <c r="I503" s="65"/>
      <c r="J503" s="65"/>
      <c r="K503" s="65"/>
      <c r="L503" s="65"/>
      <c r="M503" s="89"/>
      <c r="N503" s="90"/>
      <c r="O503" s="42" t="b">
        <v>0</v>
      </c>
      <c r="P503" s="44"/>
      <c r="Q503" s="34"/>
      <c r="R503" s="34"/>
      <c r="S503" s="34"/>
      <c r="T503" s="34"/>
    </row>
    <row r="504" ht="15.75" hidden="1" customHeight="1">
      <c r="B504" s="86"/>
      <c r="C504" s="65"/>
      <c r="D504" s="65"/>
      <c r="E504" s="87"/>
      <c r="F504" s="88"/>
      <c r="G504" s="65"/>
      <c r="H504" s="65"/>
      <c r="I504" s="65"/>
      <c r="J504" s="65"/>
      <c r="K504" s="65"/>
      <c r="L504" s="65"/>
      <c r="M504" s="89"/>
      <c r="N504" s="90"/>
      <c r="O504" s="42" t="b">
        <v>0</v>
      </c>
      <c r="P504" s="44"/>
      <c r="Q504" s="34"/>
      <c r="R504" s="34"/>
      <c r="S504" s="34"/>
      <c r="T504" s="34"/>
    </row>
    <row r="505" ht="15.75" hidden="1" customHeight="1">
      <c r="B505" s="86"/>
      <c r="C505" s="65"/>
      <c r="D505" s="65"/>
      <c r="E505" s="87"/>
      <c r="F505" s="88"/>
      <c r="G505" s="65"/>
      <c r="H505" s="65"/>
      <c r="I505" s="65"/>
      <c r="J505" s="65"/>
      <c r="K505" s="65"/>
      <c r="L505" s="65"/>
      <c r="M505" s="89"/>
      <c r="N505" s="90"/>
      <c r="O505" s="42" t="b">
        <v>0</v>
      </c>
      <c r="P505" s="44"/>
      <c r="Q505" s="34"/>
      <c r="R505" s="34"/>
      <c r="S505" s="34"/>
      <c r="T505" s="34"/>
    </row>
    <row r="506" ht="15.75" hidden="1" customHeight="1">
      <c r="B506" s="86"/>
      <c r="C506" s="65"/>
      <c r="D506" s="65"/>
      <c r="E506" s="87"/>
      <c r="F506" s="88"/>
      <c r="G506" s="65"/>
      <c r="H506" s="65"/>
      <c r="I506" s="65"/>
      <c r="J506" s="65"/>
      <c r="K506" s="65"/>
      <c r="L506" s="65"/>
      <c r="M506" s="89"/>
      <c r="N506" s="90"/>
      <c r="O506" s="42" t="b">
        <v>0</v>
      </c>
      <c r="P506" s="44"/>
      <c r="Q506" s="34"/>
      <c r="R506" s="34"/>
      <c r="S506" s="34"/>
      <c r="T506" s="34"/>
    </row>
    <row r="507" ht="15.75" hidden="1" customHeight="1">
      <c r="B507" s="86"/>
      <c r="C507" s="65"/>
      <c r="D507" s="65"/>
      <c r="E507" s="87"/>
      <c r="F507" s="88"/>
      <c r="G507" s="65"/>
      <c r="H507" s="65"/>
      <c r="I507" s="65"/>
      <c r="J507" s="65"/>
      <c r="K507" s="65"/>
      <c r="L507" s="65"/>
      <c r="M507" s="89"/>
      <c r="N507" s="90"/>
      <c r="O507" s="42" t="b">
        <v>0</v>
      </c>
      <c r="P507" s="44"/>
      <c r="Q507" s="34"/>
      <c r="R507" s="34"/>
      <c r="S507" s="34"/>
      <c r="T507" s="35"/>
    </row>
    <row r="508" ht="15.75" hidden="1" customHeight="1">
      <c r="B508" s="86"/>
      <c r="C508" s="65"/>
      <c r="D508" s="65"/>
      <c r="E508" s="87"/>
      <c r="F508" s="88"/>
      <c r="G508" s="65"/>
      <c r="H508" s="65"/>
      <c r="I508" s="65"/>
      <c r="J508" s="65"/>
      <c r="K508" s="65"/>
      <c r="L508" s="65"/>
      <c r="M508" s="89"/>
      <c r="N508" s="90"/>
      <c r="O508" s="42" t="b">
        <v>0</v>
      </c>
      <c r="P508" s="44"/>
      <c r="Q508" s="34"/>
      <c r="R508" s="34"/>
      <c r="S508" s="34"/>
      <c r="T508" s="34"/>
    </row>
    <row r="509" ht="15.75" hidden="1" customHeight="1">
      <c r="B509" s="86"/>
      <c r="C509" s="65"/>
      <c r="D509" s="65"/>
      <c r="E509" s="87"/>
      <c r="F509" s="88"/>
      <c r="G509" s="65"/>
      <c r="H509" s="65"/>
      <c r="I509" s="65"/>
      <c r="J509" s="65"/>
      <c r="K509" s="65"/>
      <c r="L509" s="65"/>
      <c r="M509" s="89"/>
      <c r="N509" s="90"/>
      <c r="O509" s="42" t="b">
        <v>0</v>
      </c>
      <c r="P509" s="44"/>
      <c r="Q509" s="34"/>
      <c r="R509" s="34"/>
      <c r="S509" s="34"/>
      <c r="T509" s="34"/>
    </row>
    <row r="510" ht="15.75" hidden="1" customHeight="1">
      <c r="B510" s="86"/>
      <c r="C510" s="65"/>
      <c r="D510" s="65"/>
      <c r="E510" s="87"/>
      <c r="F510" s="88"/>
      <c r="G510" s="65"/>
      <c r="H510" s="65"/>
      <c r="I510" s="65"/>
      <c r="J510" s="65"/>
      <c r="K510" s="65"/>
      <c r="L510" s="65"/>
      <c r="M510" s="89"/>
      <c r="N510" s="90"/>
      <c r="O510" s="42" t="b">
        <v>0</v>
      </c>
      <c r="P510" s="36"/>
      <c r="Q510" s="34"/>
      <c r="R510" s="34"/>
      <c r="S510" s="34"/>
      <c r="T510" s="34"/>
    </row>
    <row r="511" ht="15.75" hidden="1" customHeight="1">
      <c r="B511" s="86"/>
      <c r="C511" s="65"/>
      <c r="D511" s="65"/>
      <c r="E511" s="87"/>
      <c r="F511" s="88"/>
      <c r="G511" s="65"/>
      <c r="H511" s="65"/>
      <c r="I511" s="65"/>
      <c r="J511" s="65"/>
      <c r="K511" s="65"/>
      <c r="L511" s="65"/>
      <c r="M511" s="89"/>
      <c r="N511" s="90"/>
      <c r="O511" s="42" t="b">
        <v>0</v>
      </c>
      <c r="P511" s="44"/>
      <c r="Q511" s="34"/>
      <c r="R511" s="34"/>
      <c r="S511" s="34"/>
      <c r="T511" s="34"/>
    </row>
    <row r="512" ht="15.75" hidden="1" customHeight="1">
      <c r="B512" s="86"/>
      <c r="C512" s="65"/>
      <c r="D512" s="65"/>
      <c r="E512" s="87"/>
      <c r="F512" s="88"/>
      <c r="G512" s="65"/>
      <c r="H512" s="65"/>
      <c r="I512" s="65"/>
      <c r="J512" s="65"/>
      <c r="K512" s="65"/>
      <c r="L512" s="65"/>
      <c r="M512" s="89"/>
      <c r="N512" s="90"/>
      <c r="O512" s="42" t="b">
        <v>0</v>
      </c>
      <c r="P512" s="44"/>
      <c r="Q512" s="34"/>
      <c r="R512" s="34"/>
      <c r="S512" s="34"/>
      <c r="T512" s="34"/>
    </row>
    <row r="513" ht="15.75" hidden="1" customHeight="1">
      <c r="B513" s="86"/>
      <c r="C513" s="65"/>
      <c r="D513" s="65"/>
      <c r="E513" s="87"/>
      <c r="F513" s="88"/>
      <c r="G513" s="65"/>
      <c r="H513" s="65"/>
      <c r="I513" s="65"/>
      <c r="J513" s="65"/>
      <c r="K513" s="65"/>
      <c r="L513" s="65"/>
      <c r="M513" s="89"/>
      <c r="N513" s="90"/>
      <c r="O513" s="42" t="b">
        <v>0</v>
      </c>
      <c r="P513" s="44"/>
      <c r="Q513" s="34"/>
      <c r="R513" s="34"/>
      <c r="S513" s="34"/>
      <c r="T513" s="34"/>
    </row>
    <row r="514" ht="15.75" hidden="1" customHeight="1">
      <c r="B514" s="86"/>
      <c r="C514" s="65"/>
      <c r="D514" s="65"/>
      <c r="E514" s="87"/>
      <c r="F514" s="88"/>
      <c r="G514" s="65"/>
      <c r="H514" s="65"/>
      <c r="I514" s="65"/>
      <c r="J514" s="65"/>
      <c r="K514" s="65"/>
      <c r="L514" s="65"/>
      <c r="M514" s="89"/>
      <c r="N514" s="90"/>
      <c r="O514" s="42" t="b">
        <v>0</v>
      </c>
      <c r="P514" s="44"/>
      <c r="Q514" s="34"/>
      <c r="R514" s="34"/>
      <c r="S514" s="34"/>
      <c r="T514" s="34"/>
    </row>
    <row r="515" ht="15.75" hidden="1" customHeight="1">
      <c r="B515" s="86"/>
      <c r="C515" s="65"/>
      <c r="D515" s="65"/>
      <c r="E515" s="87"/>
      <c r="F515" s="88"/>
      <c r="G515" s="65"/>
      <c r="H515" s="65"/>
      <c r="I515" s="65"/>
      <c r="J515" s="65"/>
      <c r="K515" s="65"/>
      <c r="L515" s="65"/>
      <c r="M515" s="89"/>
      <c r="N515" s="90"/>
      <c r="O515" s="42" t="b">
        <v>0</v>
      </c>
      <c r="P515" s="45"/>
      <c r="Q515" s="34"/>
      <c r="R515" s="34"/>
      <c r="S515" s="34"/>
      <c r="T515" s="34"/>
    </row>
    <row r="516" ht="15.75" hidden="1" customHeight="1">
      <c r="B516" s="86"/>
      <c r="C516" s="65"/>
      <c r="D516" s="65"/>
      <c r="E516" s="87"/>
      <c r="F516" s="88"/>
      <c r="G516" s="65"/>
      <c r="H516" s="65"/>
      <c r="I516" s="65"/>
      <c r="J516" s="65"/>
      <c r="K516" s="65"/>
      <c r="L516" s="65"/>
      <c r="M516" s="89"/>
      <c r="N516" s="90"/>
      <c r="O516" s="42" t="b">
        <v>0</v>
      </c>
      <c r="P516" s="45"/>
      <c r="Q516" s="34"/>
      <c r="R516" s="34"/>
      <c r="S516" s="34"/>
      <c r="T516" s="34"/>
    </row>
    <row r="517" ht="15.75" hidden="1" customHeight="1">
      <c r="B517" s="86"/>
      <c r="C517" s="65"/>
      <c r="D517" s="65"/>
      <c r="E517" s="87"/>
      <c r="F517" s="88"/>
      <c r="G517" s="65"/>
      <c r="H517" s="65"/>
      <c r="I517" s="65"/>
      <c r="J517" s="65"/>
      <c r="K517" s="65"/>
      <c r="L517" s="65"/>
      <c r="M517" s="89"/>
      <c r="N517" s="90"/>
      <c r="O517" s="42" t="b">
        <v>0</v>
      </c>
      <c r="P517" s="44"/>
      <c r="Q517" s="34"/>
      <c r="R517" s="34"/>
      <c r="S517" s="34"/>
      <c r="T517" s="34"/>
    </row>
    <row r="518" ht="15.75" hidden="1" customHeight="1">
      <c r="B518" s="48"/>
      <c r="C518" s="98"/>
      <c r="D518" s="65"/>
      <c r="E518" s="87"/>
      <c r="F518" s="88"/>
      <c r="G518" s="65"/>
      <c r="H518" s="65"/>
      <c r="I518" s="65"/>
      <c r="J518" s="65"/>
      <c r="K518" s="65"/>
      <c r="L518" s="65"/>
      <c r="M518" s="89"/>
      <c r="N518" s="90"/>
      <c r="O518" s="42" t="b">
        <v>0</v>
      </c>
      <c r="P518" s="44"/>
      <c r="Q518" s="34"/>
      <c r="R518" s="33"/>
      <c r="S518" s="34"/>
      <c r="T518" s="34"/>
    </row>
    <row r="519" ht="15.75" hidden="1" customHeight="1">
      <c r="B519" s="86"/>
      <c r="C519" s="65"/>
      <c r="D519" s="65"/>
      <c r="E519" s="87"/>
      <c r="F519" s="88"/>
      <c r="G519" s="65"/>
      <c r="H519" s="65"/>
      <c r="I519" s="65"/>
      <c r="J519" s="65"/>
      <c r="K519" s="65"/>
      <c r="L519" s="65"/>
      <c r="M519" s="89"/>
      <c r="N519" s="90"/>
      <c r="O519" s="42" t="b">
        <v>0</v>
      </c>
      <c r="P519" s="44"/>
      <c r="Q519" s="34"/>
      <c r="R519" s="34"/>
      <c r="S519" s="34"/>
      <c r="T519" s="34"/>
    </row>
    <row r="520" ht="15.75" hidden="1" customHeight="1">
      <c r="B520" s="86"/>
      <c r="C520" s="65"/>
      <c r="D520" s="65"/>
      <c r="E520" s="87"/>
      <c r="F520" s="88"/>
      <c r="G520" s="65"/>
      <c r="H520" s="65"/>
      <c r="I520" s="65"/>
      <c r="J520" s="65"/>
      <c r="K520" s="65"/>
      <c r="L520" s="65"/>
      <c r="M520" s="89"/>
      <c r="N520" s="90"/>
      <c r="O520" s="42" t="b">
        <v>0</v>
      </c>
      <c r="P520" s="44"/>
      <c r="Q520" s="34"/>
      <c r="R520" s="34"/>
      <c r="S520" s="34"/>
      <c r="T520" s="34"/>
    </row>
    <row r="521" ht="15.75" hidden="1" customHeight="1">
      <c r="B521" s="86"/>
      <c r="C521" s="65"/>
      <c r="D521" s="65"/>
      <c r="E521" s="87"/>
      <c r="F521" s="88"/>
      <c r="G521" s="65"/>
      <c r="H521" s="65"/>
      <c r="I521" s="65"/>
      <c r="J521" s="65"/>
      <c r="K521" s="65"/>
      <c r="L521" s="65"/>
      <c r="M521" s="89"/>
      <c r="N521" s="90"/>
      <c r="O521" s="42" t="b">
        <v>0</v>
      </c>
      <c r="P521" s="44"/>
      <c r="Q521" s="34"/>
      <c r="R521" s="34"/>
      <c r="S521" s="34"/>
      <c r="T521" s="34"/>
    </row>
    <row r="522" ht="15.75" hidden="1" customHeight="1">
      <c r="B522" s="86"/>
      <c r="C522" s="65"/>
      <c r="D522" s="65"/>
      <c r="E522" s="87"/>
      <c r="F522" s="88"/>
      <c r="G522" s="65"/>
      <c r="H522" s="65"/>
      <c r="I522" s="65"/>
      <c r="J522" s="65"/>
      <c r="K522" s="65"/>
      <c r="L522" s="65"/>
      <c r="M522" s="89"/>
      <c r="N522" s="90"/>
      <c r="O522" s="42" t="b">
        <v>0</v>
      </c>
      <c r="P522" s="44"/>
      <c r="Q522" s="34"/>
      <c r="R522" s="34"/>
      <c r="S522" s="34"/>
      <c r="T522" s="34"/>
    </row>
    <row r="523" ht="15.75" hidden="1" customHeight="1">
      <c r="B523" s="86"/>
      <c r="C523" s="65"/>
      <c r="D523" s="65"/>
      <c r="E523" s="87"/>
      <c r="F523" s="88"/>
      <c r="G523" s="65"/>
      <c r="H523" s="65"/>
      <c r="I523" s="65"/>
      <c r="J523" s="65"/>
      <c r="K523" s="65"/>
      <c r="L523" s="65"/>
      <c r="M523" s="89"/>
      <c r="N523" s="90"/>
      <c r="O523" s="42" t="b">
        <v>0</v>
      </c>
      <c r="P523" s="44"/>
      <c r="Q523" s="34"/>
      <c r="R523" s="34"/>
      <c r="S523" s="34"/>
      <c r="T523" s="34"/>
    </row>
    <row r="524" ht="15.75" hidden="1" customHeight="1">
      <c r="B524" s="86"/>
      <c r="C524" s="65"/>
      <c r="D524" s="65"/>
      <c r="E524" s="87"/>
      <c r="F524" s="88"/>
      <c r="G524" s="65"/>
      <c r="H524" s="65"/>
      <c r="I524" s="65"/>
      <c r="J524" s="65"/>
      <c r="K524" s="65"/>
      <c r="L524" s="65"/>
      <c r="M524" s="89"/>
      <c r="N524" s="90"/>
      <c r="O524" s="42" t="b">
        <v>0</v>
      </c>
      <c r="P524" s="44"/>
      <c r="Q524" s="34"/>
      <c r="R524" s="34"/>
      <c r="S524" s="34"/>
      <c r="T524" s="34"/>
    </row>
    <row r="525" ht="15.75" hidden="1" customHeight="1">
      <c r="B525" s="86"/>
      <c r="C525" s="65"/>
      <c r="D525" s="65"/>
      <c r="E525" s="87"/>
      <c r="F525" s="88"/>
      <c r="G525" s="65"/>
      <c r="H525" s="65"/>
      <c r="I525" s="65"/>
      <c r="J525" s="65"/>
      <c r="K525" s="65"/>
      <c r="L525" s="65"/>
      <c r="M525" s="89"/>
      <c r="N525" s="90"/>
      <c r="O525" s="42" t="b">
        <v>0</v>
      </c>
      <c r="P525" s="44"/>
      <c r="Q525" s="34"/>
      <c r="R525" s="34"/>
      <c r="S525" s="34"/>
      <c r="T525" s="34"/>
    </row>
    <row r="526" ht="15.75" hidden="1" customHeight="1">
      <c r="B526" s="86"/>
      <c r="C526" s="65"/>
      <c r="D526" s="65"/>
      <c r="E526" s="87"/>
      <c r="F526" s="88"/>
      <c r="G526" s="65"/>
      <c r="H526" s="65"/>
      <c r="I526" s="65"/>
      <c r="J526" s="65"/>
      <c r="K526" s="65"/>
      <c r="L526" s="65"/>
      <c r="M526" s="89"/>
      <c r="N526" s="90"/>
      <c r="O526" s="42" t="b">
        <v>0</v>
      </c>
      <c r="P526" s="44"/>
      <c r="Q526" s="34"/>
      <c r="R526" s="34"/>
      <c r="S526" s="34"/>
      <c r="T526" s="34"/>
    </row>
    <row r="527" ht="15.75" hidden="1" customHeight="1">
      <c r="B527" s="86"/>
      <c r="C527" s="65"/>
      <c r="D527" s="65"/>
      <c r="E527" s="87"/>
      <c r="F527" s="88"/>
      <c r="G527" s="65"/>
      <c r="H527" s="65"/>
      <c r="I527" s="65"/>
      <c r="J527" s="65"/>
      <c r="K527" s="65"/>
      <c r="L527" s="65"/>
      <c r="M527" s="89"/>
      <c r="N527" s="90"/>
      <c r="O527" s="42" t="b">
        <v>0</v>
      </c>
      <c r="P527" s="44"/>
      <c r="Q527" s="34"/>
      <c r="R527" s="34"/>
      <c r="S527" s="34"/>
      <c r="T527" s="34"/>
    </row>
    <row r="528" ht="15.75" hidden="1" customHeight="1">
      <c r="B528" s="86"/>
      <c r="C528" s="65"/>
      <c r="D528" s="65"/>
      <c r="E528" s="87"/>
      <c r="F528" s="88"/>
      <c r="G528" s="65"/>
      <c r="H528" s="65"/>
      <c r="I528" s="65"/>
      <c r="J528" s="65"/>
      <c r="K528" s="65"/>
      <c r="L528" s="65"/>
      <c r="M528" s="89"/>
      <c r="N528" s="90"/>
      <c r="O528" s="42" t="b">
        <v>0</v>
      </c>
      <c r="P528" s="44"/>
      <c r="Q528" s="34"/>
      <c r="R528" s="34"/>
      <c r="S528" s="34"/>
      <c r="T528" s="34"/>
    </row>
    <row r="529" ht="15.75" hidden="1" customHeight="1">
      <c r="B529" s="86"/>
      <c r="C529" s="65"/>
      <c r="D529" s="65"/>
      <c r="E529" s="87"/>
      <c r="F529" s="88"/>
      <c r="G529" s="65"/>
      <c r="H529" s="65"/>
      <c r="I529" s="65"/>
      <c r="J529" s="65"/>
      <c r="K529" s="65"/>
      <c r="L529" s="65"/>
      <c r="M529" s="89"/>
      <c r="N529" s="90"/>
      <c r="O529" s="42" t="b">
        <v>0</v>
      </c>
      <c r="P529" s="44"/>
      <c r="Q529" s="34"/>
      <c r="R529" s="34"/>
      <c r="S529" s="34"/>
      <c r="T529" s="34"/>
    </row>
    <row r="530" ht="15.75" hidden="1" customHeight="1">
      <c r="B530" s="86"/>
      <c r="C530" s="65"/>
      <c r="D530" s="65"/>
      <c r="E530" s="87"/>
      <c r="F530" s="88"/>
      <c r="G530" s="65"/>
      <c r="H530" s="65"/>
      <c r="I530" s="65"/>
      <c r="J530" s="65"/>
      <c r="K530" s="65"/>
      <c r="L530" s="65"/>
      <c r="M530" s="89"/>
      <c r="N530" s="90"/>
      <c r="O530" s="42" t="b">
        <v>0</v>
      </c>
      <c r="P530" s="44"/>
      <c r="Q530" s="34"/>
      <c r="R530" s="33"/>
      <c r="S530" s="34"/>
      <c r="T530" s="34"/>
    </row>
    <row r="531" ht="15.75" hidden="1" customHeight="1">
      <c r="B531" s="86"/>
      <c r="C531" s="65"/>
      <c r="D531" s="65"/>
      <c r="E531" s="87"/>
      <c r="F531" s="88"/>
      <c r="G531" s="65"/>
      <c r="H531" s="65"/>
      <c r="I531" s="65"/>
      <c r="J531" s="65"/>
      <c r="K531" s="65"/>
      <c r="L531" s="65"/>
      <c r="M531" s="89"/>
      <c r="N531" s="90"/>
      <c r="O531" s="42" t="b">
        <v>0</v>
      </c>
      <c r="P531" s="44"/>
      <c r="Q531" s="34"/>
      <c r="R531" s="34"/>
      <c r="S531" s="34"/>
      <c r="T531" s="34"/>
    </row>
    <row r="532" ht="15.75" hidden="1" customHeight="1">
      <c r="B532" s="86"/>
      <c r="C532" s="65"/>
      <c r="D532" s="65"/>
      <c r="E532" s="87"/>
      <c r="F532" s="88"/>
      <c r="G532" s="65"/>
      <c r="H532" s="65"/>
      <c r="I532" s="65"/>
      <c r="J532" s="65"/>
      <c r="K532" s="65"/>
      <c r="L532" s="65"/>
      <c r="M532" s="89"/>
      <c r="N532" s="90"/>
      <c r="O532" s="42" t="b">
        <v>0</v>
      </c>
      <c r="P532" s="44"/>
      <c r="Q532" s="34"/>
      <c r="R532" s="34"/>
      <c r="S532" s="34"/>
      <c r="T532" s="34"/>
    </row>
    <row r="533" ht="15.75" hidden="1" customHeight="1">
      <c r="B533" s="86"/>
      <c r="C533" s="65"/>
      <c r="D533" s="65"/>
      <c r="E533" s="87"/>
      <c r="F533" s="88"/>
      <c r="G533" s="65"/>
      <c r="H533" s="65"/>
      <c r="I533" s="65"/>
      <c r="J533" s="65"/>
      <c r="K533" s="65"/>
      <c r="L533" s="65"/>
      <c r="M533" s="89"/>
      <c r="N533" s="90"/>
      <c r="O533" s="42" t="b">
        <v>0</v>
      </c>
      <c r="P533" s="44"/>
      <c r="Q533" s="34"/>
      <c r="R533" s="34"/>
      <c r="S533" s="34"/>
      <c r="T533" s="34"/>
    </row>
    <row r="534" ht="15.75" hidden="1" customHeight="1">
      <c r="B534" s="86"/>
      <c r="C534" s="65"/>
      <c r="D534" s="65"/>
      <c r="E534" s="87"/>
      <c r="F534" s="88"/>
      <c r="G534" s="65"/>
      <c r="H534" s="65"/>
      <c r="I534" s="65"/>
      <c r="J534" s="65"/>
      <c r="K534" s="65"/>
      <c r="L534" s="65"/>
      <c r="M534" s="89"/>
      <c r="N534" s="90"/>
      <c r="O534" s="42" t="b">
        <v>0</v>
      </c>
      <c r="P534" s="44"/>
      <c r="Q534" s="34"/>
      <c r="R534" s="34"/>
      <c r="S534" s="34"/>
      <c r="T534" s="34"/>
    </row>
    <row r="535" ht="15.75" hidden="1" customHeight="1">
      <c r="B535" s="86"/>
      <c r="C535" s="65"/>
      <c r="D535" s="65"/>
      <c r="E535" s="87"/>
      <c r="F535" s="88"/>
      <c r="G535" s="65"/>
      <c r="H535" s="65"/>
      <c r="I535" s="65"/>
      <c r="J535" s="65"/>
      <c r="K535" s="65"/>
      <c r="L535" s="65"/>
      <c r="M535" s="89"/>
      <c r="N535" s="90"/>
      <c r="O535" s="42" t="b">
        <v>0</v>
      </c>
      <c r="P535" s="44"/>
      <c r="Q535" s="34"/>
      <c r="R535" s="34"/>
      <c r="S535" s="34"/>
      <c r="T535" s="34"/>
    </row>
    <row r="536" ht="15.75" hidden="1" customHeight="1">
      <c r="B536" s="86"/>
      <c r="C536" s="65"/>
      <c r="D536" s="65"/>
      <c r="E536" s="87"/>
      <c r="F536" s="88"/>
      <c r="G536" s="65"/>
      <c r="H536" s="65"/>
      <c r="I536" s="65"/>
      <c r="J536" s="65"/>
      <c r="K536" s="65"/>
      <c r="L536" s="65"/>
      <c r="M536" s="89"/>
      <c r="N536" s="90"/>
      <c r="O536" s="42" t="b">
        <v>0</v>
      </c>
      <c r="P536" s="44"/>
      <c r="Q536" s="34"/>
      <c r="R536" s="34"/>
      <c r="S536" s="34"/>
      <c r="T536" s="34"/>
    </row>
    <row r="537" ht="15.75" hidden="1" customHeight="1">
      <c r="B537" s="86"/>
      <c r="C537" s="65"/>
      <c r="D537" s="65"/>
      <c r="E537" s="87"/>
      <c r="F537" s="88"/>
      <c r="G537" s="65"/>
      <c r="H537" s="65"/>
      <c r="I537" s="65"/>
      <c r="J537" s="65"/>
      <c r="K537" s="65"/>
      <c r="L537" s="65"/>
      <c r="M537" s="89"/>
      <c r="N537" s="90"/>
      <c r="O537" s="42" t="b">
        <v>0</v>
      </c>
      <c r="P537" s="44"/>
      <c r="Q537" s="34"/>
      <c r="R537" s="34"/>
      <c r="S537" s="34"/>
      <c r="T537" s="34"/>
    </row>
    <row r="538" ht="15.75" hidden="1" customHeight="1">
      <c r="B538" s="86"/>
      <c r="C538" s="65"/>
      <c r="D538" s="65"/>
      <c r="E538" s="87"/>
      <c r="F538" s="88"/>
      <c r="G538" s="65"/>
      <c r="H538" s="65"/>
      <c r="I538" s="65"/>
      <c r="J538" s="65"/>
      <c r="K538" s="65"/>
      <c r="L538" s="65"/>
      <c r="M538" s="89"/>
      <c r="N538" s="90"/>
      <c r="O538" s="42" t="b">
        <v>0</v>
      </c>
      <c r="P538" s="44"/>
      <c r="Q538" s="34"/>
      <c r="R538" s="34"/>
      <c r="S538" s="34"/>
      <c r="T538" s="34"/>
    </row>
    <row r="539" ht="15.75" hidden="1" customHeight="1">
      <c r="B539" s="86"/>
      <c r="C539" s="65"/>
      <c r="D539" s="65"/>
      <c r="E539" s="87"/>
      <c r="F539" s="88"/>
      <c r="G539" s="65"/>
      <c r="H539" s="65"/>
      <c r="I539" s="65"/>
      <c r="J539" s="65"/>
      <c r="K539" s="65"/>
      <c r="L539" s="65"/>
      <c r="M539" s="89"/>
      <c r="N539" s="90"/>
      <c r="O539" s="42" t="b">
        <v>0</v>
      </c>
      <c r="P539" s="44"/>
      <c r="Q539" s="34"/>
      <c r="R539" s="34"/>
      <c r="S539" s="34"/>
      <c r="T539" s="34"/>
    </row>
    <row r="540" ht="15.75" hidden="1" customHeight="1">
      <c r="B540" s="86"/>
      <c r="C540" s="65"/>
      <c r="D540" s="65"/>
      <c r="E540" s="87"/>
      <c r="F540" s="88"/>
      <c r="G540" s="65"/>
      <c r="H540" s="65"/>
      <c r="I540" s="65"/>
      <c r="J540" s="65"/>
      <c r="K540" s="65"/>
      <c r="L540" s="65"/>
      <c r="M540" s="89"/>
      <c r="N540" s="90"/>
      <c r="O540" s="42" t="b">
        <v>0</v>
      </c>
      <c r="P540" s="44"/>
      <c r="Q540" s="34"/>
      <c r="R540" s="34"/>
      <c r="S540" s="34"/>
      <c r="T540" s="34"/>
    </row>
    <row r="541" ht="15.75" hidden="1" customHeight="1">
      <c r="B541" s="86"/>
      <c r="C541" s="65"/>
      <c r="D541" s="65"/>
      <c r="E541" s="87"/>
      <c r="F541" s="88"/>
      <c r="G541" s="65"/>
      <c r="H541" s="65"/>
      <c r="I541" s="65"/>
      <c r="J541" s="65"/>
      <c r="K541" s="65"/>
      <c r="L541" s="65"/>
      <c r="M541" s="89"/>
      <c r="N541" s="90"/>
      <c r="O541" s="42" t="b">
        <v>0</v>
      </c>
      <c r="P541" s="44"/>
      <c r="Q541" s="34"/>
      <c r="R541" s="34"/>
      <c r="S541" s="34"/>
      <c r="T541" s="34"/>
    </row>
    <row r="542" ht="15.75" hidden="1" customHeight="1">
      <c r="B542" s="86"/>
      <c r="C542" s="65"/>
      <c r="D542" s="65"/>
      <c r="E542" s="87"/>
      <c r="F542" s="88"/>
      <c r="G542" s="65"/>
      <c r="H542" s="65"/>
      <c r="I542" s="65"/>
      <c r="J542" s="65"/>
      <c r="K542" s="65"/>
      <c r="L542" s="65"/>
      <c r="M542" s="89"/>
      <c r="N542" s="90"/>
      <c r="O542" s="42" t="b">
        <v>0</v>
      </c>
      <c r="P542" s="44"/>
      <c r="Q542" s="34"/>
      <c r="R542" s="34"/>
      <c r="S542" s="34"/>
      <c r="T542" s="34"/>
    </row>
    <row r="543" ht="15.75" hidden="1" customHeight="1">
      <c r="B543" s="86"/>
      <c r="C543" s="65"/>
      <c r="D543" s="65"/>
      <c r="E543" s="87"/>
      <c r="F543" s="88"/>
      <c r="G543" s="65"/>
      <c r="H543" s="65"/>
      <c r="I543" s="65"/>
      <c r="J543" s="65"/>
      <c r="K543" s="65"/>
      <c r="L543" s="65"/>
      <c r="M543" s="89"/>
      <c r="N543" s="90"/>
      <c r="O543" s="42" t="b">
        <v>0</v>
      </c>
      <c r="P543" s="44"/>
      <c r="Q543" s="34"/>
      <c r="R543" s="34"/>
      <c r="S543" s="34"/>
      <c r="T543" s="34"/>
    </row>
    <row r="544" ht="15.75" hidden="1" customHeight="1">
      <c r="B544" s="86"/>
      <c r="C544" s="65"/>
      <c r="D544" s="65"/>
      <c r="E544" s="87"/>
      <c r="F544" s="88"/>
      <c r="G544" s="65"/>
      <c r="H544" s="65"/>
      <c r="I544" s="65"/>
      <c r="J544" s="65"/>
      <c r="K544" s="65"/>
      <c r="L544" s="65"/>
      <c r="M544" s="89"/>
      <c r="N544" s="90"/>
      <c r="O544" s="42" t="b">
        <v>0</v>
      </c>
      <c r="P544" s="44"/>
      <c r="Q544" s="34"/>
      <c r="R544" s="34"/>
      <c r="S544" s="34"/>
      <c r="T544" s="34"/>
    </row>
    <row r="545" ht="15.75" hidden="1" customHeight="1">
      <c r="B545" s="86"/>
      <c r="C545" s="65"/>
      <c r="D545" s="65"/>
      <c r="E545" s="87"/>
      <c r="F545" s="88"/>
      <c r="G545" s="65"/>
      <c r="H545" s="65"/>
      <c r="I545" s="65"/>
      <c r="J545" s="65"/>
      <c r="K545" s="65"/>
      <c r="L545" s="65"/>
      <c r="M545" s="89"/>
      <c r="N545" s="90"/>
      <c r="O545" s="42" t="b">
        <v>0</v>
      </c>
      <c r="P545" s="44"/>
      <c r="Q545" s="34"/>
      <c r="R545" s="34"/>
      <c r="S545" s="70"/>
      <c r="T545" s="34"/>
    </row>
    <row r="546" ht="15.75" hidden="1" customHeight="1">
      <c r="B546" s="86"/>
      <c r="C546" s="65"/>
      <c r="D546" s="65"/>
      <c r="E546" s="87"/>
      <c r="F546" s="88"/>
      <c r="G546" s="65"/>
      <c r="H546" s="65"/>
      <c r="I546" s="65"/>
      <c r="J546" s="65"/>
      <c r="K546" s="65"/>
      <c r="L546" s="65"/>
      <c r="M546" s="89"/>
      <c r="N546" s="90"/>
      <c r="O546" s="42" t="b">
        <v>0</v>
      </c>
      <c r="P546" s="44"/>
      <c r="Q546" s="34"/>
      <c r="R546" s="34"/>
      <c r="S546" s="34"/>
      <c r="T546" s="34"/>
    </row>
    <row r="547" ht="15.75" hidden="1" customHeight="1">
      <c r="B547" s="86"/>
      <c r="C547" s="65"/>
      <c r="D547" s="65"/>
      <c r="E547" s="87"/>
      <c r="F547" s="88"/>
      <c r="G547" s="65"/>
      <c r="H547" s="65"/>
      <c r="I547" s="65"/>
      <c r="J547" s="65"/>
      <c r="K547" s="65"/>
      <c r="L547" s="65"/>
      <c r="M547" s="89"/>
      <c r="N547" s="90"/>
      <c r="O547" s="42" t="b">
        <v>0</v>
      </c>
      <c r="P547" s="44"/>
      <c r="Q547" s="34"/>
      <c r="R547" s="34"/>
      <c r="S547" s="34"/>
      <c r="T547" s="35"/>
    </row>
    <row r="548" ht="15.75" hidden="1" customHeight="1">
      <c r="B548" s="86"/>
      <c r="C548" s="65"/>
      <c r="D548" s="65"/>
      <c r="E548" s="87"/>
      <c r="F548" s="88"/>
      <c r="G548" s="65"/>
      <c r="H548" s="65"/>
      <c r="I548" s="65"/>
      <c r="J548" s="65"/>
      <c r="K548" s="65"/>
      <c r="L548" s="65"/>
      <c r="M548" s="89"/>
      <c r="N548" s="90"/>
      <c r="O548" s="42" t="b">
        <v>0</v>
      </c>
      <c r="P548" s="44"/>
      <c r="Q548" s="34"/>
      <c r="R548" s="34"/>
      <c r="S548" s="34"/>
      <c r="T548" s="34"/>
    </row>
    <row r="549" ht="15.75" hidden="1" customHeight="1">
      <c r="B549" s="86"/>
      <c r="C549" s="65"/>
      <c r="D549" s="65"/>
      <c r="E549" s="87"/>
      <c r="F549" s="88"/>
      <c r="G549" s="65"/>
      <c r="H549" s="65"/>
      <c r="I549" s="65"/>
      <c r="J549" s="65"/>
      <c r="K549" s="65"/>
      <c r="L549" s="65"/>
      <c r="M549" s="89"/>
      <c r="N549" s="90"/>
      <c r="O549" s="42" t="b">
        <v>0</v>
      </c>
      <c r="P549" s="44"/>
      <c r="Q549" s="34"/>
      <c r="R549" s="34"/>
      <c r="S549" s="34"/>
      <c r="T549" s="34"/>
    </row>
    <row r="550" ht="15.75" hidden="1" customHeight="1">
      <c r="B550" s="86"/>
      <c r="C550" s="65"/>
      <c r="D550" s="65"/>
      <c r="E550" s="87"/>
      <c r="F550" s="88"/>
      <c r="G550" s="65"/>
      <c r="H550" s="65"/>
      <c r="I550" s="65"/>
      <c r="J550" s="65"/>
      <c r="K550" s="65"/>
      <c r="L550" s="65"/>
      <c r="M550" s="89"/>
      <c r="N550" s="90"/>
      <c r="O550" s="42" t="b">
        <v>0</v>
      </c>
      <c r="P550" s="44"/>
      <c r="Q550" s="34"/>
      <c r="R550" s="34"/>
      <c r="S550" s="34"/>
      <c r="T550" s="34"/>
    </row>
    <row r="551" ht="15.75" hidden="1" customHeight="1">
      <c r="B551" s="86"/>
      <c r="C551" s="65"/>
      <c r="D551" s="65"/>
      <c r="E551" s="87"/>
      <c r="F551" s="88"/>
      <c r="G551" s="65"/>
      <c r="H551" s="65"/>
      <c r="I551" s="65"/>
      <c r="J551" s="65"/>
      <c r="K551" s="65"/>
      <c r="L551" s="65"/>
      <c r="M551" s="89"/>
      <c r="N551" s="90"/>
      <c r="O551" s="42" t="b">
        <v>0</v>
      </c>
      <c r="P551" s="44"/>
      <c r="Q551" s="34"/>
      <c r="R551" s="34"/>
      <c r="S551" s="34"/>
      <c r="T551" s="34"/>
    </row>
    <row r="552" ht="15.0" hidden="1" customHeight="1">
      <c r="B552" s="86"/>
      <c r="C552" s="65"/>
      <c r="D552" s="65"/>
      <c r="E552" s="87"/>
      <c r="F552" s="88"/>
      <c r="G552" s="65"/>
      <c r="H552" s="65"/>
      <c r="I552" s="65"/>
      <c r="J552" s="65"/>
      <c r="K552" s="65"/>
      <c r="L552" s="65"/>
      <c r="M552" s="89"/>
      <c r="N552" s="90"/>
      <c r="O552" s="42" t="b">
        <v>0</v>
      </c>
      <c r="P552" s="44"/>
      <c r="Q552" s="34"/>
      <c r="R552" s="34"/>
      <c r="S552" s="34"/>
      <c r="T552" s="34"/>
    </row>
    <row r="553" ht="15.75" hidden="1" customHeight="1">
      <c r="B553" s="48"/>
      <c r="C553" s="65"/>
      <c r="D553" s="65"/>
      <c r="E553" s="87"/>
      <c r="F553" s="88"/>
      <c r="G553" s="65"/>
      <c r="H553" s="65"/>
      <c r="I553" s="65"/>
      <c r="J553" s="65"/>
      <c r="K553" s="65"/>
      <c r="L553" s="65"/>
      <c r="M553" s="89"/>
      <c r="N553" s="90"/>
      <c r="O553" s="42" t="b">
        <v>0</v>
      </c>
      <c r="P553" s="44"/>
      <c r="Q553" s="34"/>
      <c r="R553" s="34"/>
      <c r="S553" s="34"/>
      <c r="T553" s="34"/>
    </row>
    <row r="554" ht="15.75" hidden="1" customHeight="1">
      <c r="B554" s="48"/>
      <c r="C554" s="65"/>
      <c r="D554" s="65"/>
      <c r="E554" s="87"/>
      <c r="F554" s="88"/>
      <c r="G554" s="65"/>
      <c r="H554" s="65"/>
      <c r="I554" s="65"/>
      <c r="J554" s="65"/>
      <c r="K554" s="65"/>
      <c r="L554" s="65"/>
      <c r="M554" s="89"/>
      <c r="N554" s="90"/>
      <c r="O554" s="42" t="b">
        <v>0</v>
      </c>
      <c r="P554" s="44"/>
      <c r="Q554" s="34"/>
      <c r="R554" s="34"/>
      <c r="S554" s="34"/>
      <c r="T554" s="34"/>
    </row>
    <row r="555" ht="15.75" hidden="1" customHeight="1">
      <c r="B555" s="48"/>
      <c r="C555" s="65"/>
      <c r="D555" s="65"/>
      <c r="E555" s="87"/>
      <c r="F555" s="88"/>
      <c r="G555" s="65"/>
      <c r="H555" s="65"/>
      <c r="I555" s="65"/>
      <c r="J555" s="65"/>
      <c r="K555" s="65"/>
      <c r="L555" s="65"/>
      <c r="M555" s="89"/>
      <c r="N555" s="90"/>
      <c r="O555" s="42" t="b">
        <v>0</v>
      </c>
      <c r="P555" s="44"/>
      <c r="Q555" s="34"/>
      <c r="R555" s="34"/>
      <c r="S555" s="34"/>
      <c r="T555" s="34"/>
    </row>
    <row r="556" ht="15.75" hidden="1" customHeight="1">
      <c r="B556" s="48"/>
      <c r="C556" s="65"/>
      <c r="D556" s="65"/>
      <c r="E556" s="87"/>
      <c r="F556" s="88"/>
      <c r="G556" s="65"/>
      <c r="H556" s="65"/>
      <c r="I556" s="65"/>
      <c r="J556" s="65"/>
      <c r="K556" s="65"/>
      <c r="L556" s="65"/>
      <c r="M556" s="89"/>
      <c r="N556" s="90"/>
      <c r="O556" s="42" t="b">
        <v>0</v>
      </c>
      <c r="P556" s="44"/>
      <c r="Q556" s="34"/>
      <c r="R556" s="35"/>
      <c r="S556" s="71"/>
      <c r="T556" s="34"/>
    </row>
    <row r="557" ht="15.75" hidden="1" customHeight="1">
      <c r="B557" s="48"/>
      <c r="C557" s="65"/>
      <c r="D557" s="65"/>
      <c r="E557" s="87"/>
      <c r="F557" s="88"/>
      <c r="G557" s="65"/>
      <c r="H557" s="65"/>
      <c r="I557" s="65"/>
      <c r="J557" s="65"/>
      <c r="K557" s="65"/>
      <c r="L557" s="65"/>
      <c r="M557" s="89"/>
      <c r="N557" s="90"/>
      <c r="O557" s="42" t="b">
        <v>0</v>
      </c>
      <c r="P557" s="44"/>
      <c r="Q557" s="34"/>
      <c r="R557" s="34"/>
      <c r="S557" s="34"/>
      <c r="T557" s="34"/>
    </row>
    <row r="558" ht="15.75" hidden="1" customHeight="1">
      <c r="B558" s="48"/>
      <c r="C558" s="65"/>
      <c r="D558" s="65"/>
      <c r="E558" s="87"/>
      <c r="F558" s="88"/>
      <c r="G558" s="65"/>
      <c r="H558" s="65"/>
      <c r="I558" s="65"/>
      <c r="J558" s="65"/>
      <c r="K558" s="65"/>
      <c r="L558" s="65"/>
      <c r="M558" s="89"/>
      <c r="N558" s="90"/>
      <c r="O558" s="42" t="b">
        <v>0</v>
      </c>
      <c r="P558" s="44"/>
      <c r="Q558" s="34"/>
      <c r="R558" s="34"/>
      <c r="S558" s="34"/>
      <c r="T558" s="34"/>
    </row>
    <row r="559" ht="15.75" hidden="1" customHeight="1">
      <c r="B559" s="48"/>
      <c r="C559" s="65"/>
      <c r="D559" s="65"/>
      <c r="E559" s="87"/>
      <c r="F559" s="88"/>
      <c r="G559" s="65"/>
      <c r="H559" s="65"/>
      <c r="I559" s="65"/>
      <c r="J559" s="65"/>
      <c r="K559" s="65"/>
      <c r="L559" s="65"/>
      <c r="M559" s="89"/>
      <c r="N559" s="90"/>
      <c r="O559" s="42" t="b">
        <v>0</v>
      </c>
      <c r="P559" s="44"/>
      <c r="Q559" s="34"/>
      <c r="R559" s="34"/>
      <c r="S559" s="34"/>
      <c r="T559" s="34"/>
    </row>
    <row r="560" ht="15.75" hidden="1" customHeight="1">
      <c r="B560" s="48"/>
      <c r="C560" s="65"/>
      <c r="D560" s="65"/>
      <c r="E560" s="87"/>
      <c r="F560" s="88"/>
      <c r="G560" s="65"/>
      <c r="H560" s="65"/>
      <c r="I560" s="65"/>
      <c r="J560" s="65"/>
      <c r="K560" s="65"/>
      <c r="L560" s="65"/>
      <c r="M560" s="89"/>
      <c r="N560" s="90"/>
      <c r="O560" s="42" t="b">
        <v>0</v>
      </c>
      <c r="P560" s="44"/>
      <c r="Q560" s="34"/>
      <c r="R560" s="34"/>
      <c r="S560" s="34"/>
      <c r="T560" s="34"/>
    </row>
    <row r="561" ht="15.75" hidden="1" customHeight="1">
      <c r="B561" s="48"/>
      <c r="C561" s="65"/>
      <c r="D561" s="65"/>
      <c r="E561" s="87"/>
      <c r="F561" s="88"/>
      <c r="G561" s="65"/>
      <c r="H561" s="65"/>
      <c r="I561" s="65"/>
      <c r="J561" s="65"/>
      <c r="K561" s="65"/>
      <c r="L561" s="65"/>
      <c r="M561" s="89"/>
      <c r="N561" s="90"/>
      <c r="O561" s="42" t="b">
        <v>0</v>
      </c>
      <c r="P561" s="44"/>
      <c r="Q561" s="34"/>
      <c r="R561" s="33"/>
      <c r="S561" s="34"/>
      <c r="T561" s="34"/>
    </row>
    <row r="562" ht="15.75" hidden="1" customHeight="1">
      <c r="B562" s="86"/>
      <c r="C562" s="65"/>
      <c r="D562" s="65"/>
      <c r="E562" s="87"/>
      <c r="F562" s="88"/>
      <c r="G562" s="65"/>
      <c r="H562" s="65"/>
      <c r="I562" s="65"/>
      <c r="J562" s="65"/>
      <c r="K562" s="65"/>
      <c r="L562" s="65"/>
      <c r="M562" s="89"/>
      <c r="N562" s="90"/>
      <c r="O562" s="42" t="b">
        <v>0</v>
      </c>
      <c r="P562" s="45"/>
      <c r="Q562" s="34"/>
      <c r="R562" s="33"/>
      <c r="S562" s="34"/>
      <c r="T562" s="34"/>
    </row>
    <row r="563" ht="15.75" hidden="1" customHeight="1">
      <c r="B563" s="86"/>
      <c r="C563" s="65"/>
      <c r="D563" s="65"/>
      <c r="E563" s="87"/>
      <c r="F563" s="88"/>
      <c r="G563" s="65"/>
      <c r="H563" s="65"/>
      <c r="I563" s="65"/>
      <c r="J563" s="65"/>
      <c r="K563" s="65"/>
      <c r="L563" s="65"/>
      <c r="M563" s="89"/>
      <c r="N563" s="90"/>
      <c r="O563" s="42" t="b">
        <v>0</v>
      </c>
      <c r="P563" s="44"/>
      <c r="Q563" s="34"/>
      <c r="R563" s="34"/>
      <c r="S563" s="34"/>
      <c r="T563" s="34"/>
    </row>
    <row r="564" ht="15.75" hidden="1" customHeight="1">
      <c r="B564" s="86"/>
      <c r="C564" s="65"/>
      <c r="D564" s="65"/>
      <c r="E564" s="87"/>
      <c r="F564" s="88"/>
      <c r="G564" s="65"/>
      <c r="H564" s="65"/>
      <c r="I564" s="65"/>
      <c r="J564" s="65"/>
      <c r="K564" s="65"/>
      <c r="L564" s="65"/>
      <c r="M564" s="89"/>
      <c r="N564" s="90"/>
      <c r="O564" s="42" t="b">
        <v>0</v>
      </c>
      <c r="P564" s="44"/>
      <c r="Q564" s="34"/>
      <c r="R564" s="34"/>
      <c r="S564" s="34"/>
      <c r="T564" s="34"/>
    </row>
    <row r="565" ht="15.75" hidden="1" customHeight="1">
      <c r="B565" s="86"/>
      <c r="C565" s="65"/>
      <c r="D565" s="65"/>
      <c r="E565" s="87"/>
      <c r="F565" s="88"/>
      <c r="G565" s="65"/>
      <c r="H565" s="65"/>
      <c r="I565" s="65"/>
      <c r="J565" s="65"/>
      <c r="K565" s="65"/>
      <c r="L565" s="65"/>
      <c r="M565" s="89"/>
      <c r="N565" s="90"/>
      <c r="O565" s="42" t="b">
        <v>0</v>
      </c>
      <c r="P565" s="44"/>
      <c r="Q565" s="34"/>
      <c r="R565" s="33"/>
      <c r="S565" s="34"/>
      <c r="T565" s="34"/>
    </row>
    <row r="566" ht="15.75" hidden="1" customHeight="1">
      <c r="B566" s="86"/>
      <c r="C566" s="65"/>
      <c r="D566" s="65"/>
      <c r="E566" s="87"/>
      <c r="F566" s="88"/>
      <c r="G566" s="65"/>
      <c r="H566" s="65"/>
      <c r="I566" s="65"/>
      <c r="J566" s="65"/>
      <c r="K566" s="65"/>
      <c r="L566" s="65"/>
      <c r="M566" s="89"/>
      <c r="N566" s="90"/>
      <c r="O566" s="42" t="b">
        <v>0</v>
      </c>
      <c r="P566" s="44"/>
      <c r="Q566" s="34"/>
      <c r="R566" s="33"/>
      <c r="S566" s="34"/>
      <c r="T566" s="34"/>
    </row>
    <row r="567" ht="15.75" hidden="1" customHeight="1">
      <c r="B567" s="86"/>
      <c r="C567" s="65"/>
      <c r="D567" s="65"/>
      <c r="E567" s="87"/>
      <c r="F567" s="88"/>
      <c r="G567" s="65"/>
      <c r="H567" s="65"/>
      <c r="I567" s="65"/>
      <c r="J567" s="65"/>
      <c r="K567" s="65"/>
      <c r="L567" s="65"/>
      <c r="M567" s="89"/>
      <c r="N567" s="90"/>
      <c r="O567" s="42" t="b">
        <v>0</v>
      </c>
      <c r="P567" s="45"/>
      <c r="Q567" s="34"/>
      <c r="R567" s="33"/>
      <c r="S567" s="34"/>
      <c r="T567" s="34"/>
    </row>
    <row r="568" ht="15.75" hidden="1" customHeight="1">
      <c r="B568" s="86"/>
      <c r="C568" s="98"/>
      <c r="D568" s="65"/>
      <c r="E568" s="87"/>
      <c r="F568" s="88"/>
      <c r="G568" s="65"/>
      <c r="H568" s="65"/>
      <c r="I568" s="65"/>
      <c r="J568" s="65"/>
      <c r="K568" s="65"/>
      <c r="L568" s="65"/>
      <c r="M568" s="89"/>
      <c r="N568" s="90"/>
      <c r="O568" s="42" t="b">
        <v>0</v>
      </c>
      <c r="P568" s="44"/>
      <c r="Q568" s="34"/>
      <c r="R568" s="34"/>
      <c r="S568" s="34"/>
      <c r="T568" s="34"/>
    </row>
    <row r="569" ht="15.75" hidden="1" customHeight="1">
      <c r="B569" s="86"/>
      <c r="C569" s="98"/>
      <c r="D569" s="65"/>
      <c r="E569" s="87"/>
      <c r="F569" s="88"/>
      <c r="G569" s="65"/>
      <c r="H569" s="65"/>
      <c r="I569" s="65"/>
      <c r="J569" s="65"/>
      <c r="K569" s="65"/>
      <c r="L569" s="65"/>
      <c r="M569" s="89"/>
      <c r="N569" s="90"/>
      <c r="O569" s="42" t="b">
        <v>0</v>
      </c>
      <c r="P569" s="44"/>
      <c r="Q569" s="34"/>
      <c r="R569" s="34"/>
      <c r="S569" s="34"/>
      <c r="T569" s="34"/>
    </row>
    <row r="570" ht="15.75" hidden="1" customHeight="1">
      <c r="B570" s="86"/>
      <c r="C570" s="65"/>
      <c r="D570" s="65"/>
      <c r="E570" s="87"/>
      <c r="F570" s="88"/>
      <c r="G570" s="65"/>
      <c r="H570" s="65"/>
      <c r="I570" s="65"/>
      <c r="J570" s="65"/>
      <c r="K570" s="65"/>
      <c r="L570" s="65"/>
      <c r="M570" s="89"/>
      <c r="N570" s="90"/>
      <c r="O570" s="42" t="b">
        <v>0</v>
      </c>
      <c r="P570" s="44"/>
      <c r="Q570" s="34"/>
      <c r="R570" s="34"/>
      <c r="S570" s="34"/>
      <c r="T570" s="34"/>
    </row>
    <row r="571" ht="15.75" hidden="1" customHeight="1">
      <c r="B571" s="86"/>
      <c r="C571" s="65"/>
      <c r="D571" s="65"/>
      <c r="E571" s="87"/>
      <c r="F571" s="88"/>
      <c r="G571" s="65"/>
      <c r="H571" s="65"/>
      <c r="I571" s="65"/>
      <c r="J571" s="65"/>
      <c r="K571" s="65"/>
      <c r="L571" s="65"/>
      <c r="M571" s="89"/>
      <c r="N571" s="90"/>
      <c r="O571" s="42" t="b">
        <v>0</v>
      </c>
      <c r="P571" s="44"/>
      <c r="Q571" s="34"/>
      <c r="R571" s="34"/>
      <c r="S571" s="34"/>
      <c r="T571" s="34"/>
    </row>
    <row r="572" ht="15.75" hidden="1" customHeight="1">
      <c r="B572" s="86"/>
      <c r="C572" s="65"/>
      <c r="D572" s="65"/>
      <c r="E572" s="87"/>
      <c r="F572" s="88"/>
      <c r="G572" s="65"/>
      <c r="H572" s="65"/>
      <c r="I572" s="65"/>
      <c r="J572" s="65"/>
      <c r="K572" s="65"/>
      <c r="L572" s="65"/>
      <c r="M572" s="89"/>
      <c r="N572" s="90"/>
      <c r="O572" s="42" t="b">
        <v>0</v>
      </c>
      <c r="P572" s="44"/>
      <c r="Q572" s="34"/>
      <c r="R572" s="34"/>
      <c r="S572" s="34"/>
      <c r="T572" s="34"/>
    </row>
    <row r="573" ht="15.75" hidden="1" customHeight="1">
      <c r="B573" s="86"/>
      <c r="C573" s="65"/>
      <c r="D573" s="65"/>
      <c r="E573" s="87"/>
      <c r="F573" s="88"/>
      <c r="G573" s="65"/>
      <c r="H573" s="65"/>
      <c r="I573" s="65"/>
      <c r="J573" s="65"/>
      <c r="K573" s="65"/>
      <c r="L573" s="65"/>
      <c r="M573" s="89"/>
      <c r="N573" s="90"/>
      <c r="O573" s="42" t="b">
        <v>0</v>
      </c>
      <c r="P573" s="121"/>
      <c r="Q573" s="34"/>
      <c r="R573" s="33"/>
      <c r="S573" s="34"/>
      <c r="T573" s="34"/>
    </row>
    <row r="574" ht="15.75" hidden="1" customHeight="1">
      <c r="B574" s="86"/>
      <c r="C574" s="65"/>
      <c r="D574" s="65"/>
      <c r="E574" s="87"/>
      <c r="F574" s="88"/>
      <c r="G574" s="65"/>
      <c r="H574" s="65"/>
      <c r="I574" s="65"/>
      <c r="J574" s="65"/>
      <c r="K574" s="65"/>
      <c r="L574" s="65"/>
      <c r="M574" s="89"/>
      <c r="N574" s="90"/>
      <c r="O574" s="42" t="b">
        <v>0</v>
      </c>
      <c r="P574" s="44"/>
      <c r="Q574" s="34"/>
      <c r="R574" s="34"/>
      <c r="S574" s="34"/>
      <c r="T574" s="34"/>
    </row>
    <row r="575" ht="15.75" hidden="1" customHeight="1">
      <c r="B575" s="86"/>
      <c r="C575" s="65"/>
      <c r="D575" s="65"/>
      <c r="E575" s="87"/>
      <c r="F575" s="88"/>
      <c r="G575" s="65"/>
      <c r="H575" s="65"/>
      <c r="I575" s="65"/>
      <c r="J575" s="65"/>
      <c r="K575" s="65"/>
      <c r="L575" s="65"/>
      <c r="M575" s="89"/>
      <c r="N575" s="90"/>
      <c r="O575" s="42" t="b">
        <v>0</v>
      </c>
      <c r="P575" s="44"/>
      <c r="Q575" s="34"/>
      <c r="R575" s="35"/>
      <c r="S575" s="34"/>
      <c r="T575" s="34"/>
    </row>
    <row r="576" ht="15.75" hidden="1" customHeight="1">
      <c r="B576" s="86"/>
      <c r="C576" s="65"/>
      <c r="D576" s="65"/>
      <c r="E576" s="87"/>
      <c r="F576" s="88"/>
      <c r="G576" s="65"/>
      <c r="H576" s="65"/>
      <c r="I576" s="65"/>
      <c r="J576" s="65"/>
      <c r="K576" s="65"/>
      <c r="L576" s="65"/>
      <c r="M576" s="89"/>
      <c r="N576" s="90"/>
      <c r="O576" s="42" t="b">
        <v>0</v>
      </c>
      <c r="P576" s="44"/>
      <c r="Q576" s="34"/>
      <c r="R576" s="34"/>
      <c r="S576" s="34"/>
      <c r="T576" s="34"/>
    </row>
    <row r="577" ht="15.75" hidden="1" customHeight="1">
      <c r="B577" s="86"/>
      <c r="C577" s="65"/>
      <c r="D577" s="65"/>
      <c r="E577" s="87"/>
      <c r="F577" s="88"/>
      <c r="G577" s="65"/>
      <c r="H577" s="65"/>
      <c r="I577" s="65"/>
      <c r="J577" s="65"/>
      <c r="K577" s="65"/>
      <c r="L577" s="65"/>
      <c r="M577" s="89"/>
      <c r="N577" s="90"/>
      <c r="O577" s="42" t="b">
        <v>0</v>
      </c>
      <c r="P577" s="44"/>
      <c r="Q577" s="34"/>
      <c r="R577" s="34"/>
      <c r="S577" s="34"/>
      <c r="T577" s="34"/>
    </row>
    <row r="578" ht="15.75" hidden="1" customHeight="1">
      <c r="B578" s="86"/>
      <c r="C578" s="65"/>
      <c r="D578" s="65"/>
      <c r="E578" s="87"/>
      <c r="F578" s="88"/>
      <c r="G578" s="65"/>
      <c r="H578" s="65"/>
      <c r="I578" s="65"/>
      <c r="J578" s="65"/>
      <c r="K578" s="65"/>
      <c r="L578" s="65"/>
      <c r="M578" s="89"/>
      <c r="N578" s="90"/>
      <c r="O578" s="42" t="b">
        <v>0</v>
      </c>
      <c r="P578" s="44"/>
      <c r="Q578" s="34"/>
      <c r="R578" s="35"/>
      <c r="S578" s="34"/>
      <c r="T578" s="34"/>
    </row>
    <row r="579" ht="15.75" hidden="1" customHeight="1">
      <c r="B579" s="86"/>
      <c r="C579" s="65"/>
      <c r="D579" s="65"/>
      <c r="E579" s="87"/>
      <c r="F579" s="88"/>
      <c r="G579" s="65"/>
      <c r="H579" s="65"/>
      <c r="I579" s="65"/>
      <c r="J579" s="65"/>
      <c r="K579" s="65"/>
      <c r="L579" s="65"/>
      <c r="M579" s="89"/>
      <c r="N579" s="90"/>
      <c r="O579" s="42" t="b">
        <v>0</v>
      </c>
      <c r="P579" s="36"/>
      <c r="Q579" s="34"/>
      <c r="R579" s="34"/>
      <c r="S579" s="34"/>
      <c r="T579" s="34"/>
    </row>
    <row r="580" ht="15.75" hidden="1" customHeight="1">
      <c r="B580" s="86"/>
      <c r="C580" s="65"/>
      <c r="D580" s="65"/>
      <c r="E580" s="87"/>
      <c r="F580" s="88"/>
      <c r="G580" s="65"/>
      <c r="H580" s="65"/>
      <c r="I580" s="65"/>
      <c r="J580" s="65"/>
      <c r="K580" s="65"/>
      <c r="L580" s="65"/>
      <c r="M580" s="89"/>
      <c r="N580" s="90"/>
      <c r="O580" s="42" t="b">
        <v>0</v>
      </c>
      <c r="P580" s="44"/>
      <c r="Q580" s="34"/>
      <c r="R580" s="34"/>
      <c r="S580" s="34"/>
      <c r="T580" s="34"/>
    </row>
    <row r="581" ht="15.75" hidden="1" customHeight="1">
      <c r="B581" s="86"/>
      <c r="C581" s="65"/>
      <c r="D581" s="65"/>
      <c r="E581" s="87"/>
      <c r="F581" s="88"/>
      <c r="G581" s="65"/>
      <c r="H581" s="65"/>
      <c r="I581" s="65"/>
      <c r="J581" s="65"/>
      <c r="K581" s="65"/>
      <c r="L581" s="65"/>
      <c r="M581" s="89"/>
      <c r="N581" s="90"/>
      <c r="O581" s="42" t="b">
        <v>0</v>
      </c>
      <c r="P581" s="44"/>
      <c r="Q581" s="34"/>
      <c r="R581" s="34"/>
      <c r="S581" s="34"/>
      <c r="T581" s="34"/>
    </row>
    <row r="582" ht="15.75" hidden="1" customHeight="1">
      <c r="B582" s="86"/>
      <c r="C582" s="65"/>
      <c r="D582" s="65"/>
      <c r="E582" s="87"/>
      <c r="F582" s="88"/>
      <c r="G582" s="65"/>
      <c r="H582" s="65"/>
      <c r="I582" s="65"/>
      <c r="J582" s="65"/>
      <c r="K582" s="65"/>
      <c r="L582" s="65"/>
      <c r="M582" s="89"/>
      <c r="N582" s="90"/>
      <c r="O582" s="42" t="b">
        <v>0</v>
      </c>
      <c r="P582" s="44"/>
      <c r="Q582" s="34"/>
      <c r="R582" s="34"/>
      <c r="S582" s="34"/>
      <c r="T582" s="34"/>
    </row>
    <row r="583" ht="15.75" hidden="1" customHeight="1">
      <c r="B583" s="86"/>
      <c r="C583" s="65"/>
      <c r="D583" s="65"/>
      <c r="E583" s="87"/>
      <c r="F583" s="88"/>
      <c r="G583" s="65"/>
      <c r="H583" s="65"/>
      <c r="I583" s="65"/>
      <c r="J583" s="65"/>
      <c r="K583" s="65"/>
      <c r="L583" s="65"/>
      <c r="M583" s="89"/>
      <c r="N583" s="90"/>
      <c r="O583" s="42" t="b">
        <v>0</v>
      </c>
      <c r="P583" s="44"/>
      <c r="Q583" s="34"/>
      <c r="R583" s="34"/>
      <c r="S583" s="34"/>
      <c r="T583" s="34"/>
    </row>
    <row r="584" ht="15.75" hidden="1" customHeight="1">
      <c r="B584" s="86"/>
      <c r="C584" s="65"/>
      <c r="D584" s="65"/>
      <c r="E584" s="87"/>
      <c r="F584" s="88"/>
      <c r="G584" s="65"/>
      <c r="H584" s="65"/>
      <c r="I584" s="65"/>
      <c r="J584" s="65"/>
      <c r="K584" s="65"/>
      <c r="L584" s="65"/>
      <c r="M584" s="89"/>
      <c r="N584" s="90"/>
      <c r="O584" s="42" t="b">
        <v>0</v>
      </c>
      <c r="P584" s="44"/>
      <c r="Q584" s="34"/>
      <c r="R584" s="34"/>
      <c r="S584" s="34"/>
      <c r="T584" s="34"/>
    </row>
    <row r="585" ht="15.75" hidden="1" customHeight="1">
      <c r="B585" s="86"/>
      <c r="C585" s="65"/>
      <c r="D585" s="65"/>
      <c r="E585" s="87"/>
      <c r="F585" s="88"/>
      <c r="G585" s="65"/>
      <c r="H585" s="65"/>
      <c r="I585" s="65"/>
      <c r="J585" s="65"/>
      <c r="K585" s="65"/>
      <c r="L585" s="65"/>
      <c r="M585" s="89"/>
      <c r="N585" s="90"/>
      <c r="O585" s="42" t="b">
        <v>0</v>
      </c>
      <c r="P585" s="44"/>
      <c r="Q585" s="34"/>
      <c r="R585" s="34"/>
      <c r="S585" s="34"/>
      <c r="T585" s="34"/>
    </row>
    <row r="586" ht="15.75" hidden="1" customHeight="1">
      <c r="B586" s="86"/>
      <c r="C586" s="65"/>
      <c r="D586" s="65"/>
      <c r="E586" s="87"/>
      <c r="F586" s="88"/>
      <c r="G586" s="65"/>
      <c r="H586" s="65"/>
      <c r="I586" s="65"/>
      <c r="J586" s="65"/>
      <c r="K586" s="65"/>
      <c r="L586" s="65"/>
      <c r="M586" s="89"/>
      <c r="N586" s="90"/>
      <c r="O586" s="42" t="b">
        <v>0</v>
      </c>
      <c r="P586" s="44"/>
      <c r="Q586" s="34"/>
      <c r="R586" s="34"/>
      <c r="S586" s="34"/>
      <c r="T586" s="34"/>
    </row>
    <row r="587" ht="15.75" hidden="1" customHeight="1">
      <c r="B587" s="86"/>
      <c r="C587" s="65"/>
      <c r="D587" s="65"/>
      <c r="E587" s="87"/>
      <c r="F587" s="88"/>
      <c r="G587" s="65"/>
      <c r="H587" s="65"/>
      <c r="I587" s="65"/>
      <c r="J587" s="65"/>
      <c r="K587" s="65"/>
      <c r="L587" s="65"/>
      <c r="M587" s="89"/>
      <c r="N587" s="90"/>
      <c r="O587" s="42" t="b">
        <v>0</v>
      </c>
      <c r="P587" s="44"/>
      <c r="Q587" s="34"/>
      <c r="R587" s="34"/>
      <c r="S587" s="34"/>
      <c r="T587" s="34"/>
    </row>
    <row r="588" ht="15.75" hidden="1" customHeight="1">
      <c r="B588" s="86"/>
      <c r="C588" s="65"/>
      <c r="D588" s="65"/>
      <c r="E588" s="87"/>
      <c r="F588" s="88"/>
      <c r="G588" s="65"/>
      <c r="H588" s="65"/>
      <c r="I588" s="65"/>
      <c r="J588" s="65"/>
      <c r="K588" s="65"/>
      <c r="L588" s="65"/>
      <c r="M588" s="89"/>
      <c r="N588" s="90"/>
      <c r="O588" s="42" t="b">
        <v>0</v>
      </c>
      <c r="P588" s="44"/>
      <c r="Q588" s="34"/>
      <c r="R588" s="34"/>
      <c r="S588" s="34"/>
      <c r="T588" s="34"/>
    </row>
    <row r="589" ht="15.75" hidden="1" customHeight="1">
      <c r="B589" s="86"/>
      <c r="C589" s="65"/>
      <c r="D589" s="65"/>
      <c r="E589" s="87"/>
      <c r="F589" s="88"/>
      <c r="G589" s="65"/>
      <c r="H589" s="65"/>
      <c r="I589" s="65"/>
      <c r="J589" s="65"/>
      <c r="K589" s="65"/>
      <c r="L589" s="65"/>
      <c r="M589" s="89"/>
      <c r="N589" s="90"/>
      <c r="O589" s="42" t="b">
        <v>0</v>
      </c>
      <c r="P589" s="44"/>
      <c r="Q589" s="34"/>
      <c r="R589" s="34"/>
      <c r="S589" s="34"/>
      <c r="T589" s="34"/>
    </row>
    <row r="590" ht="15.75" hidden="1" customHeight="1">
      <c r="B590" s="86"/>
      <c r="C590" s="65"/>
      <c r="D590" s="65"/>
      <c r="E590" s="87"/>
      <c r="F590" s="88"/>
      <c r="G590" s="65"/>
      <c r="H590" s="65"/>
      <c r="I590" s="65"/>
      <c r="J590" s="65"/>
      <c r="K590" s="65"/>
      <c r="L590" s="65"/>
      <c r="M590" s="89"/>
      <c r="N590" s="90"/>
      <c r="O590" s="42" t="b">
        <v>0</v>
      </c>
      <c r="P590" s="44"/>
      <c r="Q590" s="34"/>
      <c r="R590" s="34"/>
      <c r="S590" s="34"/>
      <c r="T590" s="34"/>
    </row>
    <row r="591" ht="15.75" hidden="1" customHeight="1">
      <c r="B591" s="86"/>
      <c r="C591" s="65"/>
      <c r="D591" s="65"/>
      <c r="E591" s="87"/>
      <c r="F591" s="88"/>
      <c r="G591" s="65"/>
      <c r="H591" s="65"/>
      <c r="I591" s="65"/>
      <c r="J591" s="65"/>
      <c r="K591" s="65"/>
      <c r="L591" s="65"/>
      <c r="M591" s="89"/>
      <c r="N591" s="90"/>
      <c r="O591" s="42" t="b">
        <v>0</v>
      </c>
      <c r="P591" s="44"/>
      <c r="Q591" s="34"/>
      <c r="R591" s="34"/>
      <c r="S591" s="34"/>
      <c r="T591" s="34"/>
    </row>
    <row r="592" ht="15.75" hidden="1" customHeight="1">
      <c r="B592" s="86"/>
      <c r="C592" s="65"/>
      <c r="D592" s="65"/>
      <c r="E592" s="87"/>
      <c r="F592" s="88"/>
      <c r="G592" s="65"/>
      <c r="H592" s="65"/>
      <c r="I592" s="65"/>
      <c r="J592" s="65"/>
      <c r="K592" s="65"/>
      <c r="L592" s="65"/>
      <c r="M592" s="89"/>
      <c r="N592" s="90"/>
      <c r="O592" s="42" t="b">
        <v>0</v>
      </c>
      <c r="P592" s="44"/>
      <c r="Q592" s="34"/>
      <c r="R592" s="34"/>
      <c r="S592" s="34"/>
      <c r="T592" s="34"/>
    </row>
    <row r="593" ht="15.75" hidden="1" customHeight="1">
      <c r="B593" s="86"/>
      <c r="C593" s="65"/>
      <c r="D593" s="65"/>
      <c r="E593" s="87"/>
      <c r="F593" s="88"/>
      <c r="G593" s="65"/>
      <c r="H593" s="65"/>
      <c r="I593" s="65"/>
      <c r="J593" s="65"/>
      <c r="K593" s="65"/>
      <c r="L593" s="65"/>
      <c r="M593" s="89"/>
      <c r="N593" s="90"/>
      <c r="O593" s="42" t="b">
        <v>0</v>
      </c>
      <c r="P593" s="44"/>
      <c r="Q593" s="34"/>
      <c r="R593" s="34"/>
      <c r="S593" s="34"/>
      <c r="T593" s="34"/>
    </row>
    <row r="594" ht="15.75" hidden="1" customHeight="1">
      <c r="B594" s="86"/>
      <c r="C594" s="65"/>
      <c r="D594" s="65"/>
      <c r="E594" s="87"/>
      <c r="F594" s="88"/>
      <c r="G594" s="65"/>
      <c r="H594" s="65"/>
      <c r="I594" s="65"/>
      <c r="J594" s="65"/>
      <c r="K594" s="65"/>
      <c r="L594" s="65"/>
      <c r="M594" s="89"/>
      <c r="N594" s="90"/>
      <c r="O594" s="42" t="b">
        <v>0</v>
      </c>
      <c r="P594" s="44"/>
      <c r="Q594" s="34"/>
      <c r="R594" s="34"/>
      <c r="S594" s="34"/>
      <c r="T594" s="34"/>
    </row>
    <row r="595" ht="15.75" hidden="1" customHeight="1">
      <c r="B595" s="86"/>
      <c r="C595" s="65"/>
      <c r="D595" s="65"/>
      <c r="E595" s="87"/>
      <c r="F595" s="88"/>
      <c r="G595" s="65"/>
      <c r="H595" s="65"/>
      <c r="I595" s="65"/>
      <c r="J595" s="65"/>
      <c r="K595" s="65"/>
      <c r="L595" s="65"/>
      <c r="M595" s="89"/>
      <c r="N595" s="90"/>
      <c r="O595" s="42" t="b">
        <v>0</v>
      </c>
      <c r="P595" s="44"/>
      <c r="Q595" s="34"/>
      <c r="R595" s="34"/>
      <c r="S595" s="34"/>
      <c r="T595" s="34"/>
    </row>
    <row r="596" ht="15.75" hidden="1" customHeight="1">
      <c r="B596" s="86"/>
      <c r="C596" s="65"/>
      <c r="D596" s="65"/>
      <c r="E596" s="87"/>
      <c r="F596" s="88"/>
      <c r="G596" s="65"/>
      <c r="H596" s="65"/>
      <c r="I596" s="65"/>
      <c r="J596" s="65"/>
      <c r="K596" s="65"/>
      <c r="L596" s="65"/>
      <c r="M596" s="89"/>
      <c r="N596" s="90"/>
      <c r="O596" s="42" t="b">
        <v>0</v>
      </c>
      <c r="P596" s="44"/>
      <c r="Q596" s="34"/>
      <c r="R596" s="34"/>
      <c r="S596" s="34"/>
      <c r="T596" s="34"/>
    </row>
    <row r="597" ht="15.75" hidden="1" customHeight="1">
      <c r="B597" s="86"/>
      <c r="C597" s="65"/>
      <c r="D597" s="65"/>
      <c r="E597" s="87"/>
      <c r="F597" s="88"/>
      <c r="G597" s="65"/>
      <c r="H597" s="65"/>
      <c r="I597" s="65"/>
      <c r="J597" s="65"/>
      <c r="K597" s="65"/>
      <c r="L597" s="65"/>
      <c r="M597" s="89"/>
      <c r="N597" s="90"/>
      <c r="O597" s="42" t="b">
        <v>0</v>
      </c>
      <c r="P597" s="44"/>
      <c r="Q597" s="34"/>
      <c r="R597" s="34"/>
      <c r="S597" s="34"/>
      <c r="T597" s="34"/>
    </row>
    <row r="598" ht="15.75" hidden="1" customHeight="1">
      <c r="B598" s="86"/>
      <c r="C598" s="65"/>
      <c r="D598" s="65"/>
      <c r="E598" s="87"/>
      <c r="F598" s="88"/>
      <c r="G598" s="65"/>
      <c r="H598" s="65"/>
      <c r="I598" s="65"/>
      <c r="J598" s="65"/>
      <c r="K598" s="65"/>
      <c r="L598" s="65"/>
      <c r="M598" s="89"/>
      <c r="N598" s="90"/>
      <c r="O598" s="42" t="b">
        <v>0</v>
      </c>
      <c r="P598" s="44"/>
      <c r="Q598" s="34"/>
      <c r="R598" s="34"/>
      <c r="S598" s="34"/>
      <c r="T598" s="34"/>
    </row>
    <row r="599" ht="15.75" hidden="1" customHeight="1">
      <c r="B599" s="86"/>
      <c r="C599" s="65"/>
      <c r="D599" s="65"/>
      <c r="E599" s="87"/>
      <c r="F599" s="88"/>
      <c r="G599" s="65"/>
      <c r="H599" s="65"/>
      <c r="I599" s="65"/>
      <c r="J599" s="65"/>
      <c r="K599" s="65"/>
      <c r="L599" s="65"/>
      <c r="M599" s="89"/>
      <c r="N599" s="90"/>
      <c r="O599" s="42" t="b">
        <v>0</v>
      </c>
      <c r="P599" s="44"/>
      <c r="Q599" s="34"/>
      <c r="R599" s="34"/>
      <c r="S599" s="34"/>
      <c r="T599" s="34"/>
    </row>
    <row r="600" ht="15.75" hidden="1" customHeight="1">
      <c r="B600" s="86"/>
      <c r="C600" s="65"/>
      <c r="D600" s="65"/>
      <c r="E600" s="87"/>
      <c r="F600" s="88"/>
      <c r="G600" s="65"/>
      <c r="H600" s="65"/>
      <c r="I600" s="65"/>
      <c r="J600" s="65"/>
      <c r="K600" s="65"/>
      <c r="L600" s="65"/>
      <c r="M600" s="89"/>
      <c r="N600" s="90"/>
      <c r="O600" s="42" t="b">
        <v>0</v>
      </c>
      <c r="P600" s="44"/>
      <c r="Q600" s="34"/>
      <c r="R600" s="34"/>
      <c r="S600" s="34"/>
      <c r="T600" s="34"/>
    </row>
    <row r="601" ht="15.75" hidden="1" customHeight="1">
      <c r="B601" s="86"/>
      <c r="C601" s="65"/>
      <c r="D601" s="65"/>
      <c r="E601" s="87"/>
      <c r="F601" s="88"/>
      <c r="G601" s="65"/>
      <c r="H601" s="65"/>
      <c r="I601" s="65"/>
      <c r="J601" s="65"/>
      <c r="K601" s="65"/>
      <c r="L601" s="65"/>
      <c r="M601" s="89"/>
      <c r="N601" s="90"/>
      <c r="O601" s="42" t="b">
        <v>0</v>
      </c>
      <c r="P601" s="44"/>
      <c r="Q601" s="34"/>
      <c r="R601" s="34"/>
      <c r="S601" s="34"/>
      <c r="T601" s="34"/>
    </row>
    <row r="602" ht="15.75" hidden="1" customHeight="1">
      <c r="B602" s="86"/>
      <c r="C602" s="65"/>
      <c r="D602" s="65"/>
      <c r="E602" s="87"/>
      <c r="F602" s="88"/>
      <c r="G602" s="65"/>
      <c r="H602" s="65"/>
      <c r="I602" s="65"/>
      <c r="J602" s="65"/>
      <c r="K602" s="65"/>
      <c r="L602" s="65"/>
      <c r="M602" s="89"/>
      <c r="N602" s="90"/>
      <c r="O602" s="42" t="b">
        <v>0</v>
      </c>
      <c r="P602" s="44"/>
      <c r="Q602" s="34"/>
      <c r="R602" s="34"/>
      <c r="S602" s="34"/>
      <c r="T602" s="34"/>
    </row>
    <row r="603" ht="15.75" hidden="1" customHeight="1">
      <c r="B603" s="86"/>
      <c r="C603" s="65"/>
      <c r="D603" s="65"/>
      <c r="E603" s="87"/>
      <c r="F603" s="88"/>
      <c r="G603" s="65"/>
      <c r="H603" s="65"/>
      <c r="I603" s="65"/>
      <c r="J603" s="65"/>
      <c r="K603" s="65"/>
      <c r="L603" s="65"/>
      <c r="M603" s="89"/>
      <c r="N603" s="90"/>
      <c r="O603" s="42" t="b">
        <v>0</v>
      </c>
      <c r="P603" s="44"/>
      <c r="Q603" s="34"/>
      <c r="R603" s="34"/>
      <c r="S603" s="34"/>
      <c r="T603" s="34"/>
    </row>
    <row r="604" ht="15.75" hidden="1" customHeight="1">
      <c r="B604" s="86"/>
      <c r="C604" s="65"/>
      <c r="D604" s="65"/>
      <c r="E604" s="87"/>
      <c r="F604" s="88"/>
      <c r="G604" s="65"/>
      <c r="H604" s="65"/>
      <c r="I604" s="65"/>
      <c r="J604" s="65"/>
      <c r="K604" s="65"/>
      <c r="L604" s="65"/>
      <c r="M604" s="89"/>
      <c r="N604" s="90"/>
      <c r="O604" s="42" t="b">
        <v>0</v>
      </c>
      <c r="P604" s="44"/>
      <c r="Q604" s="34"/>
      <c r="R604" s="34"/>
      <c r="S604" s="34"/>
      <c r="T604" s="34"/>
    </row>
    <row r="605" ht="15.75" hidden="1" customHeight="1">
      <c r="B605" s="86"/>
      <c r="C605" s="65"/>
      <c r="D605" s="65"/>
      <c r="E605" s="87"/>
      <c r="F605" s="88"/>
      <c r="G605" s="65"/>
      <c r="H605" s="65"/>
      <c r="I605" s="65"/>
      <c r="J605" s="65"/>
      <c r="K605" s="65"/>
      <c r="L605" s="65"/>
      <c r="M605" s="89"/>
      <c r="N605" s="90"/>
      <c r="O605" s="42" t="b">
        <v>0</v>
      </c>
      <c r="P605" s="44"/>
      <c r="Q605" s="34"/>
      <c r="R605" s="35"/>
      <c r="S605" s="34"/>
      <c r="T605" s="34"/>
    </row>
    <row r="606" ht="15.75" hidden="1" customHeight="1">
      <c r="B606" s="86"/>
      <c r="C606" s="65"/>
      <c r="D606" s="65"/>
      <c r="E606" s="87"/>
      <c r="F606" s="88"/>
      <c r="G606" s="65"/>
      <c r="H606" s="65"/>
      <c r="I606" s="65"/>
      <c r="J606" s="65"/>
      <c r="K606" s="65"/>
      <c r="L606" s="65"/>
      <c r="M606" s="89"/>
      <c r="N606" s="90"/>
      <c r="O606" s="42" t="b">
        <v>0</v>
      </c>
      <c r="P606" s="44"/>
      <c r="Q606" s="34"/>
      <c r="R606" s="35"/>
      <c r="S606" s="34"/>
      <c r="T606" s="34"/>
    </row>
    <row r="607" ht="15.75" hidden="1" customHeight="1">
      <c r="B607" s="86"/>
      <c r="C607" s="65"/>
      <c r="D607" s="65"/>
      <c r="E607" s="87"/>
      <c r="F607" s="88"/>
      <c r="G607" s="65"/>
      <c r="H607" s="65"/>
      <c r="I607" s="65"/>
      <c r="J607" s="65"/>
      <c r="K607" s="65"/>
      <c r="L607" s="65"/>
      <c r="M607" s="89"/>
      <c r="N607" s="90"/>
      <c r="O607" s="42" t="b">
        <v>0</v>
      </c>
      <c r="P607" s="44"/>
      <c r="Q607" s="34"/>
      <c r="R607" s="34"/>
      <c r="S607" s="34"/>
      <c r="T607" s="34"/>
    </row>
    <row r="608" ht="15.75" hidden="1" customHeight="1">
      <c r="B608" s="86"/>
      <c r="C608" s="65"/>
      <c r="D608" s="65"/>
      <c r="E608" s="87"/>
      <c r="F608" s="88"/>
      <c r="G608" s="65"/>
      <c r="H608" s="65"/>
      <c r="I608" s="65"/>
      <c r="J608" s="65"/>
      <c r="K608" s="65"/>
      <c r="L608" s="65"/>
      <c r="M608" s="89"/>
      <c r="N608" s="90"/>
      <c r="O608" s="42" t="b">
        <v>0</v>
      </c>
      <c r="P608" s="44"/>
      <c r="Q608" s="34"/>
      <c r="R608" s="34"/>
      <c r="S608" s="34"/>
      <c r="T608" s="34"/>
    </row>
    <row r="609" ht="15.75" hidden="1" customHeight="1">
      <c r="B609" s="86"/>
      <c r="C609" s="65"/>
      <c r="D609" s="65"/>
      <c r="E609" s="87"/>
      <c r="F609" s="88"/>
      <c r="G609" s="65"/>
      <c r="H609" s="65"/>
      <c r="I609" s="65"/>
      <c r="J609" s="65"/>
      <c r="K609" s="65"/>
      <c r="L609" s="65"/>
      <c r="M609" s="89"/>
      <c r="N609" s="90"/>
      <c r="O609" s="42" t="b">
        <v>0</v>
      </c>
      <c r="P609" s="44"/>
      <c r="Q609" s="34"/>
      <c r="R609" s="34"/>
      <c r="S609" s="34"/>
      <c r="T609" s="34"/>
    </row>
    <row r="610" ht="15.75" hidden="1" customHeight="1">
      <c r="B610" s="86"/>
      <c r="C610" s="65"/>
      <c r="D610" s="65"/>
      <c r="E610" s="87"/>
      <c r="F610" s="88"/>
      <c r="G610" s="65"/>
      <c r="H610" s="65"/>
      <c r="I610" s="65"/>
      <c r="J610" s="65"/>
      <c r="K610" s="65"/>
      <c r="L610" s="65"/>
      <c r="M610" s="89"/>
      <c r="N610" s="90"/>
      <c r="O610" s="42" t="b">
        <v>0</v>
      </c>
      <c r="P610" s="44"/>
      <c r="Q610" s="34"/>
      <c r="R610" s="34"/>
      <c r="S610" s="34"/>
      <c r="T610" s="34"/>
    </row>
    <row r="611" ht="15.75" hidden="1" customHeight="1">
      <c r="B611" s="86"/>
      <c r="C611" s="65"/>
      <c r="D611" s="65"/>
      <c r="E611" s="87"/>
      <c r="F611" s="88"/>
      <c r="G611" s="65"/>
      <c r="H611" s="65"/>
      <c r="I611" s="65"/>
      <c r="J611" s="65"/>
      <c r="K611" s="65"/>
      <c r="L611" s="65"/>
      <c r="M611" s="89"/>
      <c r="N611" s="90"/>
      <c r="O611" s="42" t="b">
        <v>0</v>
      </c>
      <c r="P611" s="44"/>
      <c r="Q611" s="34"/>
      <c r="R611" s="34"/>
      <c r="S611" s="34"/>
      <c r="T611" s="34"/>
    </row>
    <row r="612" ht="15.75" hidden="1" customHeight="1">
      <c r="B612" s="86"/>
      <c r="C612" s="65"/>
      <c r="D612" s="65"/>
      <c r="E612" s="87"/>
      <c r="F612" s="88"/>
      <c r="G612" s="65"/>
      <c r="H612" s="65"/>
      <c r="I612" s="65"/>
      <c r="J612" s="65"/>
      <c r="K612" s="65"/>
      <c r="L612" s="65"/>
      <c r="M612" s="89"/>
      <c r="N612" s="90"/>
      <c r="O612" s="42" t="b">
        <v>0</v>
      </c>
      <c r="P612" s="44"/>
      <c r="Q612" s="34"/>
      <c r="R612" s="34"/>
      <c r="S612" s="34"/>
      <c r="T612" s="34"/>
    </row>
    <row r="613" ht="15.75" hidden="1" customHeight="1">
      <c r="B613" s="86"/>
      <c r="C613" s="65"/>
      <c r="D613" s="65"/>
      <c r="E613" s="87"/>
      <c r="F613" s="88"/>
      <c r="G613" s="65"/>
      <c r="H613" s="65"/>
      <c r="I613" s="65"/>
      <c r="J613" s="65"/>
      <c r="K613" s="65"/>
      <c r="L613" s="65"/>
      <c r="M613" s="89"/>
      <c r="N613" s="90"/>
      <c r="O613" s="42" t="b">
        <v>0</v>
      </c>
      <c r="P613" s="44"/>
      <c r="Q613" s="34"/>
      <c r="R613" s="34"/>
      <c r="S613" s="34"/>
      <c r="T613" s="34"/>
    </row>
    <row r="614" ht="15.75" hidden="1" customHeight="1">
      <c r="B614" s="86"/>
      <c r="C614" s="65"/>
      <c r="D614" s="65"/>
      <c r="E614" s="87"/>
      <c r="F614" s="88"/>
      <c r="G614" s="65"/>
      <c r="H614" s="65"/>
      <c r="I614" s="65"/>
      <c r="J614" s="65"/>
      <c r="K614" s="65"/>
      <c r="L614" s="65"/>
      <c r="M614" s="89"/>
      <c r="N614" s="90"/>
      <c r="O614" s="42" t="b">
        <v>0</v>
      </c>
      <c r="P614" s="44"/>
      <c r="Q614" s="34"/>
      <c r="R614" s="34"/>
      <c r="S614" s="34"/>
      <c r="T614" s="34"/>
    </row>
    <row r="615" ht="15.75" hidden="1" customHeight="1">
      <c r="B615" s="86"/>
      <c r="C615" s="65"/>
      <c r="D615" s="65"/>
      <c r="E615" s="87"/>
      <c r="F615" s="88"/>
      <c r="G615" s="65"/>
      <c r="H615" s="65"/>
      <c r="I615" s="65"/>
      <c r="J615" s="65"/>
      <c r="K615" s="65"/>
      <c r="L615" s="65"/>
      <c r="M615" s="89"/>
      <c r="N615" s="90"/>
      <c r="O615" s="42" t="b">
        <v>0</v>
      </c>
      <c r="P615" s="44"/>
      <c r="Q615" s="34"/>
      <c r="R615" s="34"/>
      <c r="S615" s="34"/>
      <c r="T615" s="34"/>
    </row>
    <row r="616" ht="15.75" hidden="1" customHeight="1">
      <c r="B616" s="86"/>
      <c r="C616" s="65"/>
      <c r="D616" s="65"/>
      <c r="E616" s="87"/>
      <c r="F616" s="88"/>
      <c r="G616" s="65"/>
      <c r="H616" s="65"/>
      <c r="I616" s="65"/>
      <c r="J616" s="65"/>
      <c r="K616" s="65"/>
      <c r="L616" s="65"/>
      <c r="M616" s="89"/>
      <c r="N616" s="90"/>
      <c r="O616" s="42" t="b">
        <v>0</v>
      </c>
      <c r="P616" s="44"/>
      <c r="Q616" s="34"/>
      <c r="R616" s="34"/>
      <c r="S616" s="34"/>
      <c r="T616" s="34"/>
    </row>
    <row r="617" ht="15.75" hidden="1" customHeight="1">
      <c r="B617" s="86"/>
      <c r="C617" s="65"/>
      <c r="D617" s="65"/>
      <c r="E617" s="87"/>
      <c r="F617" s="88"/>
      <c r="G617" s="65"/>
      <c r="H617" s="65"/>
      <c r="I617" s="65"/>
      <c r="J617" s="65"/>
      <c r="K617" s="65"/>
      <c r="L617" s="65"/>
      <c r="M617" s="89"/>
      <c r="N617" s="90"/>
      <c r="O617" s="42" t="b">
        <v>0</v>
      </c>
      <c r="P617" s="44"/>
      <c r="Q617" s="34"/>
      <c r="R617" s="34"/>
      <c r="S617" s="34"/>
      <c r="T617" s="34"/>
    </row>
    <row r="618" ht="15.75" hidden="1" customHeight="1">
      <c r="B618" s="86"/>
      <c r="C618" s="65"/>
      <c r="D618" s="65"/>
      <c r="E618" s="87"/>
      <c r="F618" s="88"/>
      <c r="G618" s="65"/>
      <c r="H618" s="65"/>
      <c r="I618" s="65"/>
      <c r="J618" s="65"/>
      <c r="K618" s="65"/>
      <c r="L618" s="65"/>
      <c r="M618" s="89"/>
      <c r="N618" s="90"/>
      <c r="O618" s="42" t="b">
        <v>0</v>
      </c>
      <c r="P618" s="44"/>
      <c r="Q618" s="34"/>
      <c r="R618" s="34"/>
      <c r="S618" s="34"/>
      <c r="T618" s="34"/>
    </row>
    <row r="619" ht="15.75" hidden="1" customHeight="1">
      <c r="B619" s="86"/>
      <c r="C619" s="65"/>
      <c r="D619" s="65"/>
      <c r="E619" s="87"/>
      <c r="F619" s="88"/>
      <c r="G619" s="65"/>
      <c r="H619" s="65"/>
      <c r="I619" s="65"/>
      <c r="J619" s="65"/>
      <c r="K619" s="65"/>
      <c r="L619" s="65"/>
      <c r="M619" s="89"/>
      <c r="N619" s="90"/>
      <c r="O619" s="42" t="b">
        <v>0</v>
      </c>
      <c r="P619" s="44"/>
      <c r="Q619" s="34"/>
      <c r="R619" s="34"/>
      <c r="S619" s="34"/>
      <c r="T619" s="34"/>
    </row>
    <row r="620" ht="15.75" hidden="1" customHeight="1">
      <c r="B620" s="86"/>
      <c r="C620" s="65"/>
      <c r="D620" s="65"/>
      <c r="E620" s="87"/>
      <c r="F620" s="88"/>
      <c r="G620" s="65"/>
      <c r="H620" s="65"/>
      <c r="I620" s="65"/>
      <c r="J620" s="65"/>
      <c r="K620" s="65"/>
      <c r="L620" s="65"/>
      <c r="M620" s="89"/>
      <c r="N620" s="90"/>
      <c r="O620" s="42" t="b">
        <v>0</v>
      </c>
      <c r="P620" s="44"/>
      <c r="Q620" s="34"/>
      <c r="R620" s="34"/>
      <c r="S620" s="34"/>
      <c r="T620" s="34"/>
    </row>
    <row r="621" ht="15.75" hidden="1" customHeight="1">
      <c r="B621" s="86"/>
      <c r="C621" s="65"/>
      <c r="D621" s="65"/>
      <c r="E621" s="87"/>
      <c r="F621" s="88"/>
      <c r="G621" s="65"/>
      <c r="H621" s="65"/>
      <c r="I621" s="65"/>
      <c r="J621" s="65"/>
      <c r="K621" s="65"/>
      <c r="L621" s="65"/>
      <c r="M621" s="89"/>
      <c r="N621" s="90"/>
      <c r="O621" s="42" t="b">
        <v>0</v>
      </c>
      <c r="P621" s="44"/>
      <c r="Q621" s="34"/>
      <c r="R621" s="34"/>
      <c r="S621" s="34"/>
      <c r="T621" s="34"/>
    </row>
    <row r="622" ht="15.75" hidden="1" customHeight="1">
      <c r="B622" s="86"/>
      <c r="C622" s="65"/>
      <c r="D622" s="65"/>
      <c r="E622" s="87"/>
      <c r="F622" s="88"/>
      <c r="G622" s="65"/>
      <c r="H622" s="65"/>
      <c r="I622" s="65"/>
      <c r="J622" s="65"/>
      <c r="K622" s="65"/>
      <c r="L622" s="65"/>
      <c r="M622" s="89"/>
      <c r="N622" s="90"/>
      <c r="O622" s="42" t="b">
        <v>0</v>
      </c>
      <c r="P622" s="44"/>
      <c r="Q622" s="34"/>
      <c r="R622" s="34"/>
      <c r="S622" s="34"/>
      <c r="T622" s="34"/>
    </row>
    <row r="623" ht="15.75" hidden="1" customHeight="1">
      <c r="B623" s="86"/>
      <c r="C623" s="65"/>
      <c r="D623" s="65"/>
      <c r="E623" s="87"/>
      <c r="F623" s="88"/>
      <c r="G623" s="65"/>
      <c r="H623" s="65"/>
      <c r="I623" s="65"/>
      <c r="J623" s="65"/>
      <c r="K623" s="65"/>
      <c r="L623" s="65"/>
      <c r="M623" s="89"/>
      <c r="N623" s="90"/>
      <c r="O623" s="42" t="b">
        <v>0</v>
      </c>
      <c r="P623" s="44"/>
      <c r="Q623" s="34"/>
      <c r="R623" s="34"/>
      <c r="S623" s="34"/>
      <c r="T623" s="34"/>
    </row>
    <row r="624" ht="15.75" hidden="1" customHeight="1">
      <c r="B624" s="86"/>
      <c r="C624" s="65"/>
      <c r="D624" s="65"/>
      <c r="E624" s="87"/>
      <c r="F624" s="88"/>
      <c r="G624" s="65"/>
      <c r="H624" s="65"/>
      <c r="I624" s="65"/>
      <c r="J624" s="65"/>
      <c r="K624" s="65"/>
      <c r="L624" s="65"/>
      <c r="M624" s="89"/>
      <c r="N624" s="90"/>
      <c r="O624" s="42" t="b">
        <v>0</v>
      </c>
      <c r="P624" s="44"/>
      <c r="Q624" s="34"/>
      <c r="R624" s="34"/>
      <c r="S624" s="34"/>
      <c r="T624" s="34"/>
    </row>
    <row r="625" ht="15.75" hidden="1" customHeight="1">
      <c r="B625" s="86"/>
      <c r="C625" s="65"/>
      <c r="D625" s="65"/>
      <c r="E625" s="87"/>
      <c r="F625" s="88"/>
      <c r="G625" s="65"/>
      <c r="H625" s="65"/>
      <c r="I625" s="65"/>
      <c r="J625" s="65"/>
      <c r="K625" s="65"/>
      <c r="L625" s="65"/>
      <c r="M625" s="89"/>
      <c r="N625" s="90"/>
      <c r="O625" s="42" t="b">
        <v>0</v>
      </c>
      <c r="P625" s="44"/>
      <c r="Q625" s="34"/>
      <c r="R625" s="34"/>
      <c r="S625" s="34"/>
      <c r="T625" s="34"/>
    </row>
    <row r="626" ht="15.75" hidden="1" customHeight="1">
      <c r="B626" s="86"/>
      <c r="C626" s="65"/>
      <c r="D626" s="65"/>
      <c r="E626" s="87"/>
      <c r="F626" s="88"/>
      <c r="G626" s="65"/>
      <c r="H626" s="65"/>
      <c r="I626" s="65"/>
      <c r="J626" s="65"/>
      <c r="K626" s="65"/>
      <c r="L626" s="65"/>
      <c r="M626" s="89"/>
      <c r="N626" s="90"/>
      <c r="O626" s="42" t="b">
        <v>0</v>
      </c>
      <c r="P626" s="44"/>
      <c r="Q626" s="34"/>
      <c r="R626" s="34"/>
      <c r="S626" s="34"/>
      <c r="T626" s="34"/>
    </row>
    <row r="627" ht="15.75" hidden="1" customHeight="1">
      <c r="B627" s="86"/>
      <c r="C627" s="65"/>
      <c r="D627" s="65"/>
      <c r="E627" s="87"/>
      <c r="F627" s="88"/>
      <c r="G627" s="65"/>
      <c r="H627" s="65"/>
      <c r="I627" s="65"/>
      <c r="J627" s="65"/>
      <c r="K627" s="65"/>
      <c r="L627" s="65"/>
      <c r="M627" s="89"/>
      <c r="N627" s="90"/>
      <c r="O627" s="42" t="b">
        <v>0</v>
      </c>
      <c r="P627" s="44"/>
      <c r="Q627" s="34"/>
      <c r="R627" s="34"/>
      <c r="S627" s="34"/>
      <c r="T627" s="34"/>
    </row>
    <row r="628" ht="15.75" hidden="1" customHeight="1">
      <c r="B628" s="86"/>
      <c r="C628" s="65"/>
      <c r="D628" s="65"/>
      <c r="E628" s="87"/>
      <c r="F628" s="88"/>
      <c r="G628" s="65"/>
      <c r="H628" s="65"/>
      <c r="I628" s="65"/>
      <c r="J628" s="65"/>
      <c r="K628" s="65"/>
      <c r="L628" s="65"/>
      <c r="M628" s="89"/>
      <c r="N628" s="90"/>
      <c r="O628" s="42" t="b">
        <v>0</v>
      </c>
      <c r="P628" s="44"/>
      <c r="Q628" s="34"/>
      <c r="R628" s="34"/>
      <c r="S628" s="34"/>
      <c r="T628" s="34"/>
    </row>
    <row r="629" ht="15.75" hidden="1" customHeight="1">
      <c r="B629" s="86"/>
      <c r="C629" s="65"/>
      <c r="D629" s="65"/>
      <c r="E629" s="87"/>
      <c r="F629" s="88"/>
      <c r="G629" s="65"/>
      <c r="H629" s="65"/>
      <c r="I629" s="65"/>
      <c r="J629" s="65"/>
      <c r="K629" s="65"/>
      <c r="L629" s="65"/>
      <c r="M629" s="89"/>
      <c r="N629" s="90"/>
      <c r="O629" s="42" t="b">
        <v>0</v>
      </c>
      <c r="P629" s="44"/>
      <c r="Q629" s="34"/>
      <c r="R629" s="34"/>
      <c r="S629" s="34"/>
      <c r="T629" s="34"/>
    </row>
    <row r="630" ht="15.75" hidden="1" customHeight="1">
      <c r="B630" s="86"/>
      <c r="C630" s="65"/>
      <c r="D630" s="65"/>
      <c r="E630" s="87"/>
      <c r="F630" s="88"/>
      <c r="G630" s="65"/>
      <c r="H630" s="65"/>
      <c r="I630" s="65"/>
      <c r="J630" s="65"/>
      <c r="K630" s="65"/>
      <c r="L630" s="65"/>
      <c r="M630" s="89"/>
      <c r="N630" s="90"/>
      <c r="O630" s="42" t="b">
        <v>0</v>
      </c>
      <c r="P630" s="44"/>
      <c r="Q630" s="34"/>
      <c r="R630" s="34"/>
      <c r="S630" s="34"/>
      <c r="T630" s="34"/>
    </row>
    <row r="631" ht="15.75" hidden="1" customHeight="1">
      <c r="B631" s="86"/>
      <c r="C631" s="65"/>
      <c r="D631" s="65"/>
      <c r="E631" s="87"/>
      <c r="F631" s="88"/>
      <c r="G631" s="65"/>
      <c r="H631" s="65"/>
      <c r="I631" s="65"/>
      <c r="J631" s="65"/>
      <c r="K631" s="65"/>
      <c r="L631" s="65"/>
      <c r="M631" s="89"/>
      <c r="N631" s="90"/>
      <c r="O631" s="42" t="b">
        <v>0</v>
      </c>
      <c r="P631" s="44"/>
      <c r="Q631" s="34"/>
      <c r="R631" s="34"/>
      <c r="S631" s="34"/>
      <c r="T631" s="34"/>
    </row>
    <row r="632" ht="15.75" hidden="1" customHeight="1">
      <c r="B632" s="86"/>
      <c r="C632" s="65"/>
      <c r="D632" s="65"/>
      <c r="E632" s="87"/>
      <c r="F632" s="88"/>
      <c r="G632" s="65"/>
      <c r="H632" s="65"/>
      <c r="I632" s="65"/>
      <c r="J632" s="65"/>
      <c r="K632" s="65"/>
      <c r="L632" s="65"/>
      <c r="M632" s="89"/>
      <c r="N632" s="90"/>
      <c r="O632" s="42" t="b">
        <v>0</v>
      </c>
      <c r="P632" s="44"/>
      <c r="Q632" s="34"/>
      <c r="R632" s="35"/>
      <c r="S632" s="34"/>
      <c r="T632" s="34"/>
    </row>
    <row r="633" ht="15.75" hidden="1" customHeight="1">
      <c r="B633" s="86"/>
      <c r="C633" s="65"/>
      <c r="D633" s="65"/>
      <c r="E633" s="87"/>
      <c r="F633" s="88"/>
      <c r="G633" s="65"/>
      <c r="H633" s="65"/>
      <c r="I633" s="65"/>
      <c r="J633" s="65"/>
      <c r="K633" s="65"/>
      <c r="L633" s="65"/>
      <c r="M633" s="89"/>
      <c r="N633" s="90"/>
      <c r="O633" s="42" t="b">
        <v>0</v>
      </c>
      <c r="P633" s="44"/>
      <c r="Q633" s="34"/>
      <c r="R633" s="33"/>
      <c r="S633" s="34"/>
      <c r="T633" s="34"/>
    </row>
    <row r="634" ht="15.75" hidden="1" customHeight="1">
      <c r="B634" s="86"/>
      <c r="C634" s="65"/>
      <c r="D634" s="65"/>
      <c r="E634" s="87"/>
      <c r="F634" s="88"/>
      <c r="G634" s="65"/>
      <c r="H634" s="65"/>
      <c r="I634" s="65"/>
      <c r="J634" s="65"/>
      <c r="K634" s="65"/>
      <c r="L634" s="65"/>
      <c r="M634" s="89"/>
      <c r="N634" s="90"/>
      <c r="O634" s="42" t="b">
        <v>0</v>
      </c>
      <c r="P634" s="44"/>
      <c r="Q634" s="34"/>
      <c r="R634" s="33"/>
      <c r="S634" s="34"/>
      <c r="T634" s="34"/>
    </row>
    <row r="635" ht="15.75" hidden="1" customHeight="1">
      <c r="B635" s="86"/>
      <c r="C635" s="65"/>
      <c r="D635" s="65"/>
      <c r="E635" s="87"/>
      <c r="F635" s="88"/>
      <c r="G635" s="65"/>
      <c r="H635" s="65"/>
      <c r="I635" s="65"/>
      <c r="J635" s="65"/>
      <c r="K635" s="65"/>
      <c r="L635" s="65"/>
      <c r="M635" s="89"/>
      <c r="N635" s="90"/>
      <c r="O635" s="42" t="b">
        <v>0</v>
      </c>
      <c r="P635" s="44"/>
      <c r="Q635" s="34"/>
      <c r="R635" s="33"/>
      <c r="S635" s="34"/>
      <c r="T635" s="34"/>
    </row>
    <row r="636" ht="15.75" hidden="1" customHeight="1">
      <c r="B636" s="86"/>
      <c r="C636" s="65"/>
      <c r="D636" s="65"/>
      <c r="E636" s="87"/>
      <c r="F636" s="88"/>
      <c r="G636" s="65"/>
      <c r="H636" s="65"/>
      <c r="I636" s="65"/>
      <c r="J636" s="65"/>
      <c r="K636" s="65"/>
      <c r="L636" s="65"/>
      <c r="M636" s="89"/>
      <c r="N636" s="90"/>
      <c r="O636" s="42" t="b">
        <v>0</v>
      </c>
      <c r="P636" s="44"/>
      <c r="Q636" s="34"/>
      <c r="R636" s="34"/>
      <c r="S636" s="34"/>
      <c r="T636" s="34"/>
    </row>
    <row r="637" ht="15.75" hidden="1" customHeight="1">
      <c r="B637" s="86"/>
      <c r="C637" s="65"/>
      <c r="D637" s="65"/>
      <c r="E637" s="87"/>
      <c r="F637" s="88"/>
      <c r="G637" s="65"/>
      <c r="H637" s="65"/>
      <c r="I637" s="65"/>
      <c r="J637" s="65"/>
      <c r="K637" s="65"/>
      <c r="L637" s="65"/>
      <c r="M637" s="89"/>
      <c r="N637" s="90"/>
      <c r="O637" s="42" t="b">
        <v>0</v>
      </c>
      <c r="P637" s="44"/>
      <c r="Q637" s="34"/>
      <c r="R637" s="34"/>
      <c r="S637" s="34"/>
      <c r="T637" s="34"/>
    </row>
    <row r="638" ht="15.75" hidden="1" customHeight="1">
      <c r="B638" s="86"/>
      <c r="C638" s="65"/>
      <c r="D638" s="65"/>
      <c r="E638" s="87"/>
      <c r="F638" s="88"/>
      <c r="G638" s="65"/>
      <c r="H638" s="65"/>
      <c r="I638" s="65"/>
      <c r="J638" s="65"/>
      <c r="K638" s="65"/>
      <c r="L638" s="65"/>
      <c r="M638" s="89"/>
      <c r="N638" s="90"/>
      <c r="O638" s="42" t="b">
        <v>0</v>
      </c>
      <c r="P638" s="44"/>
      <c r="Q638" s="34"/>
      <c r="R638" s="34"/>
      <c r="S638" s="34"/>
      <c r="T638" s="34"/>
    </row>
    <row r="639" ht="15.75" hidden="1" customHeight="1">
      <c r="B639" s="86"/>
      <c r="C639" s="65"/>
      <c r="D639" s="65"/>
      <c r="E639" s="87"/>
      <c r="F639" s="88"/>
      <c r="G639" s="65"/>
      <c r="H639" s="65"/>
      <c r="I639" s="65"/>
      <c r="J639" s="65"/>
      <c r="K639" s="65"/>
      <c r="L639" s="65"/>
      <c r="M639" s="89"/>
      <c r="N639" s="90"/>
      <c r="O639" s="42" t="b">
        <v>0</v>
      </c>
      <c r="P639" s="44"/>
      <c r="Q639" s="34"/>
      <c r="R639" s="34"/>
      <c r="S639" s="34"/>
      <c r="T639" s="34"/>
    </row>
    <row r="640" ht="15.75" hidden="1" customHeight="1">
      <c r="B640" s="86"/>
      <c r="C640" s="65"/>
      <c r="D640" s="65"/>
      <c r="E640" s="87"/>
      <c r="F640" s="88"/>
      <c r="G640" s="65"/>
      <c r="H640" s="65"/>
      <c r="I640" s="65"/>
      <c r="J640" s="65"/>
      <c r="K640" s="65"/>
      <c r="L640" s="65"/>
      <c r="M640" s="89"/>
      <c r="N640" s="90"/>
      <c r="O640" s="42" t="b">
        <v>0</v>
      </c>
      <c r="P640" s="44"/>
      <c r="Q640" s="34"/>
      <c r="R640" s="34"/>
      <c r="S640" s="34"/>
      <c r="T640" s="34"/>
    </row>
    <row r="641" ht="15.75" hidden="1" customHeight="1">
      <c r="B641" s="86"/>
      <c r="C641" s="65"/>
      <c r="D641" s="65"/>
      <c r="E641" s="87"/>
      <c r="F641" s="88"/>
      <c r="G641" s="65"/>
      <c r="H641" s="65"/>
      <c r="I641" s="65"/>
      <c r="J641" s="65"/>
      <c r="K641" s="65"/>
      <c r="L641" s="65"/>
      <c r="M641" s="89"/>
      <c r="N641" s="90"/>
      <c r="O641" s="42" t="b">
        <v>0</v>
      </c>
      <c r="P641" s="44"/>
      <c r="Q641" s="34"/>
      <c r="R641" s="34"/>
      <c r="S641" s="34"/>
      <c r="T641" s="34"/>
    </row>
    <row r="642" ht="15.75" hidden="1" customHeight="1">
      <c r="B642" s="86"/>
      <c r="C642" s="65"/>
      <c r="D642" s="65"/>
      <c r="E642" s="87"/>
      <c r="F642" s="88"/>
      <c r="G642" s="65"/>
      <c r="H642" s="65"/>
      <c r="I642" s="65"/>
      <c r="J642" s="65"/>
      <c r="K642" s="65"/>
      <c r="L642" s="65"/>
      <c r="M642" s="89"/>
      <c r="N642" s="90"/>
      <c r="O642" s="42" t="b">
        <v>0</v>
      </c>
      <c r="P642" s="44"/>
      <c r="Q642" s="34"/>
      <c r="R642" s="34"/>
      <c r="S642" s="34"/>
      <c r="T642" s="34"/>
    </row>
    <row r="643" ht="15.75" hidden="1" customHeight="1">
      <c r="B643" s="86"/>
      <c r="C643" s="65"/>
      <c r="D643" s="65"/>
      <c r="E643" s="87"/>
      <c r="F643" s="88"/>
      <c r="G643" s="65"/>
      <c r="H643" s="65"/>
      <c r="I643" s="65"/>
      <c r="J643" s="65"/>
      <c r="K643" s="65"/>
      <c r="L643" s="65"/>
      <c r="M643" s="89"/>
      <c r="N643" s="90"/>
      <c r="O643" s="42" t="b">
        <v>0</v>
      </c>
      <c r="P643" s="44"/>
      <c r="Q643" s="34"/>
      <c r="R643" s="34"/>
      <c r="S643" s="34"/>
      <c r="T643" s="34"/>
    </row>
    <row r="644" ht="15.75" hidden="1" customHeight="1">
      <c r="B644" s="86"/>
      <c r="C644" s="65"/>
      <c r="D644" s="65"/>
      <c r="E644" s="87"/>
      <c r="F644" s="88"/>
      <c r="G644" s="65"/>
      <c r="H644" s="65"/>
      <c r="I644" s="65"/>
      <c r="J644" s="65"/>
      <c r="K644" s="65"/>
      <c r="L644" s="65"/>
      <c r="M644" s="89"/>
      <c r="N644" s="90"/>
      <c r="O644" s="42" t="b">
        <v>0</v>
      </c>
      <c r="P644" s="44"/>
      <c r="Q644" s="34"/>
      <c r="R644" s="34"/>
      <c r="S644" s="34"/>
      <c r="T644" s="34"/>
    </row>
    <row r="645" ht="15.75" hidden="1" customHeight="1">
      <c r="B645" s="86"/>
      <c r="C645" s="65"/>
      <c r="D645" s="65"/>
      <c r="E645" s="87"/>
      <c r="F645" s="88"/>
      <c r="G645" s="65"/>
      <c r="H645" s="65"/>
      <c r="I645" s="65"/>
      <c r="J645" s="65"/>
      <c r="K645" s="65"/>
      <c r="L645" s="65"/>
      <c r="M645" s="89"/>
      <c r="N645" s="90"/>
      <c r="O645" s="42" t="b">
        <v>0</v>
      </c>
      <c r="P645" s="44"/>
      <c r="Q645" s="34"/>
      <c r="R645" s="34"/>
      <c r="S645" s="34"/>
      <c r="T645" s="34"/>
    </row>
    <row r="646" ht="15.75" hidden="1" customHeight="1">
      <c r="B646" s="86"/>
      <c r="C646" s="65"/>
      <c r="D646" s="65"/>
      <c r="E646" s="87"/>
      <c r="F646" s="88"/>
      <c r="G646" s="65"/>
      <c r="H646" s="65"/>
      <c r="I646" s="65"/>
      <c r="J646" s="65"/>
      <c r="K646" s="65"/>
      <c r="L646" s="65"/>
      <c r="M646" s="89"/>
      <c r="N646" s="90"/>
      <c r="O646" s="42" t="b">
        <v>0</v>
      </c>
      <c r="P646" s="44"/>
      <c r="Q646" s="34"/>
      <c r="R646" s="34"/>
      <c r="S646" s="34"/>
      <c r="T646" s="34"/>
    </row>
    <row r="647" ht="15.75" hidden="1" customHeight="1">
      <c r="B647" s="86"/>
      <c r="C647" s="65"/>
      <c r="D647" s="65"/>
      <c r="E647" s="87"/>
      <c r="F647" s="88"/>
      <c r="G647" s="65"/>
      <c r="H647" s="65"/>
      <c r="I647" s="65"/>
      <c r="J647" s="65"/>
      <c r="K647" s="65"/>
      <c r="L647" s="65"/>
      <c r="M647" s="89"/>
      <c r="N647" s="90"/>
      <c r="O647" s="42" t="b">
        <v>0</v>
      </c>
      <c r="P647" s="44"/>
      <c r="Q647" s="34"/>
      <c r="R647" s="34"/>
      <c r="S647" s="34"/>
      <c r="T647" s="34"/>
    </row>
    <row r="648" ht="15.75" hidden="1" customHeight="1">
      <c r="B648" s="86"/>
      <c r="C648" s="65"/>
      <c r="D648" s="65"/>
      <c r="E648" s="87"/>
      <c r="F648" s="88"/>
      <c r="G648" s="65"/>
      <c r="H648" s="65"/>
      <c r="I648" s="65"/>
      <c r="J648" s="65"/>
      <c r="K648" s="65"/>
      <c r="L648" s="65"/>
      <c r="M648" s="89"/>
      <c r="N648" s="90"/>
      <c r="O648" s="42" t="b">
        <v>0</v>
      </c>
      <c r="P648" s="44"/>
      <c r="Q648" s="34"/>
      <c r="R648" s="34"/>
      <c r="S648" s="34"/>
      <c r="T648" s="34"/>
    </row>
    <row r="649" ht="15.75" hidden="1" customHeight="1">
      <c r="B649" s="86"/>
      <c r="C649" s="65"/>
      <c r="D649" s="65"/>
      <c r="E649" s="87"/>
      <c r="F649" s="88"/>
      <c r="G649" s="65"/>
      <c r="H649" s="65"/>
      <c r="I649" s="65"/>
      <c r="J649" s="65"/>
      <c r="K649" s="65"/>
      <c r="L649" s="65"/>
      <c r="M649" s="89"/>
      <c r="N649" s="90"/>
      <c r="O649" s="42" t="b">
        <v>0</v>
      </c>
      <c r="P649" s="44"/>
      <c r="Q649" s="34"/>
      <c r="R649" s="34"/>
      <c r="S649" s="34"/>
      <c r="T649" s="34"/>
    </row>
    <row r="650" ht="15.75" hidden="1" customHeight="1">
      <c r="B650" s="86"/>
      <c r="C650" s="65"/>
      <c r="D650" s="65"/>
      <c r="E650" s="87"/>
      <c r="F650" s="88"/>
      <c r="G650" s="65"/>
      <c r="H650" s="65"/>
      <c r="I650" s="65"/>
      <c r="J650" s="65"/>
      <c r="K650" s="65"/>
      <c r="L650" s="65"/>
      <c r="M650" s="89"/>
      <c r="N650" s="90"/>
      <c r="O650" s="42" t="b">
        <v>0</v>
      </c>
      <c r="P650" s="44"/>
      <c r="Q650" s="34"/>
      <c r="R650" s="34"/>
      <c r="S650" s="34"/>
      <c r="T650" s="34"/>
    </row>
    <row r="651" ht="15.75" hidden="1" customHeight="1">
      <c r="B651" s="86"/>
      <c r="C651" s="65"/>
      <c r="D651" s="65"/>
      <c r="E651" s="87"/>
      <c r="F651" s="88"/>
      <c r="G651" s="65"/>
      <c r="H651" s="65"/>
      <c r="I651" s="65"/>
      <c r="J651" s="65"/>
      <c r="K651" s="65"/>
      <c r="L651" s="65"/>
      <c r="M651" s="89"/>
      <c r="N651" s="90"/>
      <c r="O651" s="42" t="b">
        <v>0</v>
      </c>
      <c r="P651" s="44"/>
      <c r="Q651" s="34"/>
      <c r="R651" s="34"/>
      <c r="S651" s="34"/>
      <c r="T651" s="34"/>
    </row>
    <row r="652" ht="15.75" hidden="1" customHeight="1">
      <c r="B652" s="86"/>
      <c r="C652" s="65"/>
      <c r="D652" s="65"/>
      <c r="E652" s="87"/>
      <c r="F652" s="88"/>
      <c r="G652" s="65"/>
      <c r="H652" s="65"/>
      <c r="I652" s="65"/>
      <c r="J652" s="65"/>
      <c r="K652" s="65"/>
      <c r="L652" s="65"/>
      <c r="M652" s="89"/>
      <c r="N652" s="90"/>
      <c r="O652" s="42" t="b">
        <v>0</v>
      </c>
      <c r="P652" s="44"/>
      <c r="Q652" s="34"/>
      <c r="R652" s="34"/>
      <c r="S652" s="34"/>
      <c r="T652" s="34"/>
    </row>
    <row r="653" ht="15.75" hidden="1" customHeight="1">
      <c r="B653" s="86"/>
      <c r="C653" s="65"/>
      <c r="D653" s="65"/>
      <c r="E653" s="87"/>
      <c r="F653" s="88"/>
      <c r="G653" s="65"/>
      <c r="H653" s="65"/>
      <c r="I653" s="65"/>
      <c r="J653" s="65"/>
      <c r="K653" s="65"/>
      <c r="L653" s="65"/>
      <c r="M653" s="89"/>
      <c r="N653" s="90"/>
      <c r="O653" s="42" t="b">
        <v>0</v>
      </c>
      <c r="P653" s="44"/>
      <c r="Q653" s="34"/>
      <c r="R653" s="34"/>
      <c r="S653" s="34"/>
      <c r="T653" s="34"/>
    </row>
    <row r="654" ht="15.75" hidden="1" customHeight="1">
      <c r="B654" s="86"/>
      <c r="C654" s="65"/>
      <c r="D654" s="65"/>
      <c r="E654" s="87"/>
      <c r="F654" s="88"/>
      <c r="G654" s="65"/>
      <c r="H654" s="65"/>
      <c r="I654" s="65"/>
      <c r="J654" s="65"/>
      <c r="K654" s="65"/>
      <c r="L654" s="65"/>
      <c r="M654" s="89"/>
      <c r="N654" s="90"/>
      <c r="O654" s="42" t="b">
        <v>0</v>
      </c>
      <c r="P654" s="44"/>
      <c r="Q654" s="34"/>
      <c r="R654" s="34"/>
      <c r="S654" s="34"/>
      <c r="T654" s="34"/>
    </row>
    <row r="655" ht="15.75" hidden="1" customHeight="1">
      <c r="B655" s="86"/>
      <c r="C655" s="65"/>
      <c r="D655" s="65"/>
      <c r="E655" s="87"/>
      <c r="F655" s="88"/>
      <c r="G655" s="65"/>
      <c r="H655" s="65"/>
      <c r="I655" s="65"/>
      <c r="J655" s="65"/>
      <c r="K655" s="65"/>
      <c r="L655" s="65"/>
      <c r="M655" s="89"/>
      <c r="N655" s="90"/>
      <c r="O655" s="42" t="b">
        <v>0</v>
      </c>
      <c r="P655" s="44"/>
      <c r="Q655" s="34"/>
      <c r="R655" s="34"/>
      <c r="S655" s="34"/>
      <c r="T655" s="34"/>
    </row>
    <row r="656" ht="15.75" hidden="1" customHeight="1">
      <c r="B656" s="86"/>
      <c r="C656" s="65"/>
      <c r="D656" s="65"/>
      <c r="E656" s="87"/>
      <c r="F656" s="88"/>
      <c r="G656" s="65"/>
      <c r="H656" s="65"/>
      <c r="I656" s="65"/>
      <c r="J656" s="65"/>
      <c r="K656" s="65"/>
      <c r="L656" s="65"/>
      <c r="M656" s="89"/>
      <c r="N656" s="90"/>
      <c r="O656" s="42" t="b">
        <v>0</v>
      </c>
      <c r="P656" s="44"/>
      <c r="Q656" s="34"/>
      <c r="R656" s="34"/>
      <c r="S656" s="34"/>
      <c r="T656" s="34"/>
    </row>
    <row r="657" ht="15.75" hidden="1" customHeight="1">
      <c r="B657" s="86"/>
      <c r="C657" s="65"/>
      <c r="D657" s="65"/>
      <c r="E657" s="87"/>
      <c r="F657" s="88"/>
      <c r="G657" s="65"/>
      <c r="H657" s="65"/>
      <c r="I657" s="65"/>
      <c r="J657" s="65"/>
      <c r="K657" s="65"/>
      <c r="L657" s="65"/>
      <c r="M657" s="89"/>
      <c r="N657" s="90"/>
      <c r="O657" s="42" t="b">
        <v>0</v>
      </c>
      <c r="P657" s="44"/>
      <c r="Q657" s="34"/>
      <c r="R657" s="34"/>
      <c r="S657" s="34"/>
      <c r="T657" s="34"/>
    </row>
    <row r="658" ht="15.75" hidden="1" customHeight="1">
      <c r="B658" s="86"/>
      <c r="C658" s="65"/>
      <c r="D658" s="65"/>
      <c r="E658" s="87"/>
      <c r="F658" s="88"/>
      <c r="G658" s="65"/>
      <c r="H658" s="65"/>
      <c r="I658" s="65"/>
      <c r="J658" s="65"/>
      <c r="K658" s="65"/>
      <c r="L658" s="65"/>
      <c r="M658" s="89"/>
      <c r="N658" s="90"/>
      <c r="O658" s="42" t="b">
        <v>0</v>
      </c>
      <c r="P658" s="44"/>
      <c r="Q658" s="34"/>
      <c r="R658" s="34"/>
      <c r="S658" s="34"/>
      <c r="T658" s="34"/>
    </row>
    <row r="659" ht="15.75" hidden="1" customHeight="1">
      <c r="B659" s="86"/>
      <c r="C659" s="65"/>
      <c r="D659" s="65"/>
      <c r="E659" s="87"/>
      <c r="F659" s="88"/>
      <c r="G659" s="65"/>
      <c r="H659" s="65"/>
      <c r="I659" s="65"/>
      <c r="J659" s="65"/>
      <c r="K659" s="65"/>
      <c r="L659" s="65"/>
      <c r="M659" s="89"/>
      <c r="N659" s="90"/>
      <c r="O659" s="42" t="b">
        <v>0</v>
      </c>
      <c r="P659" s="44"/>
      <c r="Q659" s="34"/>
      <c r="R659" s="34"/>
      <c r="S659" s="34"/>
      <c r="T659" s="34"/>
    </row>
    <row r="660" ht="15.75" hidden="1" customHeight="1">
      <c r="B660" s="86"/>
      <c r="C660" s="65"/>
      <c r="D660" s="65"/>
      <c r="E660" s="87"/>
      <c r="F660" s="88"/>
      <c r="G660" s="65"/>
      <c r="H660" s="65"/>
      <c r="I660" s="65"/>
      <c r="J660" s="65"/>
      <c r="K660" s="65"/>
      <c r="L660" s="65"/>
      <c r="M660" s="89"/>
      <c r="N660" s="90"/>
      <c r="O660" s="42" t="b">
        <v>0</v>
      </c>
      <c r="P660" s="44"/>
      <c r="Q660" s="34"/>
      <c r="R660" s="34"/>
      <c r="S660" s="34"/>
      <c r="T660" s="34"/>
    </row>
    <row r="661" ht="15.75" hidden="1" customHeight="1">
      <c r="B661" s="86"/>
      <c r="C661" s="65"/>
      <c r="D661" s="65"/>
      <c r="E661" s="87"/>
      <c r="F661" s="88"/>
      <c r="G661" s="65"/>
      <c r="H661" s="65"/>
      <c r="I661" s="65"/>
      <c r="J661" s="65"/>
      <c r="K661" s="65"/>
      <c r="L661" s="65"/>
      <c r="M661" s="89"/>
      <c r="N661" s="90"/>
      <c r="O661" s="42" t="b">
        <v>0</v>
      </c>
      <c r="P661" s="44"/>
      <c r="Q661" s="34"/>
      <c r="R661" s="34"/>
      <c r="S661" s="34"/>
      <c r="T661" s="34"/>
    </row>
    <row r="662" ht="15.75" hidden="1" customHeight="1">
      <c r="B662" s="86"/>
      <c r="C662" s="65"/>
      <c r="D662" s="65"/>
      <c r="E662" s="87"/>
      <c r="F662" s="88"/>
      <c r="G662" s="65"/>
      <c r="H662" s="65"/>
      <c r="I662" s="65"/>
      <c r="J662" s="65"/>
      <c r="K662" s="65"/>
      <c r="L662" s="65"/>
      <c r="M662" s="89"/>
      <c r="N662" s="90"/>
      <c r="O662" s="42" t="b">
        <v>0</v>
      </c>
      <c r="P662" s="44"/>
      <c r="Q662" s="34"/>
      <c r="R662" s="34"/>
      <c r="S662" s="34"/>
      <c r="T662" s="34"/>
    </row>
    <row r="663" ht="15.75" hidden="1" customHeight="1">
      <c r="B663" s="86"/>
      <c r="C663" s="65"/>
      <c r="D663" s="65"/>
      <c r="E663" s="87"/>
      <c r="F663" s="88"/>
      <c r="G663" s="65"/>
      <c r="H663" s="65"/>
      <c r="I663" s="65"/>
      <c r="J663" s="65"/>
      <c r="K663" s="65"/>
      <c r="L663" s="65"/>
      <c r="M663" s="89"/>
      <c r="N663" s="90"/>
      <c r="O663" s="42" t="b">
        <v>0</v>
      </c>
      <c r="P663" s="44"/>
      <c r="Q663" s="34"/>
      <c r="R663" s="34"/>
      <c r="S663" s="34"/>
      <c r="T663" s="34"/>
    </row>
    <row r="664" ht="15.75" hidden="1" customHeight="1">
      <c r="B664" s="86"/>
      <c r="C664" s="65"/>
      <c r="D664" s="65"/>
      <c r="E664" s="87"/>
      <c r="F664" s="88"/>
      <c r="G664" s="65"/>
      <c r="H664" s="65"/>
      <c r="I664" s="65"/>
      <c r="J664" s="65"/>
      <c r="K664" s="65"/>
      <c r="L664" s="65"/>
      <c r="M664" s="89"/>
      <c r="N664" s="90"/>
      <c r="O664" s="42" t="b">
        <v>0</v>
      </c>
      <c r="P664" s="44"/>
      <c r="Q664" s="34"/>
      <c r="R664" s="34"/>
      <c r="S664" s="34"/>
      <c r="T664" s="34"/>
    </row>
    <row r="665" ht="15.75" hidden="1" customHeight="1">
      <c r="B665" s="86"/>
      <c r="C665" s="65"/>
      <c r="D665" s="65"/>
      <c r="E665" s="87"/>
      <c r="F665" s="88"/>
      <c r="G665" s="65"/>
      <c r="H665" s="65"/>
      <c r="I665" s="65"/>
      <c r="J665" s="65"/>
      <c r="K665" s="65"/>
      <c r="L665" s="65"/>
      <c r="M665" s="89"/>
      <c r="N665" s="90"/>
      <c r="O665" s="42" t="b">
        <v>0</v>
      </c>
      <c r="P665" s="44"/>
      <c r="Q665" s="34"/>
      <c r="R665" s="34"/>
      <c r="S665" s="34"/>
      <c r="T665" s="34"/>
    </row>
    <row r="666" ht="15.75" hidden="1" customHeight="1">
      <c r="B666" s="86"/>
      <c r="C666" s="65"/>
      <c r="D666" s="65"/>
      <c r="E666" s="87"/>
      <c r="F666" s="88"/>
      <c r="G666" s="65"/>
      <c r="H666" s="65"/>
      <c r="I666" s="65"/>
      <c r="J666" s="65"/>
      <c r="K666" s="65"/>
      <c r="L666" s="65"/>
      <c r="M666" s="89"/>
      <c r="N666" s="90"/>
      <c r="O666" s="42" t="b">
        <v>0</v>
      </c>
      <c r="P666" s="44"/>
      <c r="Q666" s="34"/>
      <c r="R666" s="34"/>
      <c r="S666" s="34"/>
      <c r="T666" s="34"/>
    </row>
    <row r="667" ht="15.75" hidden="1" customHeight="1">
      <c r="B667" s="86"/>
      <c r="C667" s="65"/>
      <c r="D667" s="65"/>
      <c r="E667" s="87"/>
      <c r="F667" s="88"/>
      <c r="G667" s="65"/>
      <c r="H667" s="65"/>
      <c r="I667" s="65"/>
      <c r="J667" s="65"/>
      <c r="K667" s="65"/>
      <c r="L667" s="65"/>
      <c r="M667" s="89"/>
      <c r="N667" s="90"/>
      <c r="O667" s="42" t="b">
        <v>0</v>
      </c>
      <c r="P667" s="44"/>
      <c r="Q667" s="34"/>
      <c r="R667" s="34"/>
      <c r="S667" s="34"/>
      <c r="T667" s="34"/>
    </row>
    <row r="668" ht="15.75" hidden="1" customHeight="1">
      <c r="B668" s="86"/>
      <c r="C668" s="65"/>
      <c r="D668" s="65"/>
      <c r="E668" s="87"/>
      <c r="F668" s="88"/>
      <c r="G668" s="65"/>
      <c r="H668" s="65"/>
      <c r="I668" s="65"/>
      <c r="J668" s="65"/>
      <c r="K668" s="65"/>
      <c r="L668" s="65"/>
      <c r="M668" s="89"/>
      <c r="N668" s="90"/>
      <c r="O668" s="42" t="b">
        <v>0</v>
      </c>
      <c r="P668" s="44"/>
      <c r="Q668" s="34"/>
      <c r="R668" s="34"/>
      <c r="S668" s="34"/>
      <c r="T668" s="34"/>
    </row>
    <row r="669" ht="15.75" hidden="1" customHeight="1">
      <c r="B669" s="86"/>
      <c r="C669" s="65"/>
      <c r="D669" s="65"/>
      <c r="E669" s="87"/>
      <c r="F669" s="88"/>
      <c r="G669" s="65"/>
      <c r="H669" s="65"/>
      <c r="I669" s="65"/>
      <c r="J669" s="65"/>
      <c r="K669" s="65"/>
      <c r="L669" s="65"/>
      <c r="M669" s="89"/>
      <c r="N669" s="90"/>
      <c r="O669" s="42" t="b">
        <v>0</v>
      </c>
      <c r="P669" s="44"/>
      <c r="Q669" s="34"/>
      <c r="R669" s="34"/>
      <c r="S669" s="34"/>
      <c r="T669" s="34"/>
    </row>
    <row r="670" ht="15.75" hidden="1" customHeight="1">
      <c r="B670" s="86"/>
      <c r="C670" s="65"/>
      <c r="D670" s="65"/>
      <c r="E670" s="87"/>
      <c r="F670" s="88"/>
      <c r="G670" s="65"/>
      <c r="H670" s="65"/>
      <c r="I670" s="65"/>
      <c r="J670" s="65"/>
      <c r="K670" s="65"/>
      <c r="L670" s="65"/>
      <c r="M670" s="89"/>
      <c r="N670" s="90"/>
      <c r="O670" s="42" t="b">
        <v>0</v>
      </c>
      <c r="P670" s="44"/>
      <c r="Q670" s="34"/>
      <c r="R670" s="34"/>
      <c r="S670" s="34"/>
      <c r="T670" s="34"/>
    </row>
    <row r="671" ht="15.75" hidden="1" customHeight="1">
      <c r="B671" s="86"/>
      <c r="C671" s="65"/>
      <c r="D671" s="65"/>
      <c r="E671" s="87"/>
      <c r="F671" s="88"/>
      <c r="G671" s="65"/>
      <c r="H671" s="65"/>
      <c r="I671" s="65"/>
      <c r="J671" s="65"/>
      <c r="K671" s="65"/>
      <c r="L671" s="65"/>
      <c r="M671" s="89"/>
      <c r="N671" s="90"/>
      <c r="O671" s="42" t="b">
        <v>0</v>
      </c>
      <c r="P671" s="44"/>
      <c r="Q671" s="34"/>
      <c r="R671" s="33"/>
      <c r="S671" s="34"/>
      <c r="T671" s="34"/>
    </row>
    <row r="672" ht="15.75" hidden="1" customHeight="1">
      <c r="B672" s="86"/>
      <c r="C672" s="65"/>
      <c r="D672" s="65"/>
      <c r="E672" s="87"/>
      <c r="F672" s="88"/>
      <c r="G672" s="65"/>
      <c r="H672" s="65"/>
      <c r="I672" s="65"/>
      <c r="J672" s="65"/>
      <c r="K672" s="65"/>
      <c r="L672" s="65"/>
      <c r="M672" s="89"/>
      <c r="N672" s="90"/>
      <c r="O672" s="42" t="b">
        <v>0</v>
      </c>
      <c r="P672" s="44"/>
      <c r="Q672" s="34"/>
      <c r="R672" s="33"/>
      <c r="S672" s="34"/>
      <c r="T672" s="34"/>
    </row>
    <row r="673" ht="15.75" hidden="1" customHeight="1">
      <c r="B673" s="86"/>
      <c r="C673" s="65"/>
      <c r="D673" s="65"/>
      <c r="E673" s="87"/>
      <c r="F673" s="88"/>
      <c r="G673" s="65"/>
      <c r="H673" s="65"/>
      <c r="I673" s="65"/>
      <c r="J673" s="65"/>
      <c r="K673" s="65"/>
      <c r="L673" s="65"/>
      <c r="M673" s="89"/>
      <c r="N673" s="90"/>
      <c r="O673" s="42" t="b">
        <v>0</v>
      </c>
      <c r="P673" s="44"/>
      <c r="Q673" s="34"/>
      <c r="R673" s="33"/>
      <c r="S673" s="34"/>
      <c r="T673" s="34"/>
    </row>
    <row r="674" ht="15.75" hidden="1" customHeight="1">
      <c r="B674" s="86"/>
      <c r="C674" s="65"/>
      <c r="D674" s="65"/>
      <c r="E674" s="87"/>
      <c r="F674" s="88"/>
      <c r="G674" s="65"/>
      <c r="H674" s="65"/>
      <c r="I674" s="65"/>
      <c r="J674" s="65"/>
      <c r="K674" s="65"/>
      <c r="L674" s="65"/>
      <c r="M674" s="89"/>
      <c r="N674" s="90"/>
      <c r="O674" s="42" t="b">
        <v>0</v>
      </c>
      <c r="P674" s="44"/>
      <c r="Q674" s="34"/>
      <c r="R674" s="33"/>
      <c r="S674" s="34"/>
      <c r="T674" s="34"/>
    </row>
    <row r="675" ht="15.75" hidden="1" customHeight="1">
      <c r="B675" s="86"/>
      <c r="C675" s="65"/>
      <c r="D675" s="65"/>
      <c r="E675" s="87"/>
      <c r="F675" s="88"/>
      <c r="G675" s="65"/>
      <c r="H675" s="65"/>
      <c r="I675" s="65"/>
      <c r="J675" s="65"/>
      <c r="K675" s="65"/>
      <c r="L675" s="65"/>
      <c r="M675" s="89"/>
      <c r="N675" s="90"/>
      <c r="O675" s="42" t="b">
        <v>0</v>
      </c>
      <c r="P675" s="44"/>
      <c r="Q675" s="34"/>
      <c r="R675" s="34"/>
      <c r="S675" s="34"/>
      <c r="T675" s="34"/>
    </row>
    <row r="676" ht="15.75" hidden="1" customHeight="1">
      <c r="B676" s="86"/>
      <c r="C676" s="65"/>
      <c r="D676" s="65"/>
      <c r="E676" s="87"/>
      <c r="F676" s="88"/>
      <c r="G676" s="65"/>
      <c r="H676" s="65"/>
      <c r="I676" s="65"/>
      <c r="J676" s="65"/>
      <c r="K676" s="65"/>
      <c r="L676" s="65"/>
      <c r="M676" s="89"/>
      <c r="N676" s="90"/>
      <c r="O676" s="42" t="b">
        <v>0</v>
      </c>
      <c r="P676" s="44"/>
      <c r="Q676" s="34"/>
      <c r="R676" s="33"/>
      <c r="S676" s="34"/>
      <c r="T676" s="34"/>
    </row>
    <row r="677" ht="15.75" hidden="1" customHeight="1">
      <c r="B677" s="86"/>
      <c r="C677" s="65"/>
      <c r="D677" s="65"/>
      <c r="E677" s="87"/>
      <c r="F677" s="88"/>
      <c r="G677" s="65"/>
      <c r="H677" s="65"/>
      <c r="I677" s="65"/>
      <c r="J677" s="65"/>
      <c r="K677" s="65"/>
      <c r="L677" s="65"/>
      <c r="M677" s="89"/>
      <c r="N677" s="90"/>
      <c r="O677" s="42" t="b">
        <v>0</v>
      </c>
      <c r="P677" s="44"/>
      <c r="Q677" s="34"/>
      <c r="R677" s="34"/>
      <c r="S677" s="34"/>
      <c r="T677" s="34"/>
    </row>
    <row r="678" ht="15.75" hidden="1" customHeight="1">
      <c r="B678" s="86"/>
      <c r="C678" s="65"/>
      <c r="D678" s="65"/>
      <c r="E678" s="87"/>
      <c r="F678" s="88"/>
      <c r="G678" s="65"/>
      <c r="H678" s="65"/>
      <c r="I678" s="65"/>
      <c r="J678" s="65"/>
      <c r="K678" s="65"/>
      <c r="L678" s="65"/>
      <c r="M678" s="89"/>
      <c r="N678" s="90"/>
      <c r="O678" s="42" t="b">
        <v>0</v>
      </c>
      <c r="P678" s="44"/>
      <c r="Q678" s="34"/>
      <c r="R678" s="34"/>
      <c r="S678" s="34"/>
      <c r="T678" s="34"/>
    </row>
    <row r="679" ht="15.75" hidden="1" customHeight="1">
      <c r="B679" s="86"/>
      <c r="C679" s="65"/>
      <c r="D679" s="65"/>
      <c r="E679" s="87"/>
      <c r="F679" s="88"/>
      <c r="G679" s="65"/>
      <c r="H679" s="65"/>
      <c r="I679" s="65"/>
      <c r="J679" s="65"/>
      <c r="K679" s="65"/>
      <c r="L679" s="65"/>
      <c r="M679" s="89"/>
      <c r="N679" s="90"/>
      <c r="O679" s="42" t="b">
        <v>0</v>
      </c>
      <c r="P679" s="44"/>
      <c r="Q679" s="34"/>
      <c r="R679" s="33"/>
      <c r="S679" s="34"/>
      <c r="T679" s="34"/>
    </row>
    <row r="680" ht="15.75" hidden="1" customHeight="1">
      <c r="B680" s="86"/>
      <c r="C680" s="65"/>
      <c r="D680" s="65"/>
      <c r="E680" s="87"/>
      <c r="F680" s="88"/>
      <c r="G680" s="65"/>
      <c r="H680" s="65"/>
      <c r="I680" s="65"/>
      <c r="J680" s="65"/>
      <c r="K680" s="65"/>
      <c r="L680" s="65"/>
      <c r="M680" s="89"/>
      <c r="N680" s="90"/>
      <c r="O680" s="42" t="b">
        <v>0</v>
      </c>
      <c r="P680" s="44"/>
      <c r="Q680" s="34"/>
      <c r="R680" s="33"/>
      <c r="S680" s="34"/>
      <c r="T680" s="34"/>
    </row>
    <row r="681" ht="15.75" hidden="1" customHeight="1">
      <c r="B681" s="86"/>
      <c r="C681" s="65"/>
      <c r="D681" s="65"/>
      <c r="E681" s="87"/>
      <c r="F681" s="88"/>
      <c r="G681" s="65"/>
      <c r="H681" s="65"/>
      <c r="I681" s="65"/>
      <c r="J681" s="65"/>
      <c r="K681" s="65"/>
      <c r="L681" s="65"/>
      <c r="M681" s="89"/>
      <c r="N681" s="90"/>
      <c r="O681" s="42" t="b">
        <v>0</v>
      </c>
      <c r="P681" s="44"/>
      <c r="Q681" s="34"/>
      <c r="R681" s="34"/>
      <c r="S681" s="34"/>
      <c r="T681" s="34"/>
    </row>
    <row r="682" ht="15.75" hidden="1" customHeight="1">
      <c r="B682" s="86"/>
      <c r="C682" s="65"/>
      <c r="D682" s="65"/>
      <c r="E682" s="87"/>
      <c r="F682" s="88"/>
      <c r="G682" s="65"/>
      <c r="H682" s="65"/>
      <c r="I682" s="65"/>
      <c r="J682" s="65"/>
      <c r="K682" s="65"/>
      <c r="L682" s="65"/>
      <c r="M682" s="89"/>
      <c r="N682" s="90"/>
      <c r="O682" s="42" t="b">
        <v>0</v>
      </c>
      <c r="P682" s="44"/>
      <c r="Q682" s="34"/>
      <c r="R682" s="34"/>
      <c r="S682" s="34"/>
      <c r="T682" s="34"/>
    </row>
    <row r="683" ht="15.75" hidden="1" customHeight="1">
      <c r="B683" s="86"/>
      <c r="C683" s="65"/>
      <c r="D683" s="65"/>
      <c r="E683" s="87"/>
      <c r="F683" s="88"/>
      <c r="G683" s="65"/>
      <c r="H683" s="65"/>
      <c r="I683" s="65"/>
      <c r="J683" s="65"/>
      <c r="K683" s="65"/>
      <c r="L683" s="65"/>
      <c r="M683" s="89"/>
      <c r="N683" s="90"/>
      <c r="O683" s="42" t="b">
        <v>0</v>
      </c>
      <c r="P683" s="44"/>
      <c r="Q683" s="34"/>
      <c r="R683" s="34"/>
      <c r="S683" s="34"/>
      <c r="T683" s="34"/>
    </row>
    <row r="684" ht="15.75" hidden="1" customHeight="1">
      <c r="B684" s="86"/>
      <c r="C684" s="65"/>
      <c r="D684" s="65"/>
      <c r="E684" s="87"/>
      <c r="F684" s="88"/>
      <c r="G684" s="65"/>
      <c r="H684" s="65"/>
      <c r="I684" s="65"/>
      <c r="J684" s="65"/>
      <c r="K684" s="65"/>
      <c r="L684" s="65"/>
      <c r="M684" s="89"/>
      <c r="N684" s="90"/>
      <c r="O684" s="42" t="b">
        <v>0</v>
      </c>
      <c r="P684" s="44"/>
      <c r="Q684" s="34"/>
      <c r="R684" s="34"/>
      <c r="S684" s="34"/>
      <c r="T684" s="34"/>
    </row>
    <row r="685" ht="15.75" hidden="1" customHeight="1">
      <c r="B685" s="86"/>
      <c r="C685" s="65"/>
      <c r="D685" s="65"/>
      <c r="E685" s="87"/>
      <c r="F685" s="88"/>
      <c r="G685" s="65"/>
      <c r="H685" s="65"/>
      <c r="I685" s="65"/>
      <c r="J685" s="65"/>
      <c r="K685" s="65"/>
      <c r="L685" s="65"/>
      <c r="M685" s="89"/>
      <c r="N685" s="90"/>
      <c r="O685" s="42" t="b">
        <v>0</v>
      </c>
      <c r="P685" s="44"/>
      <c r="Q685" s="34"/>
      <c r="R685" s="34"/>
      <c r="S685" s="34"/>
      <c r="T685" s="34"/>
    </row>
    <row r="686" ht="15.75" hidden="1" customHeight="1">
      <c r="B686" s="86"/>
      <c r="C686" s="65"/>
      <c r="D686" s="65"/>
      <c r="E686" s="87"/>
      <c r="F686" s="88"/>
      <c r="G686" s="65"/>
      <c r="H686" s="65"/>
      <c r="I686" s="65"/>
      <c r="J686" s="65"/>
      <c r="K686" s="65"/>
      <c r="L686" s="65"/>
      <c r="M686" s="89"/>
      <c r="N686" s="90"/>
      <c r="O686" s="42" t="b">
        <v>0</v>
      </c>
      <c r="P686" s="44"/>
      <c r="Q686" s="34"/>
      <c r="R686" s="34"/>
      <c r="S686" s="34"/>
      <c r="T686" s="34"/>
    </row>
    <row r="687" ht="15.75" hidden="1" customHeight="1">
      <c r="B687" s="86"/>
      <c r="C687" s="65"/>
      <c r="D687" s="65"/>
      <c r="E687" s="87"/>
      <c r="F687" s="88"/>
      <c r="G687" s="65"/>
      <c r="H687" s="65"/>
      <c r="I687" s="65"/>
      <c r="J687" s="65"/>
      <c r="K687" s="65"/>
      <c r="L687" s="65"/>
      <c r="M687" s="89"/>
      <c r="N687" s="90"/>
      <c r="O687" s="42" t="b">
        <v>0</v>
      </c>
      <c r="P687" s="44"/>
      <c r="Q687" s="34"/>
      <c r="R687" s="34"/>
      <c r="S687" s="34"/>
      <c r="T687" s="34"/>
    </row>
    <row r="688" ht="15.75" hidden="1" customHeight="1">
      <c r="B688" s="86"/>
      <c r="C688" s="98"/>
      <c r="D688" s="65"/>
      <c r="E688" s="87"/>
      <c r="F688" s="88"/>
      <c r="G688" s="65"/>
      <c r="H688" s="65"/>
      <c r="I688" s="65"/>
      <c r="J688" s="65"/>
      <c r="K688" s="65"/>
      <c r="L688" s="65"/>
      <c r="M688" s="89"/>
      <c r="N688" s="90"/>
      <c r="O688" s="42" t="b">
        <v>0</v>
      </c>
      <c r="P688" s="44"/>
      <c r="Q688" s="34"/>
      <c r="R688" s="33"/>
      <c r="S688" s="34"/>
      <c r="T688" s="34"/>
    </row>
    <row r="689" ht="15.75" hidden="1" customHeight="1">
      <c r="B689" s="86"/>
      <c r="C689" s="65"/>
      <c r="D689" s="65"/>
      <c r="E689" s="87"/>
      <c r="F689" s="88"/>
      <c r="G689" s="65"/>
      <c r="H689" s="65"/>
      <c r="I689" s="65"/>
      <c r="J689" s="65"/>
      <c r="K689" s="65"/>
      <c r="L689" s="65"/>
      <c r="M689" s="89"/>
      <c r="N689" s="90"/>
      <c r="O689" s="42" t="b">
        <v>0</v>
      </c>
      <c r="P689" s="44"/>
      <c r="Q689" s="34"/>
      <c r="R689" s="34"/>
      <c r="S689" s="34"/>
      <c r="T689" s="34"/>
    </row>
    <row r="690" ht="15.75" hidden="1" customHeight="1">
      <c r="B690" s="86"/>
      <c r="C690" s="65"/>
      <c r="D690" s="65"/>
      <c r="E690" s="87"/>
      <c r="F690" s="88"/>
      <c r="G690" s="65"/>
      <c r="H690" s="65"/>
      <c r="I690" s="65"/>
      <c r="J690" s="65"/>
      <c r="K690" s="65"/>
      <c r="L690" s="65"/>
      <c r="M690" s="89"/>
      <c r="N690" s="90"/>
      <c r="O690" s="42" t="b">
        <v>0</v>
      </c>
      <c r="P690" s="44"/>
      <c r="Q690" s="34"/>
      <c r="R690" s="34"/>
      <c r="S690" s="34"/>
      <c r="T690" s="34"/>
    </row>
    <row r="691" ht="15.75" hidden="1" customHeight="1">
      <c r="B691" s="86"/>
      <c r="C691" s="65"/>
      <c r="D691" s="65"/>
      <c r="E691" s="87"/>
      <c r="F691" s="88"/>
      <c r="G691" s="65"/>
      <c r="H691" s="65"/>
      <c r="I691" s="65"/>
      <c r="J691" s="65"/>
      <c r="K691" s="65"/>
      <c r="L691" s="65"/>
      <c r="M691" s="89"/>
      <c r="N691" s="90"/>
      <c r="O691" s="42" t="b">
        <v>0</v>
      </c>
      <c r="P691" s="44"/>
      <c r="Q691" s="34"/>
      <c r="R691" s="34"/>
      <c r="S691" s="34"/>
      <c r="T691" s="34"/>
    </row>
    <row r="692" ht="15.75" hidden="1" customHeight="1">
      <c r="B692" s="86"/>
      <c r="C692" s="65"/>
      <c r="D692" s="65"/>
      <c r="E692" s="87"/>
      <c r="F692" s="88"/>
      <c r="G692" s="65"/>
      <c r="H692" s="65"/>
      <c r="I692" s="65"/>
      <c r="J692" s="65"/>
      <c r="K692" s="65"/>
      <c r="L692" s="65"/>
      <c r="M692" s="89"/>
      <c r="N692" s="90"/>
      <c r="O692" s="42" t="b">
        <v>0</v>
      </c>
      <c r="P692" s="44"/>
      <c r="Q692" s="34"/>
      <c r="R692" s="34"/>
      <c r="S692" s="34"/>
      <c r="T692" s="34"/>
    </row>
    <row r="693" ht="15.75" hidden="1" customHeight="1">
      <c r="B693" s="86"/>
      <c r="C693" s="65"/>
      <c r="D693" s="65"/>
      <c r="E693" s="87"/>
      <c r="F693" s="88"/>
      <c r="G693" s="65"/>
      <c r="H693" s="65"/>
      <c r="I693" s="65"/>
      <c r="J693" s="65"/>
      <c r="K693" s="65"/>
      <c r="L693" s="65"/>
      <c r="M693" s="89"/>
      <c r="N693" s="90"/>
      <c r="O693" s="42" t="b">
        <v>0</v>
      </c>
      <c r="P693" s="44"/>
      <c r="Q693" s="34"/>
      <c r="R693" s="34"/>
      <c r="S693" s="34"/>
      <c r="T693" s="34"/>
    </row>
    <row r="694" ht="15.75" hidden="1" customHeight="1">
      <c r="B694" s="86"/>
      <c r="C694" s="65"/>
      <c r="D694" s="65"/>
      <c r="E694" s="87"/>
      <c r="F694" s="88"/>
      <c r="G694" s="65"/>
      <c r="H694" s="65"/>
      <c r="I694" s="65"/>
      <c r="J694" s="65"/>
      <c r="K694" s="65"/>
      <c r="L694" s="65"/>
      <c r="M694" s="89"/>
      <c r="N694" s="90"/>
      <c r="O694" s="42" t="b">
        <v>0</v>
      </c>
      <c r="P694" s="44"/>
      <c r="Q694" s="34"/>
      <c r="R694" s="34"/>
      <c r="S694" s="34"/>
      <c r="T694" s="34"/>
    </row>
    <row r="695" ht="15.75" hidden="1" customHeight="1">
      <c r="B695" s="86"/>
      <c r="C695" s="65"/>
      <c r="D695" s="65"/>
      <c r="E695" s="87"/>
      <c r="F695" s="88"/>
      <c r="G695" s="65"/>
      <c r="H695" s="65"/>
      <c r="I695" s="65"/>
      <c r="J695" s="65"/>
      <c r="K695" s="65"/>
      <c r="L695" s="65"/>
      <c r="M695" s="89"/>
      <c r="N695" s="90"/>
      <c r="O695" s="42" t="b">
        <v>0</v>
      </c>
      <c r="P695" s="44"/>
      <c r="Q695" s="34"/>
      <c r="R695" s="34"/>
      <c r="S695" s="34"/>
      <c r="T695" s="34"/>
    </row>
    <row r="696" ht="15.75" hidden="1" customHeight="1">
      <c r="B696" s="86"/>
      <c r="C696" s="65"/>
      <c r="D696" s="65"/>
      <c r="E696" s="87"/>
      <c r="F696" s="88"/>
      <c r="G696" s="65"/>
      <c r="H696" s="65"/>
      <c r="I696" s="65"/>
      <c r="J696" s="65"/>
      <c r="K696" s="65"/>
      <c r="L696" s="65"/>
      <c r="M696" s="89"/>
      <c r="N696" s="90"/>
      <c r="O696" s="42" t="b">
        <v>0</v>
      </c>
      <c r="P696" s="44"/>
      <c r="Q696" s="34"/>
      <c r="R696" s="34"/>
      <c r="S696" s="34"/>
      <c r="T696" s="34"/>
    </row>
    <row r="697" ht="15.75" hidden="1" customHeight="1">
      <c r="B697" s="86"/>
      <c r="C697" s="65"/>
      <c r="D697" s="65"/>
      <c r="E697" s="87"/>
      <c r="F697" s="88"/>
      <c r="G697" s="65"/>
      <c r="H697" s="65"/>
      <c r="I697" s="65"/>
      <c r="J697" s="65"/>
      <c r="K697" s="65"/>
      <c r="L697" s="65"/>
      <c r="M697" s="89"/>
      <c r="N697" s="90"/>
      <c r="O697" s="42" t="b">
        <v>0</v>
      </c>
      <c r="P697" s="44"/>
      <c r="Q697" s="34"/>
      <c r="R697" s="34"/>
      <c r="S697" s="34"/>
      <c r="T697" s="34"/>
    </row>
    <row r="698" ht="15.75" hidden="1" customHeight="1">
      <c r="B698" s="86"/>
      <c r="C698" s="65"/>
      <c r="D698" s="65"/>
      <c r="E698" s="87"/>
      <c r="F698" s="88"/>
      <c r="G698" s="65"/>
      <c r="H698" s="65"/>
      <c r="I698" s="65"/>
      <c r="J698" s="65"/>
      <c r="K698" s="65"/>
      <c r="L698" s="65"/>
      <c r="M698" s="89"/>
      <c r="N698" s="90"/>
      <c r="O698" s="42" t="b">
        <v>0</v>
      </c>
      <c r="P698" s="44"/>
      <c r="Q698" s="34"/>
      <c r="R698" s="34"/>
      <c r="S698" s="34"/>
      <c r="T698" s="34"/>
    </row>
    <row r="699" ht="15.75" hidden="1" customHeight="1">
      <c r="B699" s="86"/>
      <c r="C699" s="65"/>
      <c r="D699" s="65"/>
      <c r="E699" s="87"/>
      <c r="F699" s="88"/>
      <c r="G699" s="65"/>
      <c r="H699" s="65"/>
      <c r="I699" s="65"/>
      <c r="J699" s="65"/>
      <c r="K699" s="65"/>
      <c r="L699" s="65"/>
      <c r="M699" s="89"/>
      <c r="N699" s="90"/>
      <c r="O699" s="42" t="b">
        <v>0</v>
      </c>
      <c r="P699" s="44"/>
      <c r="Q699" s="34"/>
      <c r="R699" s="34"/>
      <c r="S699" s="34"/>
      <c r="T699" s="34"/>
    </row>
    <row r="700" ht="15.75" hidden="1" customHeight="1">
      <c r="B700" s="86"/>
      <c r="C700" s="65"/>
      <c r="D700" s="65"/>
      <c r="E700" s="87"/>
      <c r="F700" s="88"/>
      <c r="G700" s="136"/>
      <c r="H700" s="65"/>
      <c r="I700" s="65"/>
      <c r="J700" s="65"/>
      <c r="K700" s="65"/>
      <c r="L700" s="65"/>
      <c r="M700" s="89"/>
      <c r="N700" s="90"/>
      <c r="O700" s="42" t="b">
        <v>0</v>
      </c>
      <c r="P700" s="44"/>
      <c r="Q700" s="34"/>
      <c r="R700" s="33"/>
      <c r="S700" s="34"/>
      <c r="T700" s="34"/>
    </row>
    <row r="701" ht="15.75" hidden="1" customHeight="1">
      <c r="B701" s="86"/>
      <c r="C701" s="65"/>
      <c r="D701" s="65"/>
      <c r="E701" s="87"/>
      <c r="F701" s="88"/>
      <c r="G701" s="65"/>
      <c r="H701" s="65"/>
      <c r="I701" s="65"/>
      <c r="J701" s="65"/>
      <c r="K701" s="65"/>
      <c r="L701" s="65"/>
      <c r="M701" s="89"/>
      <c r="N701" s="90"/>
      <c r="O701" s="42" t="b">
        <v>0</v>
      </c>
      <c r="P701" s="44"/>
      <c r="Q701" s="34"/>
      <c r="R701" s="34"/>
      <c r="S701" s="34"/>
      <c r="T701" s="34"/>
    </row>
    <row r="702" ht="15.75" hidden="1" customHeight="1">
      <c r="B702" s="86"/>
      <c r="C702" s="65"/>
      <c r="D702" s="65"/>
      <c r="E702" s="87"/>
      <c r="F702" s="88"/>
      <c r="G702" s="65"/>
      <c r="H702" s="65"/>
      <c r="I702" s="65"/>
      <c r="J702" s="65"/>
      <c r="K702" s="65"/>
      <c r="L702" s="65"/>
      <c r="M702" s="89"/>
      <c r="N702" s="90"/>
      <c r="O702" s="42" t="b">
        <v>0</v>
      </c>
      <c r="P702" s="44"/>
      <c r="Q702" s="34"/>
      <c r="R702" s="34"/>
      <c r="S702" s="34"/>
      <c r="T702" s="34"/>
    </row>
    <row r="703" ht="15.75" hidden="1" customHeight="1">
      <c r="B703" s="86"/>
      <c r="C703" s="65"/>
      <c r="D703" s="65"/>
      <c r="E703" s="87"/>
      <c r="F703" s="88"/>
      <c r="G703" s="137"/>
      <c r="H703" s="65"/>
      <c r="I703" s="65"/>
      <c r="J703" s="65"/>
      <c r="K703" s="65"/>
      <c r="L703" s="65"/>
      <c r="M703" s="89"/>
      <c r="N703" s="90"/>
      <c r="O703" s="42" t="b">
        <v>0</v>
      </c>
      <c r="P703" s="44"/>
      <c r="Q703" s="34"/>
      <c r="R703" s="34"/>
      <c r="S703" s="34"/>
      <c r="T703" s="34"/>
    </row>
    <row r="704" ht="15.75" hidden="1" customHeight="1">
      <c r="B704" s="86"/>
      <c r="C704" s="65"/>
      <c r="D704" s="65"/>
      <c r="E704" s="87"/>
      <c r="F704" s="88"/>
      <c r="G704" s="65"/>
      <c r="H704" s="65"/>
      <c r="I704" s="65"/>
      <c r="J704" s="65"/>
      <c r="K704" s="65"/>
      <c r="L704" s="65"/>
      <c r="M704" s="89"/>
      <c r="N704" s="90"/>
      <c r="O704" s="42" t="b">
        <v>0</v>
      </c>
      <c r="P704" s="44"/>
      <c r="Q704" s="34"/>
      <c r="R704" s="34"/>
      <c r="S704" s="34"/>
      <c r="T704" s="34"/>
    </row>
    <row r="705" ht="15.75" hidden="1" customHeight="1">
      <c r="B705" s="86"/>
      <c r="C705" s="65"/>
      <c r="D705" s="65"/>
      <c r="E705" s="87"/>
      <c r="F705" s="88"/>
      <c r="G705" s="65"/>
      <c r="H705" s="65"/>
      <c r="I705" s="65"/>
      <c r="J705" s="65"/>
      <c r="K705" s="65"/>
      <c r="L705" s="65"/>
      <c r="M705" s="89"/>
      <c r="N705" s="90"/>
      <c r="O705" s="42" t="b">
        <v>0</v>
      </c>
      <c r="P705" s="44"/>
      <c r="Q705" s="34"/>
      <c r="R705" s="34"/>
      <c r="S705" s="34"/>
      <c r="T705" s="34"/>
    </row>
    <row r="706" ht="15.75" hidden="1" customHeight="1">
      <c r="B706" s="86"/>
      <c r="C706" s="65"/>
      <c r="D706" s="65"/>
      <c r="E706" s="87"/>
      <c r="F706" s="88"/>
      <c r="G706" s="65"/>
      <c r="H706" s="65"/>
      <c r="I706" s="65"/>
      <c r="J706" s="65"/>
      <c r="K706" s="65"/>
      <c r="L706" s="65"/>
      <c r="M706" s="89"/>
      <c r="N706" s="90"/>
      <c r="O706" s="42" t="b">
        <v>0</v>
      </c>
      <c r="P706" s="44"/>
      <c r="Q706" s="34"/>
      <c r="R706" s="33"/>
      <c r="S706" s="34"/>
      <c r="T706" s="34"/>
    </row>
    <row r="707" ht="15.75" hidden="1" customHeight="1">
      <c r="B707" s="86"/>
      <c r="C707" s="65"/>
      <c r="D707" s="65"/>
      <c r="E707" s="87"/>
      <c r="F707" s="88"/>
      <c r="G707" s="65"/>
      <c r="H707" s="65"/>
      <c r="I707" s="65"/>
      <c r="J707" s="65"/>
      <c r="K707" s="65"/>
      <c r="L707" s="65"/>
      <c r="M707" s="89"/>
      <c r="N707" s="90"/>
      <c r="O707" s="42" t="b">
        <v>0</v>
      </c>
      <c r="P707" s="44"/>
      <c r="Q707" s="34"/>
      <c r="R707" s="34"/>
      <c r="S707" s="34"/>
      <c r="T707" s="34"/>
    </row>
    <row r="708" ht="15.75" hidden="1" customHeight="1">
      <c r="B708" s="86"/>
      <c r="C708" s="65"/>
      <c r="D708" s="65"/>
      <c r="E708" s="87"/>
      <c r="F708" s="88"/>
      <c r="G708" s="65"/>
      <c r="H708" s="65"/>
      <c r="I708" s="65"/>
      <c r="J708" s="65"/>
      <c r="K708" s="65"/>
      <c r="L708" s="65"/>
      <c r="M708" s="89"/>
      <c r="N708" s="90"/>
      <c r="O708" s="42" t="b">
        <v>0</v>
      </c>
      <c r="P708" s="44"/>
      <c r="Q708" s="34"/>
      <c r="R708" s="34"/>
      <c r="S708" s="34"/>
      <c r="T708" s="34"/>
    </row>
    <row r="709" ht="15.75" hidden="1" customHeight="1">
      <c r="B709" s="86"/>
      <c r="C709" s="65"/>
      <c r="D709" s="65"/>
      <c r="E709" s="87"/>
      <c r="F709" s="88"/>
      <c r="G709" s="65"/>
      <c r="H709" s="65"/>
      <c r="I709" s="65"/>
      <c r="J709" s="65"/>
      <c r="K709" s="65"/>
      <c r="L709" s="65"/>
      <c r="M709" s="89"/>
      <c r="N709" s="90"/>
      <c r="O709" s="42" t="b">
        <v>0</v>
      </c>
      <c r="P709" s="44"/>
      <c r="Q709" s="34"/>
      <c r="R709" s="34"/>
      <c r="S709" s="34"/>
      <c r="T709" s="34"/>
    </row>
    <row r="710" ht="15.75" hidden="1" customHeight="1">
      <c r="B710" s="86"/>
      <c r="C710" s="65"/>
      <c r="D710" s="65"/>
      <c r="E710" s="87"/>
      <c r="F710" s="88"/>
      <c r="G710" s="65"/>
      <c r="H710" s="65"/>
      <c r="I710" s="65"/>
      <c r="J710" s="65"/>
      <c r="K710" s="65"/>
      <c r="L710" s="65"/>
      <c r="M710" s="89"/>
      <c r="N710" s="90"/>
      <c r="O710" s="42" t="b">
        <v>0</v>
      </c>
      <c r="P710" s="44"/>
      <c r="Q710" s="34"/>
      <c r="R710" s="34"/>
      <c r="S710" s="34"/>
      <c r="T710" s="34"/>
    </row>
    <row r="711" ht="15.75" hidden="1" customHeight="1">
      <c r="B711" s="86"/>
      <c r="C711" s="65"/>
      <c r="D711" s="65"/>
      <c r="E711" s="87"/>
      <c r="F711" s="88"/>
      <c r="G711" s="65"/>
      <c r="H711" s="65"/>
      <c r="I711" s="65"/>
      <c r="J711" s="65"/>
      <c r="K711" s="65"/>
      <c r="L711" s="65"/>
      <c r="M711" s="89"/>
      <c r="N711" s="90"/>
      <c r="O711" s="42" t="b">
        <v>0</v>
      </c>
      <c r="P711" s="44"/>
      <c r="Q711" s="34"/>
      <c r="R711" s="33"/>
      <c r="S711" s="34"/>
      <c r="T711" s="34"/>
    </row>
    <row r="712" ht="15.75" hidden="1" customHeight="1">
      <c r="B712" s="86"/>
      <c r="C712" s="65"/>
      <c r="D712" s="65"/>
      <c r="E712" s="87"/>
      <c r="F712" s="88"/>
      <c r="G712" s="65"/>
      <c r="H712" s="65"/>
      <c r="I712" s="65"/>
      <c r="J712" s="65"/>
      <c r="K712" s="65"/>
      <c r="L712" s="65"/>
      <c r="M712" s="89"/>
      <c r="N712" s="90"/>
      <c r="O712" s="42" t="b">
        <v>0</v>
      </c>
      <c r="P712" s="44"/>
      <c r="Q712" s="34"/>
      <c r="R712" s="34"/>
      <c r="S712" s="34"/>
      <c r="T712" s="34"/>
    </row>
    <row r="713" ht="15.75" hidden="1" customHeight="1">
      <c r="B713" s="86"/>
      <c r="C713" s="65"/>
      <c r="D713" s="65"/>
      <c r="E713" s="87"/>
      <c r="F713" s="88"/>
      <c r="G713" s="65"/>
      <c r="H713" s="65"/>
      <c r="I713" s="65"/>
      <c r="J713" s="65"/>
      <c r="K713" s="65"/>
      <c r="L713" s="65"/>
      <c r="M713" s="89"/>
      <c r="N713" s="90"/>
      <c r="O713" s="42" t="b">
        <v>0</v>
      </c>
      <c r="P713" s="44"/>
      <c r="Q713" s="34"/>
      <c r="R713" s="34"/>
      <c r="S713" s="34"/>
      <c r="T713" s="34"/>
    </row>
    <row r="714" ht="15.75" hidden="1" customHeight="1">
      <c r="B714" s="86"/>
      <c r="C714" s="65"/>
      <c r="D714" s="65"/>
      <c r="E714" s="87"/>
      <c r="F714" s="88"/>
      <c r="G714" s="65"/>
      <c r="H714" s="65"/>
      <c r="I714" s="65"/>
      <c r="J714" s="65"/>
      <c r="K714" s="65"/>
      <c r="L714" s="65"/>
      <c r="M714" s="89"/>
      <c r="N714" s="90"/>
      <c r="O714" s="42" t="b">
        <v>0</v>
      </c>
      <c r="P714" s="44"/>
      <c r="Q714" s="34"/>
      <c r="R714" s="34"/>
      <c r="S714" s="34"/>
      <c r="T714" s="34"/>
    </row>
    <row r="715" ht="15.75" hidden="1" customHeight="1">
      <c r="B715" s="86"/>
      <c r="C715" s="65"/>
      <c r="D715" s="65"/>
      <c r="E715" s="87"/>
      <c r="F715" s="88"/>
      <c r="G715" s="65"/>
      <c r="H715" s="65"/>
      <c r="I715" s="65"/>
      <c r="J715" s="65"/>
      <c r="K715" s="65"/>
      <c r="L715" s="65"/>
      <c r="M715" s="89"/>
      <c r="N715" s="90"/>
      <c r="O715" s="42" t="b">
        <v>0</v>
      </c>
      <c r="P715" s="44"/>
      <c r="Q715" s="34"/>
      <c r="R715" s="34"/>
      <c r="S715" s="34"/>
      <c r="T715" s="34"/>
    </row>
    <row r="716" ht="15.75" hidden="1" customHeight="1">
      <c r="B716" s="86"/>
      <c r="C716" s="65"/>
      <c r="D716" s="65"/>
      <c r="E716" s="87"/>
      <c r="F716" s="88"/>
      <c r="G716" s="65"/>
      <c r="H716" s="65"/>
      <c r="I716" s="65"/>
      <c r="J716" s="65"/>
      <c r="K716" s="65"/>
      <c r="L716" s="65"/>
      <c r="M716" s="89"/>
      <c r="N716" s="90"/>
      <c r="O716" s="42" t="b">
        <v>0</v>
      </c>
      <c r="P716" s="44"/>
      <c r="Q716" s="34"/>
      <c r="R716" s="34"/>
      <c r="S716" s="34"/>
      <c r="T716" s="34"/>
    </row>
    <row r="717" ht="15.75" hidden="1" customHeight="1">
      <c r="B717" s="86"/>
      <c r="C717" s="65"/>
      <c r="D717" s="65"/>
      <c r="E717" s="87"/>
      <c r="F717" s="88"/>
      <c r="G717" s="65"/>
      <c r="H717" s="65"/>
      <c r="I717" s="65"/>
      <c r="J717" s="65"/>
      <c r="K717" s="65"/>
      <c r="L717" s="65"/>
      <c r="M717" s="89"/>
      <c r="N717" s="90"/>
      <c r="O717" s="42" t="b">
        <v>0</v>
      </c>
      <c r="P717" s="44"/>
      <c r="Q717" s="34"/>
      <c r="R717" s="34"/>
      <c r="S717" s="34"/>
      <c r="T717" s="34"/>
    </row>
    <row r="718" ht="15.75" hidden="1" customHeight="1">
      <c r="B718" s="86"/>
      <c r="C718" s="65"/>
      <c r="D718" s="65"/>
      <c r="E718" s="87"/>
      <c r="F718" s="88"/>
      <c r="G718" s="65"/>
      <c r="H718" s="65"/>
      <c r="I718" s="65"/>
      <c r="J718" s="65"/>
      <c r="K718" s="65"/>
      <c r="L718" s="65"/>
      <c r="M718" s="89"/>
      <c r="N718" s="90"/>
      <c r="O718" s="42" t="b">
        <v>0</v>
      </c>
      <c r="P718" s="44"/>
      <c r="Q718" s="34"/>
      <c r="R718" s="34"/>
      <c r="S718" s="34"/>
      <c r="T718" s="34"/>
    </row>
    <row r="719" ht="15.75" hidden="1" customHeight="1">
      <c r="B719" s="86"/>
      <c r="C719" s="65"/>
      <c r="D719" s="65"/>
      <c r="E719" s="87"/>
      <c r="F719" s="88"/>
      <c r="G719" s="65"/>
      <c r="H719" s="65"/>
      <c r="I719" s="65"/>
      <c r="J719" s="65"/>
      <c r="K719" s="65"/>
      <c r="L719" s="65"/>
      <c r="M719" s="89"/>
      <c r="N719" s="90"/>
      <c r="O719" s="42" t="b">
        <v>0</v>
      </c>
      <c r="P719" s="44"/>
      <c r="Q719" s="34"/>
      <c r="R719" s="34"/>
      <c r="S719" s="34"/>
      <c r="T719" s="34"/>
    </row>
    <row r="720" ht="15.75" hidden="1" customHeight="1">
      <c r="B720" s="86"/>
      <c r="C720" s="65"/>
      <c r="D720" s="65"/>
      <c r="E720" s="87"/>
      <c r="F720" s="88"/>
      <c r="G720" s="65"/>
      <c r="H720" s="65"/>
      <c r="I720" s="65"/>
      <c r="J720" s="65"/>
      <c r="K720" s="65"/>
      <c r="L720" s="65"/>
      <c r="M720" s="89"/>
      <c r="N720" s="90"/>
      <c r="O720" s="42" t="b">
        <v>0</v>
      </c>
      <c r="P720" s="44"/>
      <c r="Q720" s="34"/>
      <c r="R720" s="34"/>
      <c r="S720" s="34"/>
      <c r="T720" s="34"/>
    </row>
    <row r="721" ht="15.75" hidden="1" customHeight="1">
      <c r="B721" s="86"/>
      <c r="C721" s="65"/>
      <c r="D721" s="65"/>
      <c r="E721" s="87"/>
      <c r="F721" s="88"/>
      <c r="G721" s="65"/>
      <c r="H721" s="65"/>
      <c r="I721" s="65"/>
      <c r="J721" s="65"/>
      <c r="K721" s="65"/>
      <c r="L721" s="65"/>
      <c r="M721" s="89"/>
      <c r="N721" s="90"/>
      <c r="O721" s="42" t="b">
        <v>0</v>
      </c>
      <c r="P721" s="44"/>
      <c r="Q721" s="34"/>
      <c r="R721" s="34"/>
      <c r="S721" s="34"/>
      <c r="T721" s="34"/>
    </row>
    <row r="722" ht="15.75" hidden="1" customHeight="1">
      <c r="B722" s="86"/>
      <c r="C722" s="65"/>
      <c r="D722" s="65"/>
      <c r="E722" s="87"/>
      <c r="F722" s="88"/>
      <c r="G722" s="65"/>
      <c r="H722" s="65"/>
      <c r="I722" s="65"/>
      <c r="J722" s="65"/>
      <c r="K722" s="65"/>
      <c r="L722" s="65"/>
      <c r="M722" s="89"/>
      <c r="N722" s="90"/>
      <c r="O722" s="42" t="b">
        <v>0</v>
      </c>
      <c r="P722" s="44"/>
      <c r="Q722" s="34"/>
      <c r="R722" s="34"/>
      <c r="S722" s="34"/>
      <c r="T722" s="34"/>
    </row>
    <row r="723" ht="15.75" hidden="1" customHeight="1">
      <c r="B723" s="86"/>
      <c r="C723" s="65"/>
      <c r="D723" s="65"/>
      <c r="E723" s="87"/>
      <c r="F723" s="88"/>
      <c r="G723" s="65"/>
      <c r="H723" s="65"/>
      <c r="I723" s="65"/>
      <c r="J723" s="65"/>
      <c r="K723" s="65"/>
      <c r="L723" s="65"/>
      <c r="M723" s="89"/>
      <c r="N723" s="90"/>
      <c r="O723" s="42" t="b">
        <v>0</v>
      </c>
      <c r="P723" s="44"/>
      <c r="Q723" s="34"/>
      <c r="R723" s="34"/>
      <c r="S723" s="34"/>
      <c r="T723" s="34"/>
    </row>
    <row r="724" ht="15.75" hidden="1" customHeight="1">
      <c r="B724" s="86"/>
      <c r="C724" s="65"/>
      <c r="D724" s="65"/>
      <c r="E724" s="87"/>
      <c r="F724" s="88"/>
      <c r="G724" s="65"/>
      <c r="H724" s="65"/>
      <c r="I724" s="65"/>
      <c r="J724" s="65"/>
      <c r="K724" s="65"/>
      <c r="L724" s="65"/>
      <c r="M724" s="89"/>
      <c r="N724" s="90"/>
      <c r="O724" s="42" t="b">
        <v>0</v>
      </c>
      <c r="P724" s="44"/>
      <c r="Q724" s="34"/>
      <c r="R724" s="34"/>
      <c r="S724" s="34"/>
      <c r="T724" s="34"/>
    </row>
    <row r="725" ht="15.75" hidden="1" customHeight="1">
      <c r="B725" s="86"/>
      <c r="C725" s="65"/>
      <c r="D725" s="65"/>
      <c r="E725" s="87"/>
      <c r="F725" s="88"/>
      <c r="G725" s="65"/>
      <c r="H725" s="65"/>
      <c r="I725" s="65"/>
      <c r="J725" s="65"/>
      <c r="K725" s="65"/>
      <c r="L725" s="65"/>
      <c r="M725" s="89"/>
      <c r="N725" s="90"/>
      <c r="O725" s="42" t="b">
        <v>0</v>
      </c>
      <c r="P725" s="44"/>
      <c r="Q725" s="34"/>
      <c r="R725" s="34"/>
      <c r="S725" s="34"/>
      <c r="T725" s="34"/>
    </row>
    <row r="726" ht="15.75" hidden="1" customHeight="1">
      <c r="B726" s="86"/>
      <c r="C726" s="65"/>
      <c r="D726" s="65"/>
      <c r="E726" s="87"/>
      <c r="F726" s="88"/>
      <c r="G726" s="65"/>
      <c r="H726" s="65"/>
      <c r="I726" s="65"/>
      <c r="J726" s="65"/>
      <c r="K726" s="65"/>
      <c r="L726" s="65"/>
      <c r="M726" s="89"/>
      <c r="N726" s="90"/>
      <c r="O726" s="42" t="b">
        <v>0</v>
      </c>
      <c r="P726" s="44"/>
      <c r="Q726" s="34"/>
      <c r="R726" s="34"/>
      <c r="S726" s="34"/>
      <c r="T726" s="34"/>
    </row>
    <row r="727" ht="15.75" hidden="1" customHeight="1">
      <c r="B727" s="86"/>
      <c r="C727" s="65"/>
      <c r="D727" s="65"/>
      <c r="E727" s="87"/>
      <c r="F727" s="88"/>
      <c r="G727" s="65"/>
      <c r="H727" s="65"/>
      <c r="I727" s="65"/>
      <c r="J727" s="65"/>
      <c r="K727" s="65"/>
      <c r="L727" s="65"/>
      <c r="M727" s="89"/>
      <c r="N727" s="90"/>
      <c r="O727" s="42" t="b">
        <v>0</v>
      </c>
      <c r="P727" s="44"/>
      <c r="Q727" s="34"/>
      <c r="R727" s="34"/>
      <c r="S727" s="34"/>
      <c r="T727" s="34"/>
    </row>
    <row r="728" ht="15.75" hidden="1" customHeight="1">
      <c r="B728" s="86"/>
      <c r="C728" s="65"/>
      <c r="D728" s="65"/>
      <c r="E728" s="87"/>
      <c r="F728" s="88"/>
      <c r="G728" s="65"/>
      <c r="H728" s="65"/>
      <c r="I728" s="65"/>
      <c r="J728" s="65"/>
      <c r="K728" s="65"/>
      <c r="L728" s="65"/>
      <c r="M728" s="89"/>
      <c r="N728" s="90"/>
      <c r="O728" s="42" t="b">
        <v>0</v>
      </c>
      <c r="P728" s="44"/>
      <c r="Q728" s="34"/>
      <c r="R728" s="34"/>
      <c r="S728" s="34"/>
      <c r="T728" s="34"/>
    </row>
    <row r="729" ht="15.75" hidden="1" customHeight="1">
      <c r="B729" s="86"/>
      <c r="C729" s="65"/>
      <c r="D729" s="65"/>
      <c r="E729" s="87"/>
      <c r="F729" s="88"/>
      <c r="G729" s="65"/>
      <c r="H729" s="65"/>
      <c r="I729" s="65"/>
      <c r="J729" s="65"/>
      <c r="K729" s="65"/>
      <c r="L729" s="65"/>
      <c r="M729" s="89"/>
      <c r="N729" s="90"/>
      <c r="O729" s="42" t="b">
        <v>0</v>
      </c>
      <c r="P729" s="44"/>
      <c r="Q729" s="34"/>
      <c r="R729" s="34"/>
      <c r="S729" s="34"/>
      <c r="T729" s="34"/>
    </row>
    <row r="730" ht="15.75" hidden="1" customHeight="1">
      <c r="B730" s="86"/>
      <c r="C730" s="65"/>
      <c r="D730" s="65"/>
      <c r="E730" s="87"/>
      <c r="F730" s="88"/>
      <c r="G730" s="65"/>
      <c r="H730" s="65"/>
      <c r="I730" s="65"/>
      <c r="J730" s="65"/>
      <c r="K730" s="65"/>
      <c r="L730" s="65"/>
      <c r="M730" s="89"/>
      <c r="N730" s="90"/>
      <c r="O730" s="42" t="b">
        <v>0</v>
      </c>
      <c r="P730" s="44"/>
      <c r="Q730" s="34"/>
      <c r="R730" s="34"/>
      <c r="S730" s="34"/>
      <c r="T730" s="34"/>
    </row>
    <row r="731" ht="15.75" hidden="1" customHeight="1">
      <c r="B731" s="86"/>
      <c r="C731" s="65"/>
      <c r="D731" s="65"/>
      <c r="E731" s="87"/>
      <c r="F731" s="88"/>
      <c r="G731" s="65"/>
      <c r="H731" s="65"/>
      <c r="I731" s="65"/>
      <c r="J731" s="65"/>
      <c r="K731" s="65"/>
      <c r="L731" s="65"/>
      <c r="M731" s="89"/>
      <c r="N731" s="90"/>
      <c r="O731" s="42" t="b">
        <v>0</v>
      </c>
      <c r="P731" s="44"/>
      <c r="Q731" s="34"/>
      <c r="R731" s="34"/>
      <c r="S731" s="34"/>
      <c r="T731" s="34"/>
    </row>
    <row r="732" ht="15.75" hidden="1" customHeight="1">
      <c r="C732" s="85"/>
      <c r="I732" s="68" t="s">
        <v>59</v>
      </c>
      <c r="N732" s="141"/>
    </row>
    <row r="733" hidden="1">
      <c r="B733" s="123"/>
      <c r="C733" s="142"/>
      <c r="D733" s="123"/>
      <c r="E733" s="143"/>
      <c r="F733" s="123"/>
      <c r="G733" s="123"/>
      <c r="H733" s="123"/>
      <c r="I733" s="143"/>
      <c r="J733" s="143" t="s">
        <v>34</v>
      </c>
      <c r="K733" s="123"/>
      <c r="L733" s="123"/>
      <c r="M733" s="123"/>
      <c r="N733" s="123"/>
    </row>
    <row r="734">
      <c r="B734" s="123"/>
      <c r="C734" s="142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</row>
    <row r="735">
      <c r="C735" s="85"/>
    </row>
    <row r="736">
      <c r="C736" s="85"/>
      <c r="D736" s="68"/>
    </row>
    <row r="737">
      <c r="C737" s="85"/>
    </row>
    <row r="738">
      <c r="C738" s="85"/>
    </row>
    <row r="739">
      <c r="C739" s="85"/>
    </row>
    <row r="740">
      <c r="C740" s="85"/>
    </row>
    <row r="741">
      <c r="C741" s="85"/>
    </row>
    <row r="742">
      <c r="C742" s="85"/>
    </row>
    <row r="743">
      <c r="C743" s="85"/>
    </row>
    <row r="744">
      <c r="C744" s="85"/>
      <c r="G744" s="68"/>
    </row>
    <row r="745">
      <c r="C745" s="85"/>
    </row>
    <row r="746">
      <c r="C746" s="85"/>
    </row>
    <row r="747">
      <c r="C747" s="85"/>
    </row>
    <row r="748">
      <c r="C748" s="85"/>
    </row>
    <row r="749">
      <c r="C749" s="85"/>
    </row>
    <row r="750">
      <c r="C750" s="85"/>
    </row>
    <row r="751">
      <c r="C751" s="85"/>
    </row>
    <row r="752">
      <c r="C752" s="85"/>
    </row>
    <row r="753">
      <c r="C753" s="85"/>
    </row>
    <row r="754">
      <c r="C754" s="85"/>
    </row>
    <row r="755">
      <c r="C755" s="85"/>
    </row>
    <row r="756">
      <c r="C756" s="85"/>
    </row>
    <row r="757">
      <c r="C757" s="85"/>
    </row>
    <row r="758">
      <c r="C758" s="85"/>
    </row>
    <row r="759">
      <c r="C759" s="85"/>
    </row>
    <row r="760">
      <c r="C760" s="85"/>
    </row>
    <row r="761">
      <c r="C761" s="85"/>
    </row>
    <row r="762">
      <c r="C762" s="85"/>
    </row>
    <row r="763">
      <c r="C763" s="85"/>
    </row>
    <row r="764">
      <c r="C764" s="85"/>
    </row>
    <row r="765">
      <c r="C765" s="85"/>
    </row>
    <row r="766">
      <c r="C766" s="85"/>
    </row>
    <row r="767">
      <c r="C767" s="85"/>
    </row>
    <row r="768">
      <c r="C768" s="85"/>
    </row>
    <row r="769">
      <c r="C769" s="85"/>
    </row>
    <row r="770">
      <c r="C770" s="85"/>
    </row>
    <row r="771">
      <c r="C771" s="85"/>
    </row>
    <row r="772">
      <c r="C772" s="85"/>
    </row>
    <row r="773">
      <c r="C773" s="85"/>
    </row>
    <row r="774">
      <c r="C774" s="85"/>
    </row>
    <row r="775">
      <c r="C775" s="85"/>
    </row>
    <row r="776">
      <c r="C776" s="85"/>
    </row>
    <row r="777">
      <c r="C777" s="85"/>
    </row>
    <row r="778">
      <c r="C778" s="85"/>
    </row>
    <row r="779">
      <c r="C779" s="85"/>
    </row>
    <row r="780">
      <c r="C780" s="85"/>
    </row>
    <row r="781">
      <c r="C781" s="85"/>
    </row>
    <row r="782">
      <c r="C782" s="85"/>
    </row>
    <row r="783">
      <c r="C783" s="85"/>
    </row>
    <row r="784">
      <c r="C784" s="85"/>
    </row>
    <row r="785">
      <c r="C785" s="85"/>
    </row>
    <row r="786">
      <c r="C786" s="85"/>
    </row>
    <row r="787">
      <c r="C787" s="85"/>
    </row>
    <row r="788">
      <c r="C788" s="85"/>
    </row>
    <row r="789">
      <c r="C789" s="85"/>
    </row>
    <row r="790">
      <c r="C790" s="85"/>
    </row>
    <row r="791">
      <c r="C791" s="85"/>
    </row>
    <row r="792">
      <c r="C792" s="85"/>
    </row>
    <row r="793">
      <c r="C793" s="85"/>
    </row>
    <row r="794">
      <c r="C794" s="85"/>
    </row>
    <row r="795">
      <c r="C795" s="85"/>
    </row>
    <row r="796">
      <c r="C796" s="85"/>
    </row>
    <row r="797">
      <c r="C797" s="85"/>
    </row>
    <row r="798">
      <c r="C798" s="85"/>
    </row>
    <row r="799">
      <c r="C799" s="85"/>
    </row>
    <row r="800">
      <c r="C800" s="85"/>
    </row>
    <row r="801">
      <c r="C801" s="85"/>
    </row>
    <row r="802">
      <c r="C802" s="85"/>
    </row>
    <row r="803">
      <c r="C803" s="85"/>
    </row>
    <row r="804">
      <c r="C804" s="85"/>
    </row>
    <row r="805">
      <c r="C805" s="85"/>
    </row>
    <row r="806">
      <c r="C806" s="85"/>
    </row>
    <row r="807">
      <c r="C807" s="85"/>
    </row>
    <row r="808">
      <c r="C808" s="85"/>
    </row>
    <row r="809">
      <c r="C809" s="85"/>
    </row>
    <row r="810">
      <c r="C810" s="85"/>
    </row>
    <row r="811">
      <c r="C811" s="85"/>
    </row>
    <row r="812">
      <c r="C812" s="85"/>
    </row>
    <row r="813">
      <c r="C813" s="85"/>
    </row>
    <row r="814">
      <c r="C814" s="85"/>
    </row>
    <row r="815">
      <c r="C815" s="85"/>
    </row>
    <row r="816">
      <c r="C816" s="85"/>
    </row>
    <row r="817">
      <c r="C817" s="85"/>
    </row>
    <row r="818">
      <c r="C818" s="85"/>
    </row>
    <row r="819">
      <c r="C819" s="85"/>
    </row>
    <row r="820">
      <c r="C820" s="85"/>
    </row>
    <row r="821">
      <c r="C821" s="85"/>
    </row>
    <row r="822">
      <c r="C822" s="85"/>
    </row>
    <row r="823">
      <c r="C823" s="85"/>
    </row>
    <row r="824">
      <c r="C824" s="85"/>
    </row>
    <row r="825">
      <c r="C825" s="85"/>
    </row>
    <row r="826">
      <c r="C826" s="85"/>
    </row>
    <row r="827">
      <c r="C827" s="85"/>
    </row>
    <row r="828">
      <c r="C828" s="85"/>
    </row>
    <row r="829">
      <c r="C829" s="85"/>
    </row>
    <row r="830">
      <c r="C830" s="85"/>
    </row>
    <row r="831">
      <c r="C831" s="85"/>
    </row>
    <row r="832">
      <c r="C832" s="85"/>
    </row>
    <row r="833">
      <c r="C833" s="85"/>
    </row>
    <row r="834">
      <c r="C834" s="85"/>
    </row>
    <row r="835">
      <c r="C835" s="85"/>
    </row>
    <row r="836">
      <c r="C836" s="85"/>
    </row>
    <row r="837">
      <c r="C837" s="85"/>
    </row>
    <row r="838">
      <c r="C838" s="85"/>
    </row>
    <row r="839">
      <c r="C839" s="85"/>
    </row>
    <row r="840">
      <c r="C840" s="85"/>
    </row>
    <row r="841">
      <c r="C841" s="85"/>
    </row>
    <row r="842">
      <c r="C842" s="85"/>
    </row>
    <row r="843">
      <c r="C843" s="85"/>
    </row>
    <row r="844">
      <c r="C844" s="85"/>
    </row>
    <row r="845">
      <c r="C845" s="85"/>
    </row>
    <row r="846">
      <c r="C846" s="85"/>
    </row>
    <row r="847">
      <c r="C847" s="85"/>
    </row>
    <row r="848">
      <c r="C848" s="85"/>
    </row>
    <row r="849">
      <c r="C849" s="85"/>
    </row>
    <row r="850">
      <c r="C850" s="85"/>
    </row>
    <row r="851">
      <c r="C851" s="85"/>
    </row>
    <row r="852">
      <c r="C852" s="85"/>
    </row>
    <row r="853">
      <c r="C853" s="85"/>
    </row>
    <row r="854">
      <c r="C854" s="85"/>
    </row>
    <row r="855">
      <c r="C855" s="85"/>
    </row>
    <row r="856">
      <c r="C856" s="85"/>
    </row>
    <row r="857">
      <c r="C857" s="85"/>
    </row>
    <row r="858">
      <c r="C858" s="85"/>
    </row>
    <row r="859">
      <c r="C859" s="85"/>
    </row>
    <row r="860">
      <c r="C860" s="85"/>
    </row>
    <row r="861">
      <c r="C861" s="85"/>
    </row>
    <row r="862">
      <c r="C862" s="85"/>
    </row>
    <row r="863">
      <c r="C863" s="85"/>
    </row>
    <row r="864">
      <c r="C864" s="85"/>
    </row>
    <row r="865">
      <c r="C865" s="85"/>
    </row>
    <row r="866">
      <c r="C866" s="85"/>
    </row>
    <row r="867">
      <c r="C867" s="85"/>
    </row>
    <row r="868">
      <c r="C868" s="85"/>
    </row>
    <row r="869">
      <c r="C869" s="85"/>
    </row>
    <row r="870">
      <c r="C870" s="85"/>
    </row>
    <row r="871">
      <c r="C871" s="85"/>
    </row>
    <row r="872">
      <c r="C872" s="85"/>
    </row>
    <row r="873">
      <c r="C873" s="85"/>
    </row>
    <row r="874">
      <c r="C874" s="85"/>
    </row>
    <row r="875">
      <c r="C875" s="85"/>
    </row>
    <row r="876">
      <c r="C876" s="85"/>
    </row>
    <row r="877">
      <c r="C877" s="85"/>
    </row>
    <row r="878">
      <c r="C878" s="85"/>
    </row>
    <row r="879">
      <c r="C879" s="85"/>
    </row>
    <row r="880">
      <c r="C880" s="85"/>
    </row>
    <row r="881">
      <c r="C881" s="85"/>
    </row>
    <row r="882">
      <c r="C882" s="85"/>
    </row>
    <row r="883">
      <c r="C883" s="85"/>
    </row>
    <row r="884">
      <c r="C884" s="85"/>
    </row>
    <row r="885">
      <c r="C885" s="85"/>
    </row>
    <row r="886">
      <c r="C886" s="85"/>
    </row>
    <row r="887">
      <c r="C887" s="85"/>
    </row>
    <row r="888">
      <c r="C888" s="85"/>
    </row>
    <row r="889">
      <c r="C889" s="85"/>
    </row>
    <row r="890">
      <c r="C890" s="85"/>
    </row>
    <row r="891">
      <c r="C891" s="85"/>
    </row>
    <row r="892">
      <c r="C892" s="85"/>
    </row>
    <row r="893">
      <c r="C893" s="85"/>
    </row>
    <row r="894">
      <c r="C894" s="85"/>
    </row>
    <row r="895">
      <c r="C895" s="85"/>
    </row>
    <row r="896">
      <c r="C896" s="85"/>
    </row>
    <row r="897">
      <c r="C897" s="85"/>
    </row>
    <row r="898">
      <c r="C898" s="85"/>
    </row>
    <row r="899">
      <c r="C899" s="85"/>
    </row>
    <row r="900">
      <c r="C900" s="85"/>
    </row>
    <row r="901">
      <c r="C901" s="85"/>
    </row>
    <row r="902">
      <c r="C902" s="85"/>
    </row>
    <row r="903">
      <c r="C903" s="85"/>
    </row>
    <row r="904">
      <c r="C904" s="85"/>
    </row>
    <row r="905">
      <c r="C905" s="85"/>
    </row>
    <row r="906">
      <c r="C906" s="85"/>
    </row>
    <row r="907">
      <c r="C907" s="85"/>
    </row>
    <row r="908">
      <c r="C908" s="85"/>
    </row>
    <row r="909">
      <c r="C909" s="85"/>
    </row>
    <row r="910">
      <c r="C910" s="85"/>
    </row>
    <row r="911">
      <c r="C911" s="85"/>
    </row>
    <row r="912">
      <c r="C912" s="85"/>
    </row>
    <row r="913">
      <c r="C913" s="85"/>
    </row>
    <row r="914">
      <c r="C914" s="85"/>
    </row>
    <row r="915">
      <c r="C915" s="85"/>
    </row>
    <row r="916">
      <c r="C916" s="85"/>
    </row>
    <row r="917">
      <c r="C917" s="85"/>
    </row>
    <row r="918">
      <c r="C918" s="85"/>
    </row>
    <row r="919">
      <c r="C919" s="85"/>
    </row>
    <row r="920">
      <c r="C920" s="85"/>
    </row>
    <row r="921">
      <c r="C921" s="85"/>
    </row>
    <row r="922">
      <c r="C922" s="85"/>
    </row>
    <row r="923">
      <c r="C923" s="85"/>
    </row>
    <row r="924">
      <c r="C924" s="85"/>
    </row>
    <row r="925">
      <c r="C925" s="85"/>
    </row>
    <row r="926">
      <c r="C926" s="85"/>
    </row>
    <row r="927">
      <c r="C927" s="85"/>
    </row>
    <row r="928">
      <c r="C928" s="85"/>
    </row>
    <row r="929">
      <c r="C929" s="85"/>
    </row>
    <row r="930">
      <c r="C930" s="85"/>
    </row>
    <row r="931">
      <c r="C931" s="85"/>
    </row>
    <row r="932">
      <c r="C932" s="85"/>
    </row>
    <row r="933">
      <c r="C933" s="85"/>
    </row>
    <row r="934">
      <c r="C934" s="85"/>
    </row>
    <row r="935">
      <c r="C935" s="85"/>
    </row>
    <row r="936">
      <c r="C936" s="85"/>
    </row>
    <row r="937">
      <c r="C937" s="85"/>
    </row>
    <row r="938">
      <c r="C938" s="85"/>
    </row>
    <row r="939">
      <c r="C939" s="85"/>
    </row>
    <row r="940">
      <c r="C940" s="85"/>
    </row>
    <row r="941">
      <c r="C941" s="85"/>
    </row>
    <row r="942">
      <c r="C942" s="85"/>
    </row>
    <row r="943">
      <c r="C943" s="85"/>
    </row>
    <row r="944">
      <c r="C944" s="85"/>
    </row>
    <row r="945">
      <c r="C945" s="85"/>
    </row>
    <row r="946">
      <c r="C946" s="85"/>
    </row>
    <row r="947">
      <c r="C947" s="85"/>
    </row>
    <row r="948">
      <c r="C948" s="85"/>
    </row>
    <row r="949">
      <c r="C949" s="85"/>
    </row>
    <row r="950">
      <c r="C950" s="85"/>
    </row>
    <row r="951">
      <c r="C951" s="85"/>
    </row>
    <row r="952">
      <c r="C952" s="85"/>
    </row>
    <row r="953">
      <c r="C953" s="85"/>
    </row>
    <row r="954">
      <c r="C954" s="85"/>
    </row>
    <row r="955">
      <c r="C955" s="85"/>
    </row>
    <row r="956">
      <c r="C956" s="85"/>
    </row>
    <row r="957">
      <c r="C957" s="85"/>
    </row>
    <row r="958">
      <c r="C958" s="85"/>
    </row>
    <row r="959">
      <c r="C959" s="85"/>
    </row>
    <row r="960">
      <c r="C960" s="85"/>
    </row>
    <row r="961">
      <c r="C961" s="85"/>
    </row>
    <row r="962">
      <c r="C962" s="85"/>
    </row>
    <row r="963">
      <c r="C963" s="85"/>
    </row>
    <row r="964">
      <c r="C964" s="85"/>
    </row>
    <row r="965">
      <c r="C965" s="85"/>
    </row>
    <row r="966">
      <c r="C966" s="85"/>
    </row>
    <row r="967">
      <c r="C967" s="85"/>
    </row>
    <row r="968">
      <c r="C968" s="85"/>
    </row>
    <row r="969">
      <c r="C969" s="85"/>
    </row>
    <row r="970">
      <c r="C970" s="85"/>
    </row>
    <row r="971">
      <c r="C971" s="85"/>
    </row>
    <row r="972">
      <c r="C972" s="85"/>
    </row>
    <row r="973">
      <c r="C973" s="85"/>
    </row>
    <row r="974">
      <c r="C974" s="85"/>
    </row>
    <row r="975">
      <c r="C975" s="85"/>
    </row>
    <row r="976">
      <c r="C976" s="85"/>
    </row>
    <row r="977">
      <c r="C977" s="85"/>
    </row>
    <row r="978">
      <c r="C978" s="85"/>
    </row>
    <row r="979">
      <c r="C979" s="85"/>
    </row>
    <row r="980">
      <c r="C980" s="85"/>
    </row>
    <row r="981">
      <c r="C981" s="85"/>
    </row>
    <row r="982">
      <c r="C982" s="85"/>
    </row>
    <row r="983">
      <c r="C983" s="85"/>
    </row>
    <row r="984">
      <c r="C984" s="85"/>
    </row>
    <row r="985">
      <c r="C985" s="85"/>
    </row>
    <row r="986">
      <c r="C986" s="85"/>
    </row>
    <row r="987">
      <c r="C987" s="85"/>
    </row>
    <row r="988">
      <c r="C988" s="85"/>
    </row>
    <row r="989">
      <c r="C989" s="85"/>
    </row>
    <row r="990">
      <c r="C990" s="85"/>
    </row>
    <row r="991">
      <c r="C991" s="85"/>
    </row>
    <row r="992">
      <c r="C992" s="85"/>
    </row>
    <row r="993">
      <c r="C993" s="85"/>
    </row>
    <row r="994">
      <c r="C994" s="85"/>
    </row>
    <row r="995">
      <c r="C995" s="85"/>
    </row>
    <row r="996">
      <c r="C996" s="85"/>
    </row>
    <row r="997">
      <c r="C997" s="85"/>
    </row>
    <row r="998">
      <c r="C998" s="85"/>
    </row>
    <row r="999">
      <c r="C999" s="85"/>
    </row>
    <row r="1000">
      <c r="C1000" s="85"/>
    </row>
    <row r="1001">
      <c r="C1001" s="85"/>
    </row>
    <row r="1002">
      <c r="C1002" s="85"/>
    </row>
    <row r="1003">
      <c r="C1003" s="85"/>
    </row>
    <row r="1004">
      <c r="C1004" s="85"/>
    </row>
    <row r="1005">
      <c r="C1005" s="85"/>
    </row>
    <row r="1006">
      <c r="C1006" s="85"/>
    </row>
    <row r="1007">
      <c r="C1007" s="85"/>
    </row>
    <row r="1008">
      <c r="C1008" s="85"/>
    </row>
    <row r="1009">
      <c r="C1009" s="85"/>
    </row>
    <row r="1010">
      <c r="C1010" s="85"/>
    </row>
    <row r="1011">
      <c r="C1011" s="85"/>
    </row>
    <row r="1012">
      <c r="C1012" s="85"/>
    </row>
    <row r="1013">
      <c r="C1013" s="85"/>
    </row>
    <row r="1014">
      <c r="C1014" s="85"/>
    </row>
    <row r="1015">
      <c r="C1015" s="85"/>
    </row>
    <row r="1016">
      <c r="C1016" s="85"/>
    </row>
    <row r="1017">
      <c r="C1017" s="85"/>
    </row>
    <row r="1018">
      <c r="C1018" s="85"/>
    </row>
    <row r="1019">
      <c r="C1019" s="85"/>
    </row>
    <row r="1020">
      <c r="C1020" s="85"/>
    </row>
    <row r="1021">
      <c r="C1021" s="85"/>
    </row>
    <row r="1022">
      <c r="C1022" s="85"/>
    </row>
    <row r="1023">
      <c r="C1023" s="85"/>
    </row>
    <row r="1024">
      <c r="C1024" s="85"/>
    </row>
    <row r="1025">
      <c r="C1025" s="85"/>
    </row>
    <row r="1026">
      <c r="C1026" s="85"/>
    </row>
    <row r="1027">
      <c r="C1027" s="85"/>
    </row>
    <row r="1028">
      <c r="C1028" s="85"/>
    </row>
    <row r="1029">
      <c r="C1029" s="85"/>
    </row>
    <row r="1030">
      <c r="C1030" s="85"/>
    </row>
    <row r="1031">
      <c r="C1031" s="85"/>
    </row>
    <row r="1032">
      <c r="C1032" s="85"/>
    </row>
    <row r="1033">
      <c r="C1033" s="85"/>
    </row>
    <row r="1034">
      <c r="C1034" s="85"/>
    </row>
    <row r="1035">
      <c r="C1035" s="85"/>
    </row>
    <row r="1036">
      <c r="C1036" s="85"/>
    </row>
    <row r="1037">
      <c r="C1037" s="85"/>
    </row>
    <row r="1038">
      <c r="C1038" s="85"/>
    </row>
    <row r="1039">
      <c r="C1039" s="85"/>
    </row>
    <row r="1040">
      <c r="C1040" s="85"/>
    </row>
    <row r="1041">
      <c r="C1041" s="85"/>
    </row>
    <row r="1042">
      <c r="C1042" s="85"/>
    </row>
    <row r="1043">
      <c r="C1043" s="85"/>
    </row>
    <row r="1044">
      <c r="C1044" s="85"/>
    </row>
    <row r="1045">
      <c r="C1045" s="85"/>
    </row>
    <row r="1046">
      <c r="C1046" s="85"/>
    </row>
    <row r="1047">
      <c r="C1047" s="85"/>
    </row>
    <row r="1048">
      <c r="C1048" s="85"/>
    </row>
    <row r="1049">
      <c r="C1049" s="85"/>
    </row>
    <row r="1050">
      <c r="C1050" s="85"/>
    </row>
    <row r="1051">
      <c r="C1051" s="85"/>
    </row>
    <row r="1052">
      <c r="C1052" s="85"/>
    </row>
    <row r="1053">
      <c r="C1053" s="85"/>
    </row>
    <row r="1054">
      <c r="C1054" s="85"/>
    </row>
    <row r="1055">
      <c r="C1055" s="85"/>
    </row>
    <row r="1056">
      <c r="C1056" s="85"/>
    </row>
    <row r="1057">
      <c r="C1057" s="85"/>
    </row>
    <row r="1058">
      <c r="C1058" s="85"/>
    </row>
    <row r="1059">
      <c r="C1059" s="85"/>
    </row>
    <row r="1060">
      <c r="C1060" s="85"/>
    </row>
    <row r="1061">
      <c r="C1061" s="85"/>
    </row>
    <row r="1062">
      <c r="C1062" s="85"/>
    </row>
    <row r="1063">
      <c r="C1063" s="85"/>
    </row>
    <row r="1064">
      <c r="C1064" s="85"/>
    </row>
    <row r="1065">
      <c r="C1065" s="85"/>
    </row>
    <row r="1066">
      <c r="C1066" s="85"/>
    </row>
    <row r="1067">
      <c r="C1067" s="85"/>
    </row>
    <row r="1068">
      <c r="C1068" s="85"/>
    </row>
    <row r="1069">
      <c r="C1069" s="85"/>
    </row>
    <row r="1070">
      <c r="C1070" s="85"/>
    </row>
    <row r="1071">
      <c r="C1071" s="85"/>
    </row>
    <row r="1072">
      <c r="C1072" s="85"/>
    </row>
    <row r="1073">
      <c r="C1073" s="85"/>
    </row>
    <row r="1074">
      <c r="C1074" s="85"/>
    </row>
    <row r="1075">
      <c r="C1075" s="85"/>
    </row>
    <row r="1076">
      <c r="C1076" s="85"/>
    </row>
    <row r="1077">
      <c r="C1077" s="85"/>
    </row>
    <row r="1078">
      <c r="C1078" s="85"/>
    </row>
    <row r="1079">
      <c r="C1079" s="85"/>
    </row>
    <row r="1080">
      <c r="C1080" s="85"/>
    </row>
    <row r="1081">
      <c r="C1081" s="85"/>
    </row>
    <row r="1082">
      <c r="C1082" s="85"/>
    </row>
    <row r="1083">
      <c r="C1083" s="85"/>
    </row>
    <row r="1084">
      <c r="C1084" s="85"/>
    </row>
    <row r="1085">
      <c r="C1085" s="85"/>
    </row>
    <row r="1086">
      <c r="C1086" s="85"/>
    </row>
    <row r="1087">
      <c r="C1087" s="85"/>
    </row>
    <row r="1088">
      <c r="C1088" s="85"/>
    </row>
    <row r="1089">
      <c r="C1089" s="85"/>
    </row>
    <row r="1090">
      <c r="C1090" s="85"/>
    </row>
    <row r="1091">
      <c r="C1091" s="85"/>
    </row>
    <row r="1092">
      <c r="C1092" s="85"/>
    </row>
    <row r="1093">
      <c r="C1093" s="85"/>
    </row>
    <row r="1094">
      <c r="C1094" s="85"/>
    </row>
    <row r="1095">
      <c r="C1095" s="85"/>
    </row>
    <row r="1096">
      <c r="C1096" s="85"/>
    </row>
    <row r="1097">
      <c r="C1097" s="85"/>
    </row>
    <row r="1098">
      <c r="C1098" s="85"/>
    </row>
    <row r="1099">
      <c r="C1099" s="85"/>
    </row>
    <row r="1100">
      <c r="C1100" s="85"/>
    </row>
    <row r="1101">
      <c r="C1101" s="85"/>
    </row>
    <row r="1102">
      <c r="C1102" s="85"/>
    </row>
    <row r="1103">
      <c r="C1103" s="85"/>
    </row>
    <row r="1104">
      <c r="C1104" s="85"/>
    </row>
    <row r="1105">
      <c r="C1105" s="85"/>
    </row>
    <row r="1106">
      <c r="C1106" s="85"/>
    </row>
    <row r="1107">
      <c r="C1107" s="85"/>
    </row>
    <row r="1108">
      <c r="C1108" s="85"/>
    </row>
    <row r="1109">
      <c r="C1109" s="85"/>
    </row>
    <row r="1110">
      <c r="C1110" s="85"/>
    </row>
    <row r="1111">
      <c r="C1111" s="85"/>
    </row>
    <row r="1112">
      <c r="C1112" s="85"/>
    </row>
    <row r="1113">
      <c r="C1113" s="85"/>
    </row>
    <row r="1114">
      <c r="C1114" s="85"/>
    </row>
    <row r="1115">
      <c r="C1115" s="85"/>
    </row>
    <row r="1116">
      <c r="C1116" s="85"/>
    </row>
    <row r="1117">
      <c r="C1117" s="85"/>
    </row>
    <row r="1118">
      <c r="C1118" s="85"/>
    </row>
    <row r="1119">
      <c r="C1119" s="85"/>
    </row>
    <row r="1120">
      <c r="C1120" s="85"/>
    </row>
    <row r="1121">
      <c r="C1121" s="85"/>
    </row>
    <row r="1122">
      <c r="C1122" s="85"/>
    </row>
    <row r="1123">
      <c r="C1123" s="85"/>
    </row>
    <row r="1124">
      <c r="C1124" s="85"/>
    </row>
    <row r="1125">
      <c r="C1125" s="85"/>
    </row>
    <row r="1126">
      <c r="C1126" s="85"/>
    </row>
    <row r="1127">
      <c r="C1127" s="85"/>
    </row>
  </sheetData>
  <autoFilter ref="$A$5:$T$733">
    <filterColumn colId="13">
      <filters>
        <filter val="ATRASADO"/>
        <filter val="EM DIA"/>
      </filters>
    </filterColumn>
  </autoFilter>
  <mergeCells count="3">
    <mergeCell ref="B1:F1"/>
    <mergeCell ref="C2:F2"/>
    <mergeCell ref="C3:F3"/>
  </mergeCells>
  <conditionalFormatting sqref="O6:O732">
    <cfRule type="expression" dxfId="1" priority="1">
      <formula>$O6=TRUE</formula>
    </cfRule>
  </conditionalFormatting>
  <conditionalFormatting sqref="N6:N732">
    <cfRule type="containsBlanks" dxfId="2" priority="2">
      <formula>LEN(TRIM(N6))=0</formula>
    </cfRule>
  </conditionalFormatting>
  <conditionalFormatting sqref="N1:N732">
    <cfRule type="containsText" dxfId="3" priority="3" operator="containsText" text="EM DIA">
      <formula>NOT(ISERROR(SEARCH(("EM DIA"),(N1))))</formula>
    </cfRule>
  </conditionalFormatting>
  <conditionalFormatting sqref="N1:N732">
    <cfRule type="containsText" dxfId="4" priority="4" operator="containsText" text="ATRASADO">
      <formula>NOT(ISERROR(SEARCH(("ATRASADO"),(N1))))</formula>
    </cfRule>
  </conditionalFormatting>
  <hyperlinks>
    <hyperlink r:id="rId4" ref="C3"/>
  </hyperlinks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7.57"/>
    <col customWidth="1" min="2" max="2" width="19.43"/>
    <col customWidth="1" min="3" max="3" width="11.86"/>
    <col customWidth="1" min="4" max="4" width="8.86"/>
    <col customWidth="1" min="5" max="5" width="18.43"/>
    <col customWidth="1" min="6" max="6" width="15.43"/>
    <col customWidth="1" min="7" max="7" width="24.57"/>
    <col customWidth="1" min="8" max="9" width="12.86"/>
    <col customWidth="1" min="10" max="10" width="19.14"/>
    <col customWidth="1" min="11" max="14" width="37.29"/>
  </cols>
  <sheetData>
    <row r="1" ht="63.75" customHeight="1">
      <c r="B1" s="129" t="s">
        <v>1</v>
      </c>
      <c r="C1" s="3"/>
      <c r="D1" s="3"/>
      <c r="E1" s="3"/>
      <c r="F1" s="3"/>
      <c r="G1" s="4"/>
    </row>
    <row r="2" ht="39.0" customHeight="1">
      <c r="B2" s="130" t="s">
        <v>2</v>
      </c>
      <c r="C2" s="9" t="s">
        <v>3</v>
      </c>
      <c r="D2" s="10"/>
      <c r="E2" s="10"/>
      <c r="F2" s="11"/>
    </row>
    <row r="3" ht="32.25" customHeight="1">
      <c r="B3" s="131" t="s">
        <v>4638</v>
      </c>
      <c r="C3" s="15" t="s">
        <v>5</v>
      </c>
      <c r="D3" s="16"/>
      <c r="E3" s="16"/>
      <c r="F3" s="17"/>
    </row>
    <row r="5">
      <c r="B5" s="132">
        <f>TODAY()</f>
        <v>46294</v>
      </c>
    </row>
    <row r="7">
      <c r="B7" s="24" t="s">
        <v>8</v>
      </c>
      <c r="C7" s="24" t="s">
        <v>9</v>
      </c>
      <c r="D7" s="24" t="s">
        <v>14</v>
      </c>
      <c r="E7" s="24" t="s">
        <v>11</v>
      </c>
      <c r="F7" s="23" t="s">
        <v>13</v>
      </c>
      <c r="G7" s="28" t="s">
        <v>15</v>
      </c>
      <c r="H7" s="28" t="s">
        <v>16</v>
      </c>
      <c r="I7" s="26" t="s">
        <v>29</v>
      </c>
      <c r="J7" s="26" t="s">
        <v>4639</v>
      </c>
      <c r="K7" s="26" t="s">
        <v>19</v>
      </c>
      <c r="L7" s="26" t="s">
        <v>4640</v>
      </c>
      <c r="M7" s="26" t="s">
        <v>4641</v>
      </c>
      <c r="N7" s="26" t="s">
        <v>4642</v>
      </c>
    </row>
    <row r="8">
      <c r="B8" s="133">
        <v>46055.0</v>
      </c>
      <c r="C8" s="64">
        <v>624.0</v>
      </c>
      <c r="D8" s="64">
        <v>5.0</v>
      </c>
      <c r="E8" s="64">
        <v>1500.0</v>
      </c>
      <c r="F8" s="134">
        <f t="shared" ref="F8:F13" si="1">E8*D8</f>
        <v>7500</v>
      </c>
      <c r="G8" s="64"/>
      <c r="H8" s="64" t="s">
        <v>4643</v>
      </c>
      <c r="I8" s="64" t="s">
        <v>382</v>
      </c>
      <c r="J8" s="135">
        <v>46064.0</v>
      </c>
      <c r="K8" s="64" t="s">
        <v>4644</v>
      </c>
      <c r="L8" s="64" t="s">
        <v>66</v>
      </c>
      <c r="M8" s="133">
        <v>46062.0</v>
      </c>
      <c r="N8" s="36"/>
    </row>
    <row r="9">
      <c r="B9" s="133">
        <v>46055.0</v>
      </c>
      <c r="C9" s="64">
        <v>4564.0</v>
      </c>
      <c r="D9" s="64">
        <v>8.0</v>
      </c>
      <c r="E9" s="64">
        <v>169.9</v>
      </c>
      <c r="F9" s="134">
        <f t="shared" si="1"/>
        <v>1359.2</v>
      </c>
      <c r="G9" s="64" t="s">
        <v>248</v>
      </c>
      <c r="H9" s="64" t="s">
        <v>250</v>
      </c>
      <c r="I9" s="64" t="s">
        <v>186</v>
      </c>
      <c r="J9" s="135">
        <v>46064.0</v>
      </c>
      <c r="K9" s="64" t="s">
        <v>4644</v>
      </c>
      <c r="L9" s="64" t="s">
        <v>202</v>
      </c>
      <c r="M9" s="133">
        <v>46062.0</v>
      </c>
      <c r="N9" s="36"/>
    </row>
    <row r="10">
      <c r="B10" s="133">
        <v>46055.0</v>
      </c>
      <c r="C10" s="64">
        <v>4564.0</v>
      </c>
      <c r="D10" s="64">
        <v>8.0</v>
      </c>
      <c r="E10" s="64">
        <v>169.9</v>
      </c>
      <c r="F10" s="134">
        <f t="shared" si="1"/>
        <v>1359.2</v>
      </c>
      <c r="G10" s="64" t="s">
        <v>4645</v>
      </c>
      <c r="H10" s="64" t="s">
        <v>211</v>
      </c>
      <c r="I10" s="64" t="s">
        <v>186</v>
      </c>
      <c r="J10" s="135">
        <v>46064.0</v>
      </c>
      <c r="K10" s="64" t="s">
        <v>4644</v>
      </c>
      <c r="L10" s="64" t="s">
        <v>202</v>
      </c>
      <c r="M10" s="133">
        <v>46062.0</v>
      </c>
      <c r="N10" s="36"/>
    </row>
    <row r="11">
      <c r="B11" s="34">
        <v>46062.0</v>
      </c>
      <c r="C11" s="36">
        <v>2746.0</v>
      </c>
      <c r="D11" s="36">
        <v>1.0</v>
      </c>
      <c r="E11" s="36">
        <v>388.8</v>
      </c>
      <c r="F11" s="43">
        <f t="shared" si="1"/>
        <v>388.8</v>
      </c>
      <c r="G11" s="36" t="s">
        <v>859</v>
      </c>
      <c r="H11" s="36" t="s">
        <v>860</v>
      </c>
      <c r="I11" s="36" t="s">
        <v>186</v>
      </c>
      <c r="J11" s="36"/>
      <c r="K11" s="36" t="s">
        <v>4646</v>
      </c>
      <c r="L11" s="36" t="s">
        <v>66</v>
      </c>
      <c r="M11" s="34"/>
      <c r="N11" s="36"/>
    </row>
    <row r="12">
      <c r="B12" s="34">
        <v>46062.0</v>
      </c>
      <c r="C12" s="36">
        <v>2747.0</v>
      </c>
      <c r="D12" s="36">
        <v>1.0</v>
      </c>
      <c r="E12" s="36">
        <v>1399.9</v>
      </c>
      <c r="F12" s="43">
        <f t="shared" si="1"/>
        <v>1399.9</v>
      </c>
      <c r="G12" s="36" t="s">
        <v>869</v>
      </c>
      <c r="H12" s="36" t="s">
        <v>870</v>
      </c>
      <c r="I12" s="36" t="s">
        <v>186</v>
      </c>
      <c r="J12" s="36"/>
      <c r="K12" s="36" t="s">
        <v>4646</v>
      </c>
      <c r="L12" s="36" t="s">
        <v>66</v>
      </c>
      <c r="M12" s="34"/>
      <c r="N12" s="36"/>
    </row>
    <row r="13">
      <c r="B13" s="133">
        <v>46063.0</v>
      </c>
      <c r="C13" s="64"/>
      <c r="D13" s="64">
        <v>1.0</v>
      </c>
      <c r="E13" s="64">
        <f>259.9*-10%+259.9</f>
        <v>233.91</v>
      </c>
      <c r="F13" s="134">
        <f t="shared" si="1"/>
        <v>233.91</v>
      </c>
      <c r="G13" s="138" t="s">
        <v>4647</v>
      </c>
      <c r="H13" s="64" t="s">
        <v>4648</v>
      </c>
      <c r="I13" s="64" t="s">
        <v>186</v>
      </c>
      <c r="J13" s="135">
        <v>46064.0</v>
      </c>
      <c r="K13" s="64" t="s">
        <v>4649</v>
      </c>
      <c r="L13" s="64" t="s">
        <v>202</v>
      </c>
      <c r="M13" s="133"/>
      <c r="N13" s="36"/>
    </row>
    <row r="14">
      <c r="B14" s="34">
        <v>46064.0</v>
      </c>
      <c r="C14" s="36"/>
      <c r="D14" s="36"/>
      <c r="E14" s="36"/>
      <c r="F14" s="43"/>
      <c r="G14" s="50"/>
      <c r="H14" s="36" t="s">
        <v>4650</v>
      </c>
      <c r="I14" s="36" t="s">
        <v>648</v>
      </c>
      <c r="J14" s="36"/>
      <c r="K14" s="36"/>
      <c r="L14" s="36" t="s">
        <v>48</v>
      </c>
      <c r="M14" s="34"/>
      <c r="N14" s="36"/>
    </row>
    <row r="15">
      <c r="B15" s="34">
        <v>46064.0</v>
      </c>
      <c r="C15" s="36"/>
      <c r="D15" s="36"/>
      <c r="E15" s="43"/>
      <c r="F15" s="43"/>
      <c r="G15" s="36"/>
      <c r="H15" s="36" t="s">
        <v>4651</v>
      </c>
      <c r="I15" s="36" t="s">
        <v>648</v>
      </c>
      <c r="J15" s="36"/>
      <c r="K15" s="36"/>
      <c r="L15" s="36" t="s">
        <v>48</v>
      </c>
      <c r="M15" s="34"/>
      <c r="N15" s="36"/>
    </row>
    <row r="16">
      <c r="B16" s="34">
        <v>46064.0</v>
      </c>
      <c r="C16" s="36"/>
      <c r="D16" s="36"/>
      <c r="E16" s="43"/>
      <c r="F16" s="43"/>
      <c r="G16" s="36"/>
      <c r="H16" s="36" t="s">
        <v>4652</v>
      </c>
      <c r="I16" s="36" t="s">
        <v>648</v>
      </c>
      <c r="J16" s="36"/>
      <c r="K16" s="36"/>
      <c r="L16" s="36" t="s">
        <v>48</v>
      </c>
      <c r="M16" s="34"/>
      <c r="N16" s="36"/>
    </row>
    <row r="17">
      <c r="B17" s="34">
        <v>46064.0</v>
      </c>
      <c r="C17" s="36"/>
      <c r="D17" s="36"/>
      <c r="E17" s="36"/>
      <c r="F17" s="43"/>
      <c r="G17" s="36"/>
      <c r="H17" s="36" t="s">
        <v>4653</v>
      </c>
      <c r="I17" s="36" t="s">
        <v>648</v>
      </c>
      <c r="J17" s="36"/>
      <c r="K17" s="36"/>
      <c r="L17" s="36" t="s">
        <v>48</v>
      </c>
      <c r="M17" s="34"/>
      <c r="N17" s="36"/>
    </row>
    <row r="18">
      <c r="B18" s="34">
        <v>46064.0</v>
      </c>
      <c r="C18" s="36"/>
      <c r="D18" s="36"/>
      <c r="E18" s="36"/>
      <c r="F18" s="43"/>
      <c r="G18" s="36"/>
      <c r="H18" s="36" t="s">
        <v>3023</v>
      </c>
      <c r="I18" s="36" t="s">
        <v>648</v>
      </c>
      <c r="J18" s="36"/>
      <c r="K18" s="36"/>
      <c r="L18" s="36" t="s">
        <v>48</v>
      </c>
      <c r="M18" s="34"/>
      <c r="N18" s="36"/>
    </row>
    <row r="19">
      <c r="B19" s="34">
        <v>46064.0</v>
      </c>
      <c r="C19" s="36"/>
      <c r="D19" s="36"/>
      <c r="E19" s="36"/>
      <c r="F19" s="43"/>
      <c r="G19" s="36"/>
      <c r="H19" s="36" t="s">
        <v>4654</v>
      </c>
      <c r="I19" s="36" t="s">
        <v>648</v>
      </c>
      <c r="J19" s="36"/>
      <c r="K19" s="36"/>
      <c r="L19" s="36" t="s">
        <v>48</v>
      </c>
      <c r="M19" s="34"/>
      <c r="N19" s="36"/>
    </row>
    <row r="20">
      <c r="B20" s="34">
        <v>46064.0</v>
      </c>
      <c r="C20" s="36"/>
      <c r="D20" s="36"/>
      <c r="E20" s="36"/>
      <c r="F20" s="43"/>
      <c r="G20" s="36"/>
      <c r="H20" s="36" t="s">
        <v>4655</v>
      </c>
      <c r="I20" s="36" t="s">
        <v>648</v>
      </c>
      <c r="J20" s="36"/>
      <c r="K20" s="36"/>
      <c r="L20" s="36" t="s">
        <v>48</v>
      </c>
      <c r="M20" s="34"/>
      <c r="N20" s="36"/>
    </row>
    <row r="21" ht="15.75" customHeight="1">
      <c r="B21" s="34">
        <v>46064.0</v>
      </c>
      <c r="C21" s="36"/>
      <c r="D21" s="36"/>
      <c r="E21" s="36"/>
      <c r="F21" s="43"/>
      <c r="G21" s="36"/>
      <c r="H21" s="36" t="s">
        <v>4656</v>
      </c>
      <c r="I21" s="36" t="s">
        <v>648</v>
      </c>
      <c r="J21" s="36"/>
      <c r="K21" s="36"/>
      <c r="L21" s="36" t="s">
        <v>48</v>
      </c>
      <c r="M21" s="34"/>
      <c r="N21" s="36"/>
    </row>
    <row r="22" ht="15.75" customHeight="1">
      <c r="B22" s="34">
        <v>46064.0</v>
      </c>
      <c r="C22" s="36"/>
      <c r="D22" s="36"/>
      <c r="E22" s="36"/>
      <c r="F22" s="43"/>
      <c r="G22" s="36"/>
      <c r="H22" s="36" t="s">
        <v>4657</v>
      </c>
      <c r="I22" s="36" t="s">
        <v>648</v>
      </c>
      <c r="J22" s="36"/>
      <c r="K22" s="36"/>
      <c r="L22" s="36" t="s">
        <v>48</v>
      </c>
      <c r="M22" s="34"/>
      <c r="N22" s="36"/>
    </row>
    <row r="23" ht="15.75" customHeight="1">
      <c r="B23" s="34">
        <v>46064.0</v>
      </c>
      <c r="C23" s="36"/>
      <c r="D23" s="36"/>
      <c r="E23" s="36"/>
      <c r="F23" s="43"/>
      <c r="G23" s="36"/>
      <c r="H23" s="36" t="s">
        <v>4658</v>
      </c>
      <c r="I23" s="36" t="s">
        <v>648</v>
      </c>
      <c r="J23" s="36"/>
      <c r="K23" s="36"/>
      <c r="L23" s="36" t="s">
        <v>48</v>
      </c>
      <c r="M23" s="34"/>
      <c r="N23" s="36"/>
    </row>
    <row r="24" ht="15.75" customHeight="1">
      <c r="B24" s="34">
        <v>46064.0</v>
      </c>
      <c r="C24" s="36"/>
      <c r="D24" s="36"/>
      <c r="E24" s="36"/>
      <c r="F24" s="43"/>
      <c r="G24" s="36"/>
      <c r="H24" s="36" t="s">
        <v>4659</v>
      </c>
      <c r="I24" s="36" t="s">
        <v>648</v>
      </c>
      <c r="J24" s="36"/>
      <c r="K24" s="36"/>
      <c r="L24" s="36" t="s">
        <v>48</v>
      </c>
      <c r="M24" s="34"/>
      <c r="N24" s="36"/>
    </row>
    <row r="25" ht="15.75" customHeight="1">
      <c r="B25" s="34">
        <v>46064.0</v>
      </c>
      <c r="C25" s="36"/>
      <c r="D25" s="36"/>
      <c r="E25" s="36"/>
      <c r="F25" s="43"/>
      <c r="G25" s="36"/>
      <c r="H25" s="36" t="s">
        <v>4660</v>
      </c>
      <c r="I25" s="36" t="s">
        <v>648</v>
      </c>
      <c r="J25" s="36"/>
      <c r="K25" s="36"/>
      <c r="L25" s="36" t="s">
        <v>48</v>
      </c>
      <c r="M25" s="34"/>
      <c r="N25" s="36"/>
    </row>
    <row r="26" ht="15.75" customHeight="1">
      <c r="B26" s="34">
        <v>46064.0</v>
      </c>
      <c r="C26" s="36"/>
      <c r="D26" s="36"/>
      <c r="E26" s="36"/>
      <c r="F26" s="43"/>
      <c r="G26" s="36"/>
      <c r="H26" s="36" t="s">
        <v>4661</v>
      </c>
      <c r="I26" s="36" t="s">
        <v>648</v>
      </c>
      <c r="J26" s="36"/>
      <c r="K26" s="36"/>
      <c r="L26" s="36" t="s">
        <v>48</v>
      </c>
      <c r="M26" s="34"/>
      <c r="N26" s="36"/>
    </row>
    <row r="27" ht="15.75" customHeight="1">
      <c r="B27" s="34">
        <v>46064.0</v>
      </c>
      <c r="C27" s="36"/>
      <c r="D27" s="36"/>
      <c r="E27" s="36"/>
      <c r="F27" s="43"/>
      <c r="G27" s="36"/>
      <c r="H27" s="36" t="s">
        <v>1282</v>
      </c>
      <c r="I27" s="36" t="s">
        <v>648</v>
      </c>
      <c r="J27" s="36"/>
      <c r="K27" s="36"/>
      <c r="L27" s="36" t="s">
        <v>202</v>
      </c>
      <c r="M27" s="34"/>
      <c r="N27" s="36"/>
    </row>
    <row r="28" ht="15.75" customHeight="1">
      <c r="B28" s="34">
        <v>46065.0</v>
      </c>
      <c r="C28" s="36">
        <v>6153.0</v>
      </c>
      <c r="D28" s="36">
        <v>10.0</v>
      </c>
      <c r="E28" s="43">
        <v>139.9</v>
      </c>
      <c r="F28" s="43">
        <f t="shared" ref="F28:F29" si="2">E28*D28</f>
        <v>1399</v>
      </c>
      <c r="G28" s="36" t="s">
        <v>4662</v>
      </c>
      <c r="H28" s="36" t="s">
        <v>192</v>
      </c>
      <c r="I28" s="36" t="s">
        <v>186</v>
      </c>
      <c r="J28" s="36"/>
      <c r="K28" s="36"/>
      <c r="L28" s="36" t="s">
        <v>202</v>
      </c>
      <c r="M28" s="34"/>
      <c r="N28" s="36"/>
    </row>
    <row r="29" ht="15.75" customHeight="1">
      <c r="B29" s="34">
        <v>46065.0</v>
      </c>
      <c r="C29" s="36">
        <v>6156.0</v>
      </c>
      <c r="D29" s="36">
        <v>20.0</v>
      </c>
      <c r="E29" s="43">
        <v>149.9</v>
      </c>
      <c r="F29" s="43">
        <f t="shared" si="2"/>
        <v>2998</v>
      </c>
      <c r="G29" s="36" t="s">
        <v>4663</v>
      </c>
      <c r="H29" s="36" t="s">
        <v>4664</v>
      </c>
      <c r="I29" s="36" t="s">
        <v>186</v>
      </c>
      <c r="J29" s="36"/>
      <c r="K29" s="36"/>
      <c r="L29" s="36" t="s">
        <v>202</v>
      </c>
      <c r="M29" s="34"/>
      <c r="N29" s="36"/>
    </row>
    <row r="30" ht="15.75" customHeight="1">
      <c r="B30" s="34">
        <v>46065.0</v>
      </c>
      <c r="C30" s="36"/>
      <c r="D30" s="36"/>
      <c r="E30" s="36"/>
      <c r="F30" s="43"/>
      <c r="G30" s="36"/>
      <c r="H30" s="36" t="s">
        <v>4665</v>
      </c>
      <c r="I30" s="36" t="s">
        <v>186</v>
      </c>
      <c r="J30" s="36"/>
      <c r="K30" s="36"/>
      <c r="L30" s="36" t="s">
        <v>202</v>
      </c>
      <c r="M30" s="34"/>
      <c r="N30" s="36"/>
    </row>
    <row r="31" ht="15.75" customHeight="1">
      <c r="B31" s="34">
        <v>46065.0</v>
      </c>
      <c r="C31" s="36"/>
      <c r="D31" s="36"/>
      <c r="E31" s="36"/>
      <c r="F31" s="43"/>
      <c r="G31" s="36"/>
      <c r="H31" s="36" t="s">
        <v>4666</v>
      </c>
      <c r="I31" s="36" t="s">
        <v>186</v>
      </c>
      <c r="J31" s="36"/>
      <c r="K31" s="36"/>
      <c r="L31" s="36" t="s">
        <v>202</v>
      </c>
      <c r="M31" s="34"/>
      <c r="N31" s="36"/>
    </row>
    <row r="32" ht="15.75" customHeight="1">
      <c r="B32" s="34">
        <v>46065.0</v>
      </c>
      <c r="C32" s="36"/>
      <c r="D32" s="36"/>
      <c r="E32" s="36"/>
      <c r="F32" s="43"/>
      <c r="G32" s="36"/>
      <c r="H32" s="36" t="s">
        <v>4667</v>
      </c>
      <c r="I32" s="36" t="s">
        <v>186</v>
      </c>
      <c r="J32" s="36"/>
      <c r="K32" s="36"/>
      <c r="L32" s="36" t="s">
        <v>202</v>
      </c>
      <c r="M32" s="34"/>
      <c r="N32" s="36"/>
    </row>
    <row r="33" ht="15.75" customHeight="1">
      <c r="B33" s="34">
        <v>46065.0</v>
      </c>
      <c r="C33" s="36"/>
      <c r="D33" s="36"/>
      <c r="E33" s="36"/>
      <c r="F33" s="43"/>
      <c r="G33" s="36"/>
      <c r="H33" s="36" t="s">
        <v>4668</v>
      </c>
      <c r="I33" s="36" t="s">
        <v>186</v>
      </c>
      <c r="J33" s="36"/>
      <c r="K33" s="36"/>
      <c r="L33" s="36" t="s">
        <v>202</v>
      </c>
      <c r="M33" s="34"/>
      <c r="N33" s="36"/>
    </row>
    <row r="34" ht="15.75" customHeight="1">
      <c r="B34" s="34">
        <v>46065.0</v>
      </c>
      <c r="C34" s="36"/>
      <c r="D34" s="36"/>
      <c r="E34" s="36"/>
      <c r="F34" s="43"/>
      <c r="G34" s="36"/>
      <c r="H34" s="36" t="s">
        <v>4669</v>
      </c>
      <c r="I34" s="36" t="s">
        <v>186</v>
      </c>
      <c r="J34" s="36"/>
      <c r="K34" s="36"/>
      <c r="L34" s="36" t="s">
        <v>202</v>
      </c>
      <c r="M34" s="34"/>
      <c r="N34" s="36"/>
    </row>
    <row r="35" ht="15.75" customHeight="1">
      <c r="B35" s="34">
        <v>46065.0</v>
      </c>
      <c r="C35" s="36"/>
      <c r="D35" s="36"/>
      <c r="E35" s="36"/>
      <c r="F35" s="43"/>
      <c r="G35" s="36"/>
      <c r="H35" s="36" t="s">
        <v>4670</v>
      </c>
      <c r="I35" s="36" t="s">
        <v>186</v>
      </c>
      <c r="J35" s="36"/>
      <c r="K35" s="36"/>
      <c r="L35" s="36" t="s">
        <v>202</v>
      </c>
      <c r="M35" s="34"/>
      <c r="N35" s="36"/>
    </row>
    <row r="36" ht="15.75" customHeight="1">
      <c r="B36" s="34">
        <v>46065.0</v>
      </c>
      <c r="C36" s="36"/>
      <c r="D36" s="36"/>
      <c r="E36" s="36"/>
      <c r="F36" s="43"/>
      <c r="G36" s="36"/>
      <c r="H36" s="36" t="s">
        <v>4671</v>
      </c>
      <c r="I36" s="36" t="s">
        <v>186</v>
      </c>
      <c r="J36" s="36"/>
      <c r="K36" s="36"/>
      <c r="L36" s="36" t="s">
        <v>202</v>
      </c>
      <c r="M36" s="34"/>
      <c r="N36" s="36"/>
    </row>
    <row r="37" ht="15.75" customHeight="1">
      <c r="B37" s="34">
        <v>46065.0</v>
      </c>
      <c r="C37" s="36"/>
      <c r="D37" s="36"/>
      <c r="E37" s="36"/>
      <c r="F37" s="43"/>
      <c r="G37" s="36"/>
      <c r="H37" s="36" t="s">
        <v>4672</v>
      </c>
      <c r="I37" s="36" t="s">
        <v>186</v>
      </c>
      <c r="J37" s="36"/>
      <c r="K37" s="36"/>
      <c r="L37" s="36" t="s">
        <v>202</v>
      </c>
      <c r="M37" s="34"/>
      <c r="N37" s="36"/>
    </row>
    <row r="38" ht="15.75" customHeight="1">
      <c r="B38" s="34">
        <v>46065.0</v>
      </c>
      <c r="C38" s="36"/>
      <c r="D38" s="36"/>
      <c r="E38" s="36"/>
      <c r="F38" s="43"/>
      <c r="G38" s="36"/>
      <c r="H38" s="36" t="s">
        <v>4673</v>
      </c>
      <c r="I38" s="36" t="s">
        <v>186</v>
      </c>
      <c r="J38" s="36"/>
      <c r="K38" s="36"/>
      <c r="L38" s="36" t="s">
        <v>202</v>
      </c>
      <c r="M38" s="34"/>
      <c r="N38" s="36"/>
    </row>
    <row r="39" ht="15.75" customHeight="1">
      <c r="B39" s="34">
        <v>46065.0</v>
      </c>
      <c r="C39" s="36"/>
      <c r="D39" s="36"/>
      <c r="E39" s="36"/>
      <c r="F39" s="43"/>
      <c r="G39" s="36"/>
      <c r="H39" s="36" t="s">
        <v>4675</v>
      </c>
      <c r="I39" s="36" t="s">
        <v>186</v>
      </c>
      <c r="J39" s="36"/>
      <c r="K39" s="36"/>
      <c r="L39" s="36" t="s">
        <v>202</v>
      </c>
      <c r="M39" s="34"/>
      <c r="N39" s="36"/>
    </row>
    <row r="40" ht="15.75" customHeight="1">
      <c r="B40" s="34">
        <v>46065.0</v>
      </c>
      <c r="C40" s="36"/>
      <c r="D40" s="36"/>
      <c r="E40" s="36"/>
      <c r="F40" s="43"/>
      <c r="G40" s="36"/>
      <c r="H40" s="36" t="s">
        <v>4676</v>
      </c>
      <c r="I40" s="36" t="s">
        <v>186</v>
      </c>
      <c r="J40" s="36"/>
      <c r="K40" s="36"/>
      <c r="L40" s="36" t="s">
        <v>202</v>
      </c>
      <c r="M40" s="34"/>
      <c r="N40" s="36"/>
    </row>
    <row r="41" ht="15.75" customHeight="1">
      <c r="B41" s="34">
        <v>46065.0</v>
      </c>
      <c r="C41" s="36"/>
      <c r="D41" s="36"/>
      <c r="E41" s="36"/>
      <c r="F41" s="43"/>
      <c r="G41" s="36"/>
      <c r="H41" s="36" t="s">
        <v>4677</v>
      </c>
      <c r="I41" s="36" t="s">
        <v>186</v>
      </c>
      <c r="J41" s="36"/>
      <c r="K41" s="36"/>
      <c r="L41" s="36" t="s">
        <v>202</v>
      </c>
      <c r="M41" s="34"/>
      <c r="N41" s="36"/>
    </row>
    <row r="42" ht="15.75" customHeight="1">
      <c r="B42" s="34">
        <v>46065.0</v>
      </c>
      <c r="C42" s="36"/>
      <c r="D42" s="36"/>
      <c r="E42" s="36"/>
      <c r="F42" s="43"/>
      <c r="G42" s="36"/>
      <c r="H42" s="36" t="s">
        <v>4680</v>
      </c>
      <c r="I42" s="36" t="s">
        <v>186</v>
      </c>
      <c r="J42" s="36"/>
      <c r="K42" s="36"/>
      <c r="L42" s="36" t="s">
        <v>202</v>
      </c>
      <c r="M42" s="34"/>
      <c r="N42" s="36"/>
    </row>
    <row r="43" ht="15.75" customHeight="1">
      <c r="B43" s="34">
        <v>46065.0</v>
      </c>
      <c r="C43" s="36"/>
      <c r="D43" s="36"/>
      <c r="E43" s="36"/>
      <c r="F43" s="43"/>
      <c r="G43" s="36"/>
      <c r="H43" s="36" t="s">
        <v>4681</v>
      </c>
      <c r="I43" s="36" t="s">
        <v>186</v>
      </c>
      <c r="J43" s="36"/>
      <c r="K43" s="36"/>
      <c r="L43" s="36" t="s">
        <v>202</v>
      </c>
      <c r="M43" s="34"/>
      <c r="N43" s="36"/>
    </row>
    <row r="44" ht="15.75" customHeight="1">
      <c r="B44" s="34">
        <v>46065.0</v>
      </c>
      <c r="C44" s="36"/>
      <c r="D44" s="36"/>
      <c r="E44" s="36"/>
      <c r="F44" s="43"/>
      <c r="G44" s="36"/>
      <c r="H44" s="36" t="s">
        <v>4682</v>
      </c>
      <c r="I44" s="36" t="s">
        <v>186</v>
      </c>
      <c r="J44" s="36"/>
      <c r="K44" s="36"/>
      <c r="L44" s="36" t="s">
        <v>202</v>
      </c>
      <c r="M44" s="34"/>
      <c r="N44" s="36"/>
    </row>
    <row r="45" ht="15.75" customHeight="1">
      <c r="B45" s="34">
        <v>46065.0</v>
      </c>
      <c r="C45" s="36"/>
      <c r="D45" s="36"/>
      <c r="E45" s="36"/>
      <c r="F45" s="43"/>
      <c r="G45" s="36"/>
      <c r="H45" s="36" t="s">
        <v>4684</v>
      </c>
      <c r="I45" s="36" t="s">
        <v>186</v>
      </c>
      <c r="J45" s="36"/>
      <c r="K45" s="36"/>
      <c r="L45" s="36" t="s">
        <v>202</v>
      </c>
      <c r="M45" s="34"/>
      <c r="N45" s="36"/>
    </row>
    <row r="46" ht="15.75" customHeight="1">
      <c r="B46" s="34">
        <v>46065.0</v>
      </c>
      <c r="C46" s="36"/>
      <c r="D46" s="36"/>
      <c r="E46" s="36"/>
      <c r="F46" s="43"/>
      <c r="G46" s="36"/>
      <c r="H46" s="36" t="s">
        <v>4686</v>
      </c>
      <c r="I46" s="36" t="s">
        <v>186</v>
      </c>
      <c r="J46" s="36"/>
      <c r="K46" s="36"/>
      <c r="L46" s="36" t="s">
        <v>202</v>
      </c>
      <c r="M46" s="34"/>
      <c r="N46" s="36"/>
    </row>
    <row r="47" ht="15.75" customHeight="1">
      <c r="B47" s="34">
        <v>46065.0</v>
      </c>
      <c r="C47" s="36"/>
      <c r="D47" s="36"/>
      <c r="E47" s="36"/>
      <c r="F47" s="43"/>
      <c r="G47" s="36"/>
      <c r="H47" s="36" t="s">
        <v>4689</v>
      </c>
      <c r="I47" s="36" t="s">
        <v>186</v>
      </c>
      <c r="J47" s="36"/>
      <c r="K47" s="36"/>
      <c r="L47" s="36" t="s">
        <v>202</v>
      </c>
      <c r="M47" s="34"/>
      <c r="N47" s="36"/>
    </row>
    <row r="48" ht="15.75" customHeight="1">
      <c r="B48" s="34">
        <v>46065.0</v>
      </c>
      <c r="C48" s="36"/>
      <c r="D48" s="36"/>
      <c r="E48" s="36"/>
      <c r="F48" s="43"/>
      <c r="G48" s="36"/>
      <c r="H48" s="36" t="s">
        <v>4690</v>
      </c>
      <c r="I48" s="36" t="s">
        <v>186</v>
      </c>
      <c r="J48" s="36"/>
      <c r="K48" s="36"/>
      <c r="L48" s="36" t="s">
        <v>202</v>
      </c>
      <c r="M48" s="34"/>
      <c r="N48" s="36"/>
    </row>
    <row r="49" ht="15.75" customHeight="1">
      <c r="B49" s="34">
        <v>46065.0</v>
      </c>
      <c r="C49" s="36"/>
      <c r="D49" s="36"/>
      <c r="E49" s="36"/>
      <c r="F49" s="43"/>
      <c r="G49" s="36"/>
      <c r="H49" s="36" t="s">
        <v>4691</v>
      </c>
      <c r="I49" s="36" t="s">
        <v>186</v>
      </c>
      <c r="J49" s="36"/>
      <c r="K49" s="36"/>
      <c r="L49" s="36" t="s">
        <v>202</v>
      </c>
      <c r="M49" s="34"/>
      <c r="N49" s="36"/>
    </row>
    <row r="50" ht="15.75" customHeight="1">
      <c r="B50" s="34">
        <v>46065.0</v>
      </c>
      <c r="C50" s="36"/>
      <c r="D50" s="36"/>
      <c r="E50" s="36"/>
      <c r="F50" s="43"/>
      <c r="G50" s="36"/>
      <c r="H50" s="36" t="s">
        <v>4692</v>
      </c>
      <c r="I50" s="36" t="s">
        <v>186</v>
      </c>
      <c r="J50" s="36"/>
      <c r="K50" s="36"/>
      <c r="L50" s="36" t="s">
        <v>202</v>
      </c>
      <c r="M50" s="34"/>
      <c r="N50" s="36"/>
    </row>
    <row r="51" ht="15.75" customHeight="1">
      <c r="B51" s="34">
        <v>46065.0</v>
      </c>
      <c r="C51" s="36"/>
      <c r="D51" s="36"/>
      <c r="E51" s="36"/>
      <c r="F51" s="43"/>
      <c r="G51" s="36"/>
      <c r="H51" s="36" t="s">
        <v>4695</v>
      </c>
      <c r="I51" s="36" t="s">
        <v>186</v>
      </c>
      <c r="J51" s="36"/>
      <c r="K51" s="36"/>
      <c r="L51" s="36" t="s">
        <v>202</v>
      </c>
      <c r="M51" s="34"/>
      <c r="N51" s="36"/>
    </row>
    <row r="52" ht="15.75" customHeight="1">
      <c r="B52" s="34">
        <v>46065.0</v>
      </c>
      <c r="C52" s="36"/>
      <c r="D52" s="36"/>
      <c r="E52" s="36"/>
      <c r="F52" s="43"/>
      <c r="G52" s="36"/>
      <c r="H52" s="36" t="s">
        <v>4697</v>
      </c>
      <c r="I52" s="36" t="s">
        <v>186</v>
      </c>
      <c r="J52" s="36"/>
      <c r="K52" s="36"/>
      <c r="L52" s="36" t="s">
        <v>202</v>
      </c>
      <c r="M52" s="34"/>
      <c r="N52" s="36"/>
    </row>
    <row r="53" ht="15.75" customHeight="1">
      <c r="B53" s="34">
        <v>46065.0</v>
      </c>
      <c r="C53" s="36"/>
      <c r="D53" s="36"/>
      <c r="E53" s="36"/>
      <c r="F53" s="43"/>
      <c r="G53" s="36"/>
      <c r="H53" s="36" t="s">
        <v>4698</v>
      </c>
      <c r="I53" s="36" t="s">
        <v>186</v>
      </c>
      <c r="J53" s="36"/>
      <c r="K53" s="36"/>
      <c r="L53" s="36" t="s">
        <v>202</v>
      </c>
      <c r="M53" s="34"/>
      <c r="N53" s="36"/>
    </row>
    <row r="54" ht="15.75" customHeight="1">
      <c r="B54" s="34">
        <v>46065.0</v>
      </c>
      <c r="C54" s="36"/>
      <c r="D54" s="36"/>
      <c r="E54" s="36"/>
      <c r="F54" s="43"/>
      <c r="G54" s="36"/>
      <c r="H54" s="36" t="s">
        <v>4702</v>
      </c>
      <c r="I54" s="36" t="s">
        <v>186</v>
      </c>
      <c r="J54" s="36"/>
      <c r="K54" s="36"/>
      <c r="L54" s="36" t="s">
        <v>202</v>
      </c>
      <c r="M54" s="34"/>
      <c r="N54" s="36"/>
    </row>
    <row r="55" ht="15.75" customHeight="1">
      <c r="B55" s="34">
        <v>46065.0</v>
      </c>
      <c r="C55" s="36"/>
      <c r="D55" s="36"/>
      <c r="E55" s="36"/>
      <c r="F55" s="43"/>
      <c r="G55" s="36"/>
      <c r="H55" s="36" t="s">
        <v>4703</v>
      </c>
      <c r="I55" s="36" t="s">
        <v>186</v>
      </c>
      <c r="J55" s="36"/>
      <c r="K55" s="36"/>
      <c r="L55" s="36" t="s">
        <v>202</v>
      </c>
      <c r="M55" s="34"/>
      <c r="N55" s="36"/>
    </row>
    <row r="56" ht="15.75" customHeight="1">
      <c r="B56" s="34">
        <v>46065.0</v>
      </c>
      <c r="C56" s="36"/>
      <c r="D56" s="36"/>
      <c r="E56" s="36"/>
      <c r="F56" s="43"/>
      <c r="G56" s="36"/>
      <c r="H56" s="36" t="s">
        <v>4706</v>
      </c>
      <c r="I56" s="36" t="s">
        <v>186</v>
      </c>
      <c r="J56" s="36"/>
      <c r="K56" s="36"/>
      <c r="L56" s="36" t="s">
        <v>202</v>
      </c>
      <c r="M56" s="34"/>
      <c r="N56" s="36"/>
    </row>
    <row r="57" ht="15.75" customHeight="1">
      <c r="B57" s="34">
        <v>46065.0</v>
      </c>
      <c r="C57" s="36"/>
      <c r="D57" s="36"/>
      <c r="E57" s="36"/>
      <c r="F57" s="43"/>
      <c r="G57" s="36"/>
      <c r="H57" s="36" t="s">
        <v>4708</v>
      </c>
      <c r="I57" s="36" t="s">
        <v>186</v>
      </c>
      <c r="J57" s="36"/>
      <c r="K57" s="36"/>
      <c r="L57" s="36" t="s">
        <v>202</v>
      </c>
      <c r="M57" s="34"/>
      <c r="N57" s="36"/>
    </row>
    <row r="58" ht="15.75" customHeight="1">
      <c r="B58" s="34">
        <v>46065.0</v>
      </c>
      <c r="C58" s="36"/>
      <c r="D58" s="36"/>
      <c r="E58" s="36"/>
      <c r="F58" s="43"/>
      <c r="G58" s="36"/>
      <c r="H58" s="36" t="s">
        <v>4710</v>
      </c>
      <c r="I58" s="36" t="s">
        <v>186</v>
      </c>
      <c r="J58" s="36"/>
      <c r="K58" s="36"/>
      <c r="L58" s="36" t="s">
        <v>202</v>
      </c>
      <c r="M58" s="34"/>
      <c r="N58" s="36"/>
    </row>
    <row r="59" ht="15.75" customHeight="1">
      <c r="B59" s="34">
        <v>46065.0</v>
      </c>
      <c r="C59" s="36"/>
      <c r="D59" s="36"/>
      <c r="E59" s="36"/>
      <c r="F59" s="43"/>
      <c r="G59" s="36"/>
      <c r="H59" s="36" t="s">
        <v>4713</v>
      </c>
      <c r="I59" s="36" t="s">
        <v>186</v>
      </c>
      <c r="J59" s="36"/>
      <c r="K59" s="36"/>
      <c r="L59" s="36" t="s">
        <v>202</v>
      </c>
      <c r="M59" s="34"/>
      <c r="N59" s="36"/>
    </row>
    <row r="60" ht="15.75" customHeight="1">
      <c r="B60" s="34">
        <v>46065.0</v>
      </c>
      <c r="C60" s="36"/>
      <c r="D60" s="36"/>
      <c r="E60" s="36"/>
      <c r="F60" s="43"/>
      <c r="G60" s="36"/>
      <c r="H60" s="36" t="s">
        <v>4716</v>
      </c>
      <c r="I60" s="36" t="s">
        <v>186</v>
      </c>
      <c r="J60" s="36"/>
      <c r="K60" s="36"/>
      <c r="L60" s="36" t="s">
        <v>202</v>
      </c>
      <c r="M60" s="34"/>
      <c r="N60" s="36"/>
    </row>
    <row r="61" ht="15.75" customHeight="1">
      <c r="B61" s="34">
        <v>46065.0</v>
      </c>
      <c r="C61" s="36"/>
      <c r="D61" s="36"/>
      <c r="E61" s="36"/>
      <c r="F61" s="43"/>
      <c r="G61" s="36"/>
      <c r="H61" s="36" t="s">
        <v>4718</v>
      </c>
      <c r="I61" s="36" t="s">
        <v>186</v>
      </c>
      <c r="J61" s="36"/>
      <c r="K61" s="36"/>
      <c r="L61" s="36" t="s">
        <v>202</v>
      </c>
      <c r="M61" s="34"/>
      <c r="N61" s="36"/>
    </row>
    <row r="62" ht="15.75" customHeight="1">
      <c r="B62" s="34">
        <v>46065.0</v>
      </c>
      <c r="C62" s="36"/>
      <c r="D62" s="36"/>
      <c r="E62" s="36"/>
      <c r="F62" s="43"/>
      <c r="G62" s="36"/>
      <c r="H62" s="36" t="s">
        <v>4719</v>
      </c>
      <c r="I62" s="36" t="s">
        <v>186</v>
      </c>
      <c r="J62" s="36"/>
      <c r="K62" s="36"/>
      <c r="L62" s="36" t="s">
        <v>202</v>
      </c>
      <c r="M62" s="34"/>
      <c r="N62" s="36"/>
    </row>
    <row r="63" ht="15.75" customHeight="1">
      <c r="B63" s="34">
        <v>46065.0</v>
      </c>
      <c r="C63" s="36"/>
      <c r="D63" s="36"/>
      <c r="E63" s="36"/>
      <c r="F63" s="43"/>
      <c r="G63" s="36"/>
      <c r="H63" s="36" t="s">
        <v>4720</v>
      </c>
      <c r="I63" s="36" t="s">
        <v>186</v>
      </c>
      <c r="J63" s="36"/>
      <c r="K63" s="36"/>
      <c r="L63" s="36" t="s">
        <v>202</v>
      </c>
      <c r="M63" s="34"/>
      <c r="N63" s="36"/>
    </row>
    <row r="64" ht="15.75" customHeight="1">
      <c r="B64" s="34">
        <v>46065.0</v>
      </c>
      <c r="C64" s="36"/>
      <c r="D64" s="36"/>
      <c r="E64" s="36"/>
      <c r="F64" s="43"/>
      <c r="G64" s="36"/>
      <c r="H64" s="36" t="s">
        <v>4723</v>
      </c>
      <c r="I64" s="36" t="s">
        <v>186</v>
      </c>
      <c r="J64" s="36"/>
      <c r="K64" s="36"/>
      <c r="L64" s="36" t="s">
        <v>202</v>
      </c>
      <c r="M64" s="34"/>
      <c r="N64" s="36"/>
    </row>
    <row r="65" ht="15.75" customHeight="1">
      <c r="B65" s="34">
        <v>46065.0</v>
      </c>
      <c r="C65" s="36">
        <v>386.0</v>
      </c>
      <c r="D65" s="36">
        <v>7.0</v>
      </c>
      <c r="E65" s="36">
        <v>407.0</v>
      </c>
      <c r="F65" s="43">
        <f t="shared" ref="F65:F67" si="3">E65*D65</f>
        <v>2849</v>
      </c>
      <c r="G65" s="36" t="s">
        <v>4726</v>
      </c>
      <c r="H65" s="36">
        <v>2.0</v>
      </c>
      <c r="I65" s="36" t="s">
        <v>4717</v>
      </c>
      <c r="J65" s="36"/>
      <c r="K65" s="36" t="s">
        <v>4728</v>
      </c>
      <c r="L65" s="36" t="s">
        <v>202</v>
      </c>
      <c r="M65" s="34"/>
      <c r="N65" s="36"/>
    </row>
    <row r="66" ht="15.75" customHeight="1">
      <c r="B66" s="34">
        <v>46065.0</v>
      </c>
      <c r="C66" s="36"/>
      <c r="D66" s="36">
        <v>1.0</v>
      </c>
      <c r="E66" s="36">
        <v>192.61</v>
      </c>
      <c r="F66" s="43">
        <f t="shared" si="3"/>
        <v>192.61</v>
      </c>
      <c r="G66" s="36" t="s">
        <v>4730</v>
      </c>
      <c r="H66" s="36">
        <v>1.0</v>
      </c>
      <c r="I66" s="36" t="s">
        <v>4717</v>
      </c>
      <c r="J66" s="36"/>
      <c r="K66" s="36"/>
      <c r="L66" s="36" t="s">
        <v>202</v>
      </c>
      <c r="M66" s="34"/>
      <c r="N66" s="36"/>
    </row>
    <row r="67" ht="15.75" customHeight="1">
      <c r="B67" s="34">
        <v>46065.0</v>
      </c>
      <c r="C67" s="36"/>
      <c r="D67" s="36">
        <v>1.0</v>
      </c>
      <c r="E67" s="36">
        <v>204.97</v>
      </c>
      <c r="F67" s="43">
        <f t="shared" si="3"/>
        <v>204.97</v>
      </c>
      <c r="G67" s="36" t="s">
        <v>4733</v>
      </c>
      <c r="H67" s="36">
        <v>1.0</v>
      </c>
      <c r="I67" s="36" t="s">
        <v>4717</v>
      </c>
      <c r="J67" s="36"/>
      <c r="K67" s="36"/>
      <c r="L67" s="36" t="s">
        <v>202</v>
      </c>
      <c r="M67" s="34"/>
      <c r="N67" s="36"/>
    </row>
    <row r="68" ht="15.75" customHeight="1">
      <c r="B68" s="34">
        <v>46072.0</v>
      </c>
      <c r="C68" s="36">
        <v>4318.0</v>
      </c>
      <c r="D68" s="36">
        <v>50.0</v>
      </c>
      <c r="E68" s="36">
        <v>945.0</v>
      </c>
      <c r="F68" s="43">
        <v>14.853</v>
      </c>
      <c r="G68" s="36" t="s">
        <v>4736</v>
      </c>
      <c r="H68" s="36" t="s">
        <v>1365</v>
      </c>
      <c r="I68" s="36" t="s">
        <v>806</v>
      </c>
      <c r="J68" s="36"/>
      <c r="K68" s="36"/>
      <c r="L68" s="36" t="s">
        <v>270</v>
      </c>
      <c r="M68" s="34"/>
      <c r="N68" s="36"/>
    </row>
    <row r="69" ht="15.75" customHeight="1">
      <c r="B69" s="34">
        <v>46072.0</v>
      </c>
      <c r="C69" s="36">
        <v>6603.0</v>
      </c>
      <c r="D69" s="36">
        <v>1.0</v>
      </c>
      <c r="E69" s="36">
        <v>158.8</v>
      </c>
      <c r="F69" s="43">
        <f>E69*D69</f>
        <v>158.8</v>
      </c>
      <c r="G69" s="36" t="s">
        <v>4739</v>
      </c>
      <c r="H69" s="36" t="s">
        <v>4741</v>
      </c>
      <c r="I69" s="36" t="s">
        <v>186</v>
      </c>
      <c r="J69" s="36"/>
      <c r="K69" s="36"/>
      <c r="L69" s="36" t="s">
        <v>270</v>
      </c>
      <c r="M69" s="34"/>
      <c r="N69" s="36"/>
    </row>
    <row r="70" ht="15.75" customHeight="1">
      <c r="B70" s="34"/>
      <c r="C70" s="36"/>
      <c r="D70" s="36"/>
      <c r="E70" s="36"/>
      <c r="F70" s="43"/>
      <c r="G70" s="36" t="s">
        <v>4743</v>
      </c>
      <c r="H70" s="36" t="s">
        <v>4744</v>
      </c>
      <c r="I70" s="36" t="s">
        <v>806</v>
      </c>
      <c r="J70" s="36"/>
      <c r="K70" s="36" t="s">
        <v>4747</v>
      </c>
      <c r="L70" s="36" t="s">
        <v>66</v>
      </c>
      <c r="M70" s="34">
        <v>46062.0</v>
      </c>
      <c r="N70" s="36"/>
    </row>
    <row r="71" ht="15.75" customHeight="1">
      <c r="B71" s="34"/>
      <c r="C71" s="36"/>
      <c r="D71" s="36"/>
      <c r="E71" s="43"/>
      <c r="F71" s="43"/>
      <c r="G71" s="36"/>
      <c r="H71" s="36" t="s">
        <v>2200</v>
      </c>
      <c r="I71" s="36" t="s">
        <v>186</v>
      </c>
      <c r="J71" s="36"/>
      <c r="K71" s="36"/>
      <c r="L71" s="36" t="s">
        <v>202</v>
      </c>
      <c r="M71" s="34"/>
      <c r="N71" s="36"/>
    </row>
    <row r="72" ht="15.75" customHeight="1">
      <c r="B72" s="34">
        <v>46064.0</v>
      </c>
      <c r="C72" s="36">
        <v>5887.0</v>
      </c>
      <c r="D72" s="36">
        <v>1.0</v>
      </c>
      <c r="E72" s="43">
        <v>139.9</v>
      </c>
      <c r="F72" s="43">
        <f t="shared" ref="F72:F73" si="4">E72*D72</f>
        <v>139.9</v>
      </c>
      <c r="G72" s="36" t="s">
        <v>1274</v>
      </c>
      <c r="H72" s="36" t="s">
        <v>192</v>
      </c>
      <c r="I72" s="36" t="s">
        <v>186</v>
      </c>
      <c r="J72" s="36"/>
      <c r="K72" s="36"/>
      <c r="L72" s="36" t="s">
        <v>202</v>
      </c>
      <c r="M72" s="34"/>
      <c r="N72" s="36"/>
    </row>
    <row r="73" ht="15.75" customHeight="1">
      <c r="B73" s="34">
        <v>46064.0</v>
      </c>
      <c r="C73" s="36">
        <v>6153.0</v>
      </c>
      <c r="D73" s="36">
        <v>1.0</v>
      </c>
      <c r="E73" s="36">
        <v>139.9</v>
      </c>
      <c r="F73" s="43">
        <f t="shared" si="4"/>
        <v>139.9</v>
      </c>
      <c r="G73" s="36" t="s">
        <v>1274</v>
      </c>
      <c r="H73" s="36" t="s">
        <v>192</v>
      </c>
      <c r="I73" s="36" t="s">
        <v>186</v>
      </c>
      <c r="J73" s="36"/>
      <c r="K73" s="36"/>
      <c r="L73" s="36" t="s">
        <v>202</v>
      </c>
      <c r="M73" s="34"/>
      <c r="N73" s="36"/>
    </row>
    <row r="74" ht="15.75" customHeight="1">
      <c r="B74" s="34"/>
      <c r="C74" s="36"/>
      <c r="D74" s="36"/>
      <c r="E74" s="36"/>
      <c r="F74" s="43"/>
      <c r="G74" s="36"/>
      <c r="H74" s="36" t="s">
        <v>4755</v>
      </c>
      <c r="I74" s="36" t="s">
        <v>186</v>
      </c>
      <c r="J74" s="36"/>
      <c r="K74" s="36"/>
      <c r="L74" s="36" t="s">
        <v>202</v>
      </c>
      <c r="M74" s="34"/>
      <c r="N74" s="36"/>
    </row>
    <row r="75" ht="15.75" customHeight="1">
      <c r="B75" s="34"/>
      <c r="C75" s="36"/>
      <c r="D75" s="36"/>
      <c r="E75" s="36"/>
      <c r="F75" s="43"/>
      <c r="G75" s="36"/>
      <c r="H75" s="36" t="s">
        <v>4758</v>
      </c>
      <c r="I75" s="36" t="s">
        <v>648</v>
      </c>
      <c r="J75" s="36"/>
      <c r="K75" s="36"/>
      <c r="L75" s="36" t="s">
        <v>48</v>
      </c>
      <c r="M75" s="34"/>
      <c r="N75" s="36"/>
    </row>
    <row r="76" ht="15.75" customHeight="1">
      <c r="B76" s="34"/>
      <c r="C76" s="36"/>
      <c r="D76" s="36"/>
      <c r="E76" s="36"/>
      <c r="F76" s="43"/>
      <c r="G76" s="36"/>
      <c r="H76" s="36" t="s">
        <v>4760</v>
      </c>
      <c r="I76" s="36" t="s">
        <v>648</v>
      </c>
      <c r="J76" s="36"/>
      <c r="K76" s="36"/>
      <c r="L76" s="36" t="s">
        <v>48</v>
      </c>
      <c r="M76" s="34"/>
      <c r="N76" s="36"/>
    </row>
    <row r="77" ht="15.75" customHeight="1">
      <c r="B77" s="34"/>
      <c r="C77" s="36"/>
      <c r="D77" s="36"/>
      <c r="E77" s="36"/>
      <c r="F77" s="43"/>
      <c r="G77" s="36"/>
      <c r="H77" s="36" t="s">
        <v>4763</v>
      </c>
      <c r="I77" s="36" t="s">
        <v>648</v>
      </c>
      <c r="J77" s="36"/>
      <c r="K77" s="36"/>
      <c r="L77" s="36" t="s">
        <v>202</v>
      </c>
      <c r="M77" s="34"/>
      <c r="N77" s="36"/>
    </row>
    <row r="78" ht="15.75" customHeight="1">
      <c r="B78" s="34"/>
      <c r="C78" s="36"/>
      <c r="D78" s="36"/>
      <c r="E78" s="36"/>
      <c r="F78" s="43"/>
      <c r="G78" s="36"/>
      <c r="H78" s="36" t="s">
        <v>4764</v>
      </c>
      <c r="I78" s="36" t="s">
        <v>698</v>
      </c>
      <c r="J78" s="36"/>
      <c r="K78" s="36"/>
      <c r="L78" s="36" t="s">
        <v>202</v>
      </c>
      <c r="M78" s="34"/>
      <c r="N78" s="36"/>
    </row>
    <row r="79" ht="15.75" customHeight="1">
      <c r="B79" s="34"/>
      <c r="C79" s="36"/>
      <c r="D79" s="36">
        <v>1.0</v>
      </c>
      <c r="E79" s="36"/>
      <c r="F79" s="43"/>
      <c r="G79" s="36"/>
      <c r="H79" s="36" t="s">
        <v>4767</v>
      </c>
      <c r="I79" s="36" t="s">
        <v>698</v>
      </c>
      <c r="J79" s="36"/>
      <c r="K79" s="36"/>
      <c r="L79" s="36" t="s">
        <v>202</v>
      </c>
      <c r="M79" s="34"/>
      <c r="N79" s="36"/>
    </row>
    <row r="80" ht="15.75" customHeight="1">
      <c r="B80" s="34"/>
      <c r="C80" s="36"/>
      <c r="D80" s="36">
        <v>1.0</v>
      </c>
      <c r="E80" s="36"/>
      <c r="F80" s="43"/>
      <c r="G80" s="36"/>
      <c r="H80" s="36" t="s">
        <v>4770</v>
      </c>
      <c r="I80" s="36" t="s">
        <v>698</v>
      </c>
      <c r="J80" s="36"/>
      <c r="K80" s="36"/>
      <c r="L80" s="36" t="s">
        <v>202</v>
      </c>
      <c r="M80" s="34"/>
      <c r="N80" s="36"/>
    </row>
    <row r="81" ht="15.75" customHeight="1">
      <c r="B81" s="34"/>
      <c r="C81" s="36"/>
      <c r="D81" s="36"/>
      <c r="E81" s="36"/>
      <c r="F81" s="43"/>
      <c r="G81" s="36"/>
      <c r="H81" s="36" t="s">
        <v>4773</v>
      </c>
      <c r="I81" s="36" t="s">
        <v>806</v>
      </c>
      <c r="J81" s="36"/>
      <c r="K81" s="36"/>
      <c r="L81" s="36" t="s">
        <v>202</v>
      </c>
      <c r="M81" s="34"/>
      <c r="N81" s="36"/>
    </row>
    <row r="82" ht="15.75" customHeight="1">
      <c r="B82" s="34"/>
      <c r="C82" s="36"/>
      <c r="D82" s="36">
        <v>1.0</v>
      </c>
      <c r="E82" s="36"/>
      <c r="F82" s="43"/>
      <c r="G82" s="36"/>
      <c r="H82" s="36" t="s">
        <v>4774</v>
      </c>
      <c r="I82" s="36" t="s">
        <v>698</v>
      </c>
      <c r="J82" s="36"/>
      <c r="K82" s="36"/>
      <c r="L82" s="36" t="s">
        <v>202</v>
      </c>
      <c r="M82" s="34"/>
      <c r="N82" s="36"/>
    </row>
    <row r="83" ht="15.75" customHeight="1">
      <c r="B83" s="34"/>
      <c r="C83" s="36"/>
      <c r="D83" s="36">
        <v>1.0</v>
      </c>
      <c r="E83" s="36"/>
      <c r="F83" s="43"/>
      <c r="G83" s="36"/>
      <c r="H83" s="36" t="s">
        <v>4779</v>
      </c>
      <c r="I83" s="36" t="s">
        <v>698</v>
      </c>
      <c r="J83" s="36"/>
      <c r="K83" s="36"/>
      <c r="L83" s="36" t="s">
        <v>202</v>
      </c>
      <c r="M83" s="34">
        <v>46072.0</v>
      </c>
      <c r="N83" s="36"/>
    </row>
    <row r="84" ht="15.75" customHeight="1">
      <c r="B84" s="34"/>
      <c r="C84" s="36"/>
      <c r="D84" s="36"/>
      <c r="E84" s="36"/>
      <c r="F84" s="43"/>
      <c r="G84" s="36"/>
      <c r="H84" s="36" t="s">
        <v>4780</v>
      </c>
      <c r="I84" s="36" t="s">
        <v>241</v>
      </c>
      <c r="J84" s="36"/>
      <c r="K84" s="36"/>
      <c r="L84" s="36" t="s">
        <v>300</v>
      </c>
      <c r="M84" s="34">
        <v>46064.0</v>
      </c>
      <c r="N84" s="36"/>
    </row>
    <row r="85" ht="15.75" customHeight="1">
      <c r="B85" s="34"/>
      <c r="C85" s="36"/>
      <c r="D85" s="36">
        <v>3.0</v>
      </c>
      <c r="E85" s="36"/>
      <c r="F85" s="43"/>
      <c r="G85" s="36"/>
      <c r="H85" s="36" t="s">
        <v>4685</v>
      </c>
      <c r="I85" s="36" t="s">
        <v>186</v>
      </c>
      <c r="J85" s="36"/>
      <c r="K85" s="36"/>
      <c r="L85" s="36" t="s">
        <v>41</v>
      </c>
      <c r="M85" s="34">
        <v>46064.0</v>
      </c>
      <c r="N85" s="36"/>
    </row>
    <row r="86" ht="15.75" customHeight="1">
      <c r="B86" s="34"/>
      <c r="C86" s="36"/>
      <c r="D86" s="36"/>
      <c r="E86" s="36"/>
      <c r="F86" s="43"/>
      <c r="G86" s="36"/>
      <c r="H86" s="36" t="s">
        <v>1007</v>
      </c>
      <c r="I86" s="36" t="s">
        <v>4785</v>
      </c>
      <c r="J86" s="36"/>
      <c r="K86" s="36"/>
      <c r="L86" s="36" t="s">
        <v>41</v>
      </c>
      <c r="M86" s="34">
        <v>46064.0</v>
      </c>
      <c r="N86" s="36"/>
    </row>
    <row r="87" ht="15.75" customHeight="1">
      <c r="B87" s="34"/>
      <c r="C87" s="36"/>
      <c r="D87" s="36"/>
      <c r="E87" s="36"/>
      <c r="F87" s="43"/>
      <c r="G87" s="36"/>
      <c r="H87" s="36" t="s">
        <v>1003</v>
      </c>
      <c r="I87" s="36" t="s">
        <v>4688</v>
      </c>
      <c r="J87" s="36"/>
      <c r="K87" s="36"/>
      <c r="L87" s="36" t="s">
        <v>41</v>
      </c>
      <c r="M87" s="34">
        <v>46064.0</v>
      </c>
      <c r="N87" s="36"/>
    </row>
    <row r="88" ht="15.75" customHeight="1">
      <c r="B88" s="34"/>
      <c r="C88" s="36"/>
      <c r="D88" s="36"/>
      <c r="E88" s="36"/>
      <c r="F88" s="43"/>
      <c r="G88" s="36"/>
      <c r="H88" s="36" t="s">
        <v>1013</v>
      </c>
      <c r="I88" s="36" t="s">
        <v>4688</v>
      </c>
      <c r="J88" s="36"/>
      <c r="K88" s="36"/>
      <c r="L88" s="36" t="s">
        <v>41</v>
      </c>
      <c r="M88" s="34">
        <v>46064.0</v>
      </c>
      <c r="N88" s="36"/>
    </row>
    <row r="89" ht="15.75" customHeight="1">
      <c r="B89" s="34"/>
      <c r="C89" s="36"/>
      <c r="D89" s="36"/>
      <c r="E89" s="36"/>
      <c r="F89" s="43"/>
      <c r="G89" s="36"/>
      <c r="H89" s="36" t="s">
        <v>4685</v>
      </c>
      <c r="I89" s="36" t="s">
        <v>186</v>
      </c>
      <c r="J89" s="36"/>
      <c r="K89" s="36"/>
      <c r="L89" s="36" t="s">
        <v>41</v>
      </c>
      <c r="M89" s="34">
        <v>46073.0</v>
      </c>
      <c r="N89" s="36"/>
    </row>
    <row r="90" ht="15.75" customHeight="1">
      <c r="B90" s="34"/>
      <c r="C90" s="36"/>
      <c r="D90" s="36"/>
      <c r="E90" s="36"/>
      <c r="F90" s="43"/>
      <c r="G90" s="36"/>
      <c r="H90" s="36" t="s">
        <v>4700</v>
      </c>
      <c r="I90" s="36" t="s">
        <v>4791</v>
      </c>
      <c r="J90" s="36"/>
      <c r="K90" s="36"/>
      <c r="L90" s="36" t="s">
        <v>41</v>
      </c>
      <c r="M90" s="34">
        <v>46073.0</v>
      </c>
      <c r="N90" s="36"/>
    </row>
    <row r="91" ht="15.75" customHeight="1">
      <c r="B91" s="34"/>
      <c r="C91" s="36"/>
      <c r="D91" s="36"/>
      <c r="E91" s="36"/>
      <c r="F91" s="43"/>
      <c r="G91" s="36"/>
      <c r="H91" s="36" t="s">
        <v>459</v>
      </c>
      <c r="I91" s="36" t="s">
        <v>186</v>
      </c>
      <c r="J91" s="36"/>
      <c r="K91" s="36"/>
      <c r="L91" s="36" t="s">
        <v>41</v>
      </c>
      <c r="M91" s="34">
        <v>46073.0</v>
      </c>
      <c r="N91" s="36"/>
    </row>
    <row r="92" ht="15.75" customHeight="1">
      <c r="B92" s="34"/>
      <c r="C92" s="36"/>
      <c r="D92" s="36"/>
      <c r="E92" s="36"/>
      <c r="F92" s="43"/>
      <c r="G92" s="36"/>
      <c r="H92" s="36" t="s">
        <v>1007</v>
      </c>
      <c r="I92" s="36" t="s">
        <v>186</v>
      </c>
      <c r="J92" s="36"/>
      <c r="K92" s="36"/>
      <c r="L92" s="36" t="s">
        <v>41</v>
      </c>
      <c r="M92" s="34">
        <v>46073.0</v>
      </c>
      <c r="N92" s="36"/>
    </row>
    <row r="93" ht="15.75" customHeight="1">
      <c r="B93" s="34"/>
      <c r="C93" s="36"/>
      <c r="D93" s="36"/>
      <c r="E93" s="36"/>
      <c r="F93" s="43"/>
      <c r="G93" s="36"/>
      <c r="H93" s="36" t="s">
        <v>4715</v>
      </c>
      <c r="I93" s="36" t="s">
        <v>4717</v>
      </c>
      <c r="J93" s="36"/>
      <c r="K93" s="36"/>
      <c r="L93" s="36" t="s">
        <v>41</v>
      </c>
      <c r="M93" s="34">
        <v>46078.0</v>
      </c>
      <c r="N93" s="36"/>
    </row>
    <row r="94" ht="15.75" customHeight="1">
      <c r="B94" s="34"/>
      <c r="C94" s="36"/>
      <c r="D94" s="36"/>
      <c r="E94" s="36"/>
      <c r="F94" s="43"/>
      <c r="G94" s="36"/>
      <c r="H94" s="36" t="s">
        <v>245</v>
      </c>
      <c r="I94" s="36" t="s">
        <v>151</v>
      </c>
      <c r="J94" s="36"/>
      <c r="K94" s="36"/>
      <c r="L94" s="36" t="s">
        <v>41</v>
      </c>
      <c r="M94" s="34">
        <v>46080.0</v>
      </c>
      <c r="N94" s="36"/>
    </row>
    <row r="95" ht="15.75" customHeight="1">
      <c r="B95" s="34"/>
      <c r="C95" s="36"/>
      <c r="D95" s="36"/>
      <c r="E95" s="36"/>
      <c r="F95" s="43"/>
      <c r="G95" s="36"/>
      <c r="H95" s="36" t="s">
        <v>4796</v>
      </c>
      <c r="I95" s="36" t="s">
        <v>241</v>
      </c>
      <c r="J95" s="36"/>
      <c r="K95" s="36"/>
      <c r="L95" s="36" t="s">
        <v>4696</v>
      </c>
      <c r="M95" s="34">
        <v>46080.0</v>
      </c>
      <c r="N95" s="36"/>
    </row>
    <row r="96" ht="15.75" customHeight="1">
      <c r="B96" s="34"/>
      <c r="C96" s="36"/>
      <c r="D96" s="36"/>
      <c r="E96" s="36"/>
      <c r="F96" s="43"/>
      <c r="G96" s="36"/>
      <c r="H96" s="36" t="s">
        <v>4694</v>
      </c>
      <c r="I96" s="36" t="s">
        <v>241</v>
      </c>
      <c r="J96" s="36"/>
      <c r="K96" s="36"/>
      <c r="L96" s="36" t="s">
        <v>4696</v>
      </c>
      <c r="M96" s="34">
        <v>46071.0</v>
      </c>
      <c r="N96" s="36"/>
    </row>
    <row r="97" ht="15.75" customHeight="1">
      <c r="B97" s="34"/>
      <c r="C97" s="36"/>
      <c r="D97" s="36"/>
      <c r="E97" s="36"/>
      <c r="F97" s="43"/>
      <c r="G97" s="36"/>
      <c r="H97" s="36" t="s">
        <v>4746</v>
      </c>
      <c r="I97" s="36" t="s">
        <v>186</v>
      </c>
      <c r="J97" s="36"/>
      <c r="K97" s="36"/>
      <c r="L97" s="36" t="s">
        <v>32</v>
      </c>
      <c r="M97" s="34"/>
      <c r="N97" s="36"/>
    </row>
    <row r="98" ht="15.75" customHeight="1">
      <c r="B98" s="34"/>
      <c r="C98" s="36"/>
      <c r="D98" s="36"/>
      <c r="E98" s="36"/>
      <c r="F98" s="43"/>
      <c r="G98" s="36"/>
      <c r="H98" s="36" t="s">
        <v>4705</v>
      </c>
      <c r="I98" s="36" t="s">
        <v>186</v>
      </c>
      <c r="J98" s="36"/>
      <c r="K98" s="36"/>
      <c r="L98" s="36" t="s">
        <v>32</v>
      </c>
      <c r="M98" s="34">
        <v>46073.0</v>
      </c>
      <c r="N98" s="36"/>
    </row>
    <row r="99" ht="15.75" customHeight="1">
      <c r="B99" s="34"/>
      <c r="C99" s="36"/>
      <c r="D99" s="36"/>
      <c r="E99" s="36"/>
      <c r="F99" s="43"/>
      <c r="G99" s="36"/>
      <c r="H99" s="36" t="s">
        <v>4709</v>
      </c>
      <c r="I99" s="36" t="s">
        <v>241</v>
      </c>
      <c r="J99" s="36"/>
      <c r="K99" s="36"/>
      <c r="L99" s="36" t="s">
        <v>32</v>
      </c>
      <c r="M99" s="34">
        <v>46073.0</v>
      </c>
      <c r="N99" s="36"/>
    </row>
    <row r="100" ht="15.75" customHeight="1">
      <c r="B100" s="34"/>
      <c r="C100" s="36"/>
      <c r="D100" s="36"/>
      <c r="E100" s="36"/>
      <c r="F100" s="43"/>
      <c r="G100" s="36"/>
      <c r="H100" s="36" t="s">
        <v>4712</v>
      </c>
      <c r="I100" s="36" t="s">
        <v>4785</v>
      </c>
      <c r="J100" s="36"/>
      <c r="K100" s="36"/>
      <c r="L100" s="36" t="s">
        <v>32</v>
      </c>
      <c r="M100" s="34">
        <v>46073.0</v>
      </c>
      <c r="N100" s="36"/>
    </row>
    <row r="101" ht="15.75" customHeight="1">
      <c r="B101" s="34"/>
      <c r="C101" s="36"/>
      <c r="D101" s="36"/>
      <c r="E101" s="36"/>
      <c r="F101" s="43"/>
      <c r="G101" s="36"/>
      <c r="H101" s="36" t="s">
        <v>4803</v>
      </c>
      <c r="I101" s="36" t="s">
        <v>241</v>
      </c>
      <c r="J101" s="36"/>
      <c r="K101" s="36"/>
      <c r="L101" s="36" t="s">
        <v>221</v>
      </c>
      <c r="M101" s="34">
        <v>46083.0</v>
      </c>
      <c r="N101" s="36"/>
    </row>
    <row r="102" ht="15.75" customHeight="1">
      <c r="B102" s="34"/>
      <c r="C102" s="36"/>
      <c r="D102" s="36"/>
      <c r="E102" s="36"/>
      <c r="F102" s="43"/>
      <c r="G102" s="36"/>
      <c r="H102" s="36" t="s">
        <v>4806</v>
      </c>
      <c r="I102" s="36" t="s">
        <v>241</v>
      </c>
      <c r="J102" s="36"/>
      <c r="K102" s="36"/>
      <c r="L102" s="36" t="s">
        <v>221</v>
      </c>
      <c r="M102" s="34">
        <v>46083.0</v>
      </c>
      <c r="N102" s="36"/>
    </row>
    <row r="103" ht="15.75" customHeight="1">
      <c r="B103" s="34"/>
      <c r="C103" s="36"/>
      <c r="D103" s="36"/>
      <c r="E103" s="36"/>
      <c r="F103" s="43"/>
      <c r="G103" s="36"/>
      <c r="H103" s="36" t="s">
        <v>4735</v>
      </c>
      <c r="I103" s="36" t="s">
        <v>87</v>
      </c>
      <c r="J103" s="36"/>
      <c r="K103" s="36"/>
      <c r="L103" s="36" t="s">
        <v>221</v>
      </c>
      <c r="M103" s="34">
        <v>46083.0</v>
      </c>
      <c r="N103" s="36"/>
    </row>
    <row r="104" ht="15.75" customHeight="1">
      <c r="B104" s="34"/>
      <c r="C104" s="36"/>
      <c r="D104" s="36"/>
      <c r="E104" s="36"/>
      <c r="F104" s="43"/>
      <c r="G104" s="36"/>
      <c r="H104" s="36" t="s">
        <v>4738</v>
      </c>
      <c r="I104" s="36" t="s">
        <v>241</v>
      </c>
      <c r="J104" s="36"/>
      <c r="K104" s="36"/>
      <c r="L104" s="36" t="s">
        <v>221</v>
      </c>
      <c r="M104" s="34">
        <v>46083.0</v>
      </c>
      <c r="N104" s="36"/>
    </row>
    <row r="105" ht="15.75" customHeight="1">
      <c r="B105" s="34"/>
      <c r="C105" s="36"/>
      <c r="D105" s="36"/>
      <c r="E105" s="36"/>
      <c r="F105" s="43"/>
      <c r="G105" s="36"/>
      <c r="H105" s="36" t="s">
        <v>4738</v>
      </c>
      <c r="I105" s="36" t="s">
        <v>241</v>
      </c>
      <c r="J105" s="36"/>
      <c r="K105" s="36"/>
      <c r="L105" s="36" t="s">
        <v>221</v>
      </c>
      <c r="M105" s="34">
        <v>46083.0</v>
      </c>
      <c r="N105" s="36"/>
    </row>
    <row r="106" ht="15.75" customHeight="1">
      <c r="B106" s="34"/>
      <c r="C106" s="36"/>
      <c r="D106" s="36"/>
      <c r="E106" s="36"/>
      <c r="F106" s="43"/>
      <c r="G106" s="36"/>
      <c r="H106" s="36" t="s">
        <v>4722</v>
      </c>
      <c r="I106" s="36" t="s">
        <v>241</v>
      </c>
      <c r="J106" s="36"/>
      <c r="K106" s="36"/>
      <c r="L106" s="36" t="s">
        <v>221</v>
      </c>
      <c r="M106" s="34">
        <v>46079.0</v>
      </c>
      <c r="N106" s="36"/>
    </row>
    <row r="107" ht="15.75" customHeight="1">
      <c r="B107" s="34"/>
      <c r="C107" s="36"/>
      <c r="D107" s="36"/>
      <c r="E107" s="36"/>
      <c r="F107" s="43"/>
      <c r="G107" s="36"/>
      <c r="H107" s="36" t="s">
        <v>4814</v>
      </c>
      <c r="I107" s="36" t="s">
        <v>241</v>
      </c>
      <c r="J107" s="36"/>
      <c r="K107" s="36"/>
      <c r="L107" s="36" t="s">
        <v>221</v>
      </c>
      <c r="M107" s="34">
        <v>46079.0</v>
      </c>
      <c r="N107" s="36"/>
    </row>
    <row r="108" ht="15.75" customHeight="1">
      <c r="B108" s="34"/>
      <c r="C108" s="36"/>
      <c r="D108" s="36"/>
      <c r="E108" s="36"/>
      <c r="F108" s="43"/>
      <c r="G108" s="36"/>
      <c r="H108" s="36" t="s">
        <v>712</v>
      </c>
      <c r="I108" s="36" t="s">
        <v>698</v>
      </c>
      <c r="J108" s="36"/>
      <c r="K108" s="36"/>
      <c r="L108" s="36" t="s">
        <v>221</v>
      </c>
      <c r="M108" s="34">
        <v>46078.0</v>
      </c>
      <c r="N108" s="36"/>
    </row>
    <row r="109" ht="15.75" customHeight="1">
      <c r="B109" s="34"/>
      <c r="C109" s="36"/>
      <c r="D109" s="36"/>
      <c r="E109" s="36"/>
      <c r="F109" s="43"/>
      <c r="G109" s="36"/>
      <c r="H109" s="36" t="s">
        <v>4749</v>
      </c>
      <c r="I109" s="36" t="s">
        <v>698</v>
      </c>
      <c r="J109" s="36"/>
      <c r="K109" s="36"/>
      <c r="L109" s="36" t="s">
        <v>221</v>
      </c>
      <c r="M109" s="34"/>
      <c r="N109" s="36"/>
    </row>
    <row r="110" ht="15.75" customHeight="1">
      <c r="B110" s="34"/>
      <c r="C110" s="36"/>
      <c r="D110" s="36"/>
      <c r="E110" s="36"/>
      <c r="F110" s="43"/>
      <c r="G110" s="36"/>
      <c r="H110" s="36" t="s">
        <v>4751</v>
      </c>
      <c r="I110" s="36" t="s">
        <v>698</v>
      </c>
      <c r="J110" s="36"/>
      <c r="K110" s="36"/>
      <c r="L110" s="36" t="s">
        <v>221</v>
      </c>
      <c r="M110" s="34"/>
      <c r="N110" s="36"/>
    </row>
    <row r="111" ht="15.75" customHeight="1">
      <c r="B111" s="34"/>
      <c r="C111" s="36"/>
      <c r="D111" s="36"/>
      <c r="E111" s="36"/>
      <c r="F111" s="43"/>
      <c r="G111" s="36"/>
      <c r="H111" s="36" t="s">
        <v>4752</v>
      </c>
      <c r="I111" s="36" t="s">
        <v>698</v>
      </c>
      <c r="J111" s="36"/>
      <c r="K111" s="36"/>
      <c r="L111" s="36" t="s">
        <v>221</v>
      </c>
      <c r="M111" s="34"/>
      <c r="N111" s="36"/>
    </row>
    <row r="112" ht="15.75" customHeight="1">
      <c r="B112" s="34"/>
      <c r="C112" s="36"/>
      <c r="D112" s="36"/>
      <c r="E112" s="36"/>
      <c r="F112" s="43"/>
      <c r="G112" s="36"/>
      <c r="H112" s="36" t="s">
        <v>4754</v>
      </c>
      <c r="I112" s="36" t="s">
        <v>698</v>
      </c>
      <c r="J112" s="36"/>
      <c r="K112" s="36"/>
      <c r="L112" s="36" t="s">
        <v>221</v>
      </c>
      <c r="M112" s="34"/>
      <c r="N112" s="36"/>
    </row>
    <row r="113" ht="15.75" customHeight="1">
      <c r="B113" s="34"/>
      <c r="C113" s="36"/>
      <c r="D113" s="36"/>
      <c r="E113" s="36"/>
      <c r="F113" s="43"/>
      <c r="G113" s="36"/>
      <c r="H113" s="36" t="s">
        <v>4757</v>
      </c>
      <c r="I113" s="36" t="s">
        <v>698</v>
      </c>
      <c r="J113" s="36"/>
      <c r="K113" s="36"/>
      <c r="L113" s="36" t="s">
        <v>221</v>
      </c>
      <c r="M113" s="34"/>
      <c r="N113" s="36"/>
    </row>
    <row r="114" ht="15.75" customHeight="1">
      <c r="B114" s="34"/>
      <c r="C114" s="36"/>
      <c r="D114" s="36"/>
      <c r="E114" s="36"/>
      <c r="F114" s="43"/>
      <c r="G114" s="36"/>
      <c r="H114" s="36" t="s">
        <v>4769</v>
      </c>
      <c r="I114" s="36" t="s">
        <v>241</v>
      </c>
      <c r="J114" s="36"/>
      <c r="K114" s="36"/>
      <c r="L114" s="36" t="s">
        <v>221</v>
      </c>
      <c r="M114" s="34"/>
      <c r="N114" s="36"/>
    </row>
    <row r="115" ht="15.75" customHeight="1">
      <c r="B115" s="34"/>
      <c r="C115" s="36"/>
      <c r="D115" s="36"/>
      <c r="E115" s="36"/>
      <c r="F115" s="43"/>
      <c r="G115" s="36"/>
      <c r="H115" s="36" t="s">
        <v>4772</v>
      </c>
      <c r="I115" s="36" t="s">
        <v>241</v>
      </c>
      <c r="J115" s="36"/>
      <c r="K115" s="36"/>
      <c r="L115" s="36" t="s">
        <v>221</v>
      </c>
      <c r="M115" s="34"/>
      <c r="N115" s="36"/>
    </row>
    <row r="116" ht="15.75" customHeight="1">
      <c r="B116" s="34"/>
      <c r="C116" s="36"/>
      <c r="D116" s="36"/>
      <c r="E116" s="36"/>
      <c r="F116" s="43"/>
      <c r="G116" s="36"/>
      <c r="H116" s="36" t="s">
        <v>4776</v>
      </c>
      <c r="I116" s="36" t="s">
        <v>241</v>
      </c>
      <c r="J116" s="36"/>
      <c r="K116" s="36"/>
      <c r="L116" s="36" t="s">
        <v>221</v>
      </c>
      <c r="M116" s="34"/>
      <c r="N116" s="36"/>
    </row>
    <row r="117" ht="15.75" customHeight="1">
      <c r="B117" s="34"/>
      <c r="C117" s="36"/>
      <c r="D117" s="36"/>
      <c r="E117" s="36"/>
      <c r="F117" s="43"/>
      <c r="G117" s="36"/>
      <c r="H117" s="36" t="s">
        <v>4778</v>
      </c>
      <c r="I117" s="36" t="s">
        <v>151</v>
      </c>
      <c r="J117" s="36"/>
      <c r="K117" s="36"/>
      <c r="L117" s="36" t="s">
        <v>221</v>
      </c>
      <c r="M117" s="34"/>
      <c r="N117" s="36"/>
    </row>
    <row r="118" ht="15.75" customHeight="1">
      <c r="B118" s="34"/>
      <c r="C118" s="36"/>
      <c r="D118" s="36"/>
      <c r="E118" s="36"/>
      <c r="F118" s="43"/>
      <c r="G118" s="36"/>
      <c r="H118" s="36" t="s">
        <v>4679</v>
      </c>
      <c r="I118" s="36" t="s">
        <v>241</v>
      </c>
      <c r="J118" s="36"/>
      <c r="K118" s="36"/>
      <c r="L118" s="36" t="s">
        <v>221</v>
      </c>
      <c r="M118" s="34"/>
      <c r="N118" s="36"/>
    </row>
    <row r="119" ht="15.75" customHeight="1">
      <c r="B119" s="34"/>
      <c r="C119" s="36"/>
      <c r="D119" s="36"/>
      <c r="E119" s="36"/>
      <c r="F119" s="43"/>
      <c r="G119" s="36"/>
      <c r="H119" s="36" t="s">
        <v>4782</v>
      </c>
      <c r="I119" s="36" t="s">
        <v>186</v>
      </c>
      <c r="J119" s="36"/>
      <c r="K119" s="36"/>
      <c r="L119" s="36" t="s">
        <v>221</v>
      </c>
      <c r="M119" s="34"/>
      <c r="N119" s="36"/>
    </row>
    <row r="120" ht="15.75" customHeight="1">
      <c r="B120" s="34"/>
      <c r="C120" s="36"/>
      <c r="D120" s="36"/>
      <c r="E120" s="36"/>
      <c r="F120" s="43"/>
      <c r="G120" s="36"/>
      <c r="H120" s="36" t="s">
        <v>4784</v>
      </c>
      <c r="I120" s="36" t="s">
        <v>241</v>
      </c>
      <c r="J120" s="36"/>
      <c r="K120" s="36"/>
      <c r="L120" s="36" t="s">
        <v>221</v>
      </c>
      <c r="M120" s="34"/>
      <c r="N120" s="36"/>
    </row>
    <row r="121" ht="15.75" customHeight="1">
      <c r="B121" s="34"/>
      <c r="C121" s="36"/>
      <c r="D121" s="36"/>
      <c r="E121" s="36"/>
      <c r="F121" s="43"/>
      <c r="G121" s="36"/>
      <c r="H121" s="36"/>
      <c r="I121" s="36"/>
      <c r="J121" s="36"/>
      <c r="K121" s="36"/>
      <c r="L121" s="36"/>
      <c r="M121" s="34"/>
      <c r="N121" s="36"/>
    </row>
    <row r="122" ht="15.75" customHeight="1">
      <c r="B122" s="34"/>
      <c r="C122" s="36"/>
      <c r="D122" s="36"/>
      <c r="E122" s="36"/>
      <c r="F122" s="43"/>
      <c r="G122" s="36"/>
      <c r="H122" s="36"/>
      <c r="I122" s="36"/>
      <c r="J122" s="36"/>
      <c r="K122" s="36"/>
      <c r="L122" s="36"/>
      <c r="M122" s="34"/>
      <c r="N122" s="36"/>
    </row>
    <row r="123" ht="15.75" customHeight="1">
      <c r="B123" s="34"/>
      <c r="C123" s="36"/>
      <c r="D123" s="36"/>
      <c r="E123" s="36"/>
      <c r="F123" s="43"/>
      <c r="G123" s="36"/>
      <c r="H123" s="36"/>
      <c r="I123" s="36"/>
      <c r="J123" s="36"/>
      <c r="K123" s="36"/>
      <c r="L123" s="36"/>
      <c r="M123" s="34"/>
      <c r="N123" s="36"/>
    </row>
    <row r="124" ht="15.75" customHeight="1">
      <c r="B124" s="34"/>
      <c r="C124" s="36"/>
      <c r="D124" s="36"/>
      <c r="E124" s="36"/>
      <c r="F124" s="43"/>
      <c r="G124" s="36"/>
      <c r="H124" s="36"/>
      <c r="I124" s="36"/>
      <c r="J124" s="36"/>
      <c r="K124" s="36"/>
      <c r="L124" s="36"/>
      <c r="M124" s="34"/>
      <c r="N124" s="36"/>
    </row>
    <row r="125" ht="15.75" customHeight="1">
      <c r="B125" s="34"/>
      <c r="C125" s="36"/>
      <c r="D125" s="36"/>
      <c r="E125" s="36"/>
      <c r="F125" s="43"/>
      <c r="G125" s="36"/>
      <c r="H125" s="36"/>
      <c r="I125" s="36"/>
      <c r="J125" s="36"/>
      <c r="K125" s="36"/>
      <c r="L125" s="36"/>
      <c r="M125" s="34"/>
      <c r="N125" s="36"/>
    </row>
    <row r="126" ht="15.75" customHeight="1">
      <c r="B126" s="34"/>
      <c r="C126" s="36"/>
      <c r="D126" s="36"/>
      <c r="E126" s="36"/>
      <c r="F126" s="43"/>
      <c r="G126" s="36"/>
      <c r="H126" s="36"/>
      <c r="I126" s="36"/>
      <c r="J126" s="36"/>
      <c r="K126" s="36"/>
      <c r="L126" s="36"/>
      <c r="M126" s="34"/>
      <c r="N126" s="36"/>
    </row>
    <row r="127" ht="15.75" customHeight="1">
      <c r="B127" s="34"/>
      <c r="C127" s="36"/>
      <c r="D127" s="36"/>
      <c r="E127" s="36"/>
      <c r="F127" s="43"/>
      <c r="G127" s="36"/>
      <c r="H127" s="36"/>
      <c r="I127" s="36"/>
      <c r="J127" s="36"/>
      <c r="K127" s="36"/>
      <c r="L127" s="36"/>
      <c r="M127" s="34"/>
      <c r="N127" s="36"/>
    </row>
    <row r="128" ht="15.75" customHeight="1">
      <c r="B128" s="34"/>
      <c r="C128" s="36"/>
      <c r="D128" s="36"/>
      <c r="E128" s="36"/>
      <c r="F128" s="43"/>
      <c r="G128" s="36"/>
      <c r="H128" s="36"/>
      <c r="I128" s="36"/>
      <c r="J128" s="36"/>
      <c r="K128" s="36"/>
      <c r="L128" s="36"/>
      <c r="M128" s="34"/>
      <c r="N128" s="36"/>
    </row>
    <row r="129" ht="15.75" customHeight="1">
      <c r="B129" s="34"/>
      <c r="C129" s="36"/>
      <c r="D129" s="36"/>
      <c r="E129" s="36"/>
      <c r="F129" s="43"/>
      <c r="G129" s="36"/>
      <c r="H129" s="36"/>
      <c r="I129" s="36"/>
      <c r="J129" s="36"/>
      <c r="K129" s="36"/>
      <c r="L129" s="36"/>
      <c r="M129" s="34"/>
      <c r="N129" s="36"/>
    </row>
    <row r="130" ht="15.75" customHeight="1">
      <c r="B130" s="34"/>
      <c r="C130" s="36"/>
      <c r="D130" s="36"/>
      <c r="E130" s="36"/>
      <c r="F130" s="43"/>
      <c r="G130" s="36"/>
      <c r="H130" s="36"/>
      <c r="I130" s="36"/>
      <c r="J130" s="36"/>
      <c r="K130" s="36"/>
      <c r="L130" s="36"/>
      <c r="M130" s="34"/>
      <c r="N130" s="36"/>
    </row>
    <row r="131" ht="15.75" customHeight="1">
      <c r="B131" s="7"/>
      <c r="M131" s="7"/>
    </row>
    <row r="132" ht="15.75" customHeight="1">
      <c r="B132" s="7"/>
      <c r="M132" s="7"/>
    </row>
    <row r="133" ht="15.75" customHeight="1">
      <c r="B133" s="7"/>
      <c r="M133" s="7"/>
    </row>
    <row r="134" ht="15.75" customHeight="1">
      <c r="B134" s="7"/>
      <c r="M134" s="7"/>
    </row>
    <row r="135" ht="15.75" customHeight="1">
      <c r="B135" s="7"/>
      <c r="M135" s="7"/>
    </row>
    <row r="136" ht="15.75" customHeight="1">
      <c r="B136" s="7"/>
      <c r="M136" s="7"/>
    </row>
    <row r="137" ht="15.75" customHeight="1">
      <c r="B137" s="7"/>
      <c r="M137" s="7"/>
    </row>
    <row r="138" ht="15.75" customHeight="1">
      <c r="B138" s="7"/>
      <c r="M138" s="7"/>
    </row>
    <row r="139" ht="15.75" customHeight="1">
      <c r="B139" s="7"/>
      <c r="M139" s="7"/>
    </row>
    <row r="140" ht="15.75" customHeight="1">
      <c r="B140" s="7"/>
      <c r="M140" s="7"/>
    </row>
    <row r="141" ht="15.75" customHeight="1">
      <c r="B141" s="7"/>
      <c r="M141" s="7"/>
    </row>
    <row r="142" ht="15.75" customHeight="1">
      <c r="B142" s="7"/>
      <c r="M142" s="7"/>
    </row>
    <row r="143" ht="15.75" customHeight="1">
      <c r="B143" s="7"/>
      <c r="M143" s="7"/>
    </row>
    <row r="144" ht="15.75" customHeight="1">
      <c r="B144" s="7"/>
      <c r="M144" s="7"/>
    </row>
    <row r="145" ht="15.75" customHeight="1">
      <c r="B145" s="7"/>
      <c r="M145" s="7"/>
    </row>
    <row r="146" ht="15.75" customHeight="1">
      <c r="B146" s="7"/>
      <c r="M146" s="7"/>
    </row>
    <row r="147" ht="15.75" customHeight="1">
      <c r="B147" s="7"/>
      <c r="M147" s="7"/>
    </row>
    <row r="148" ht="15.75" customHeight="1">
      <c r="B148" s="7"/>
      <c r="M148" s="7"/>
    </row>
    <row r="149" ht="15.75" customHeight="1">
      <c r="B149" s="7"/>
      <c r="M149" s="7"/>
    </row>
    <row r="150" ht="15.75" customHeight="1">
      <c r="B150" s="7"/>
      <c r="M150" s="7"/>
    </row>
    <row r="151" ht="15.75" customHeight="1">
      <c r="B151" s="7"/>
      <c r="M151" s="7"/>
    </row>
    <row r="152" ht="15.75" customHeight="1">
      <c r="B152" s="7"/>
      <c r="M152" s="7"/>
    </row>
    <row r="153" ht="15.75" customHeight="1">
      <c r="B153" s="7"/>
      <c r="M153" s="7"/>
    </row>
    <row r="154" ht="15.75" customHeight="1">
      <c r="B154" s="7"/>
      <c r="M154" s="7"/>
    </row>
    <row r="155" ht="15.75" customHeight="1">
      <c r="B155" s="7"/>
      <c r="M155" s="7"/>
    </row>
    <row r="156" ht="15.75" customHeight="1">
      <c r="B156" s="7"/>
      <c r="M156" s="7"/>
    </row>
    <row r="157" ht="15.75" customHeight="1">
      <c r="B157" s="7"/>
      <c r="M157" s="7"/>
    </row>
    <row r="158" ht="15.75" customHeight="1">
      <c r="B158" s="7"/>
      <c r="M158" s="7"/>
    </row>
    <row r="159" ht="15.75" customHeight="1">
      <c r="B159" s="7"/>
      <c r="M159" s="7"/>
    </row>
    <row r="160" ht="15.75" customHeight="1">
      <c r="B160" s="7"/>
      <c r="M160" s="7"/>
    </row>
    <row r="161" ht="15.75" customHeight="1">
      <c r="B161" s="7"/>
      <c r="M161" s="7"/>
    </row>
    <row r="162" ht="15.75" customHeight="1">
      <c r="B162" s="7"/>
      <c r="M162" s="7"/>
    </row>
    <row r="163" ht="15.75" customHeight="1">
      <c r="B163" s="7"/>
      <c r="M163" s="7"/>
    </row>
    <row r="164" ht="15.75" customHeight="1">
      <c r="B164" s="7"/>
      <c r="M164" s="7"/>
    </row>
    <row r="165" ht="15.75" customHeight="1">
      <c r="B165" s="7"/>
      <c r="M165" s="7"/>
    </row>
    <row r="166" ht="15.75" customHeight="1">
      <c r="B166" s="7"/>
      <c r="M166" s="7"/>
    </row>
    <row r="167" ht="15.75" customHeight="1">
      <c r="B167" s="7"/>
      <c r="M167" s="7"/>
    </row>
    <row r="168" ht="15.75" customHeight="1">
      <c r="B168" s="7"/>
      <c r="M168" s="7"/>
    </row>
    <row r="169" ht="15.75" customHeight="1">
      <c r="B169" s="7"/>
      <c r="M169" s="7"/>
    </row>
    <row r="170" ht="15.75" customHeight="1">
      <c r="B170" s="7"/>
      <c r="M170" s="7"/>
    </row>
    <row r="171" ht="15.75" customHeight="1">
      <c r="B171" s="7"/>
      <c r="M171" s="7"/>
    </row>
    <row r="172" ht="15.75" customHeight="1">
      <c r="B172" s="7"/>
      <c r="M172" s="7"/>
    </row>
    <row r="173" ht="15.75" customHeight="1">
      <c r="B173" s="7"/>
      <c r="M173" s="7"/>
    </row>
    <row r="174" ht="15.75" customHeight="1">
      <c r="B174" s="7"/>
      <c r="M174" s="7"/>
    </row>
    <row r="175" ht="15.75" customHeight="1">
      <c r="B175" s="7"/>
      <c r="M175" s="7"/>
    </row>
    <row r="176" ht="15.75" customHeight="1">
      <c r="B176" s="7"/>
      <c r="M176" s="7"/>
    </row>
    <row r="177" ht="15.75" customHeight="1">
      <c r="B177" s="7"/>
      <c r="M177" s="7"/>
    </row>
    <row r="178" ht="15.75" customHeight="1">
      <c r="B178" s="7"/>
      <c r="M178" s="7"/>
    </row>
    <row r="179" ht="15.75" customHeight="1">
      <c r="B179" s="7"/>
      <c r="M179" s="7"/>
    </row>
    <row r="180" ht="15.75" customHeight="1">
      <c r="B180" s="7"/>
      <c r="M180" s="7"/>
    </row>
    <row r="181" ht="15.75" customHeight="1">
      <c r="B181" s="7"/>
      <c r="M181" s="7"/>
    </row>
    <row r="182" ht="15.75" customHeight="1">
      <c r="B182" s="7"/>
      <c r="M182" s="7"/>
    </row>
    <row r="183" ht="15.75" customHeight="1">
      <c r="B183" s="7"/>
      <c r="M183" s="7"/>
    </row>
    <row r="184" ht="15.75" customHeight="1">
      <c r="B184" s="7"/>
      <c r="M184" s="7"/>
    </row>
    <row r="185" ht="15.75" customHeight="1">
      <c r="B185" s="7"/>
      <c r="M185" s="7"/>
    </row>
    <row r="186" ht="15.75" customHeight="1">
      <c r="B186" s="7"/>
      <c r="M186" s="7"/>
    </row>
    <row r="187" ht="15.75" customHeight="1">
      <c r="B187" s="7"/>
      <c r="M187" s="7"/>
    </row>
    <row r="188" ht="15.75" customHeight="1">
      <c r="B188" s="7"/>
      <c r="M188" s="7"/>
    </row>
    <row r="189" ht="15.75" customHeight="1">
      <c r="B189" s="7"/>
      <c r="M189" s="7"/>
    </row>
    <row r="190" ht="15.75" customHeight="1">
      <c r="B190" s="7"/>
      <c r="M190" s="7"/>
    </row>
    <row r="191" ht="15.75" customHeight="1">
      <c r="B191" s="7"/>
      <c r="M191" s="7"/>
    </row>
    <row r="192" ht="15.75" customHeight="1">
      <c r="B192" s="7"/>
      <c r="M192" s="7"/>
    </row>
    <row r="193" ht="15.75" customHeight="1">
      <c r="B193" s="7"/>
      <c r="M193" s="7"/>
    </row>
    <row r="194" ht="15.75" customHeight="1">
      <c r="B194" s="7"/>
      <c r="M194" s="7"/>
    </row>
    <row r="195" ht="15.75" customHeight="1">
      <c r="B195" s="7"/>
      <c r="M195" s="7"/>
    </row>
    <row r="196" ht="15.75" customHeight="1">
      <c r="B196" s="7"/>
      <c r="M196" s="7"/>
    </row>
    <row r="197" ht="15.75" customHeight="1">
      <c r="B197" s="7"/>
      <c r="M197" s="7"/>
    </row>
    <row r="198" ht="15.75" customHeight="1">
      <c r="B198" s="7"/>
      <c r="M198" s="7"/>
    </row>
    <row r="199" ht="15.75" customHeight="1">
      <c r="B199" s="7"/>
      <c r="M199" s="7"/>
    </row>
    <row r="200" ht="15.75" customHeight="1">
      <c r="B200" s="7"/>
      <c r="M200" s="7"/>
    </row>
    <row r="201" ht="15.75" customHeight="1">
      <c r="B201" s="7"/>
      <c r="M201" s="7"/>
    </row>
    <row r="202" ht="15.75" customHeight="1">
      <c r="B202" s="7"/>
      <c r="M202" s="7"/>
    </row>
    <row r="203" ht="15.75" customHeight="1">
      <c r="B203" s="7"/>
      <c r="M203" s="7"/>
    </row>
    <row r="204" ht="15.75" customHeight="1">
      <c r="B204" s="7"/>
      <c r="M204" s="7"/>
    </row>
    <row r="205" ht="15.75" customHeight="1">
      <c r="B205" s="7"/>
      <c r="M205" s="7"/>
    </row>
    <row r="206" ht="15.75" customHeight="1">
      <c r="B206" s="7"/>
      <c r="M206" s="7"/>
    </row>
    <row r="207" ht="15.75" customHeight="1">
      <c r="B207" s="7"/>
      <c r="M207" s="7"/>
    </row>
    <row r="208" ht="15.75" customHeight="1">
      <c r="B208" s="7"/>
      <c r="M208" s="7"/>
    </row>
    <row r="209" ht="15.75" customHeight="1">
      <c r="B209" s="7"/>
      <c r="M209" s="7"/>
    </row>
    <row r="210" ht="15.75" customHeight="1">
      <c r="B210" s="7"/>
      <c r="M210" s="7"/>
    </row>
    <row r="211" ht="15.75" customHeight="1">
      <c r="B211" s="7"/>
      <c r="M211" s="7"/>
    </row>
    <row r="212" ht="15.75" customHeight="1">
      <c r="B212" s="7"/>
      <c r="M212" s="7"/>
    </row>
    <row r="213" ht="15.75" customHeight="1">
      <c r="B213" s="7"/>
      <c r="M213" s="7"/>
    </row>
    <row r="214" ht="15.75" customHeight="1">
      <c r="B214" s="7"/>
      <c r="M214" s="7"/>
    </row>
    <row r="215" ht="15.75" customHeight="1">
      <c r="B215" s="7"/>
      <c r="M215" s="7"/>
    </row>
    <row r="216" ht="15.75" customHeight="1">
      <c r="B216" s="7"/>
      <c r="M216" s="7"/>
    </row>
    <row r="217" ht="15.75" customHeight="1">
      <c r="B217" s="7"/>
      <c r="M217" s="7"/>
    </row>
    <row r="218" ht="15.75" customHeight="1">
      <c r="B218" s="7"/>
      <c r="M218" s="7"/>
    </row>
    <row r="219" ht="15.75" customHeight="1">
      <c r="B219" s="7"/>
      <c r="M219" s="7"/>
    </row>
    <row r="220" ht="15.75" customHeight="1">
      <c r="B220" s="7"/>
      <c r="M220" s="7"/>
    </row>
    <row r="221" ht="15.75" customHeight="1">
      <c r="B221" s="7"/>
      <c r="M221" s="7"/>
    </row>
    <row r="222" ht="15.75" customHeight="1">
      <c r="B222" s="7"/>
      <c r="M222" s="7"/>
    </row>
    <row r="223" ht="15.75" customHeight="1">
      <c r="B223" s="7"/>
      <c r="M223" s="7"/>
    </row>
    <row r="224" ht="15.75" customHeight="1">
      <c r="B224" s="7"/>
      <c r="M224" s="7"/>
    </row>
    <row r="225" ht="15.75" customHeight="1">
      <c r="B225" s="7"/>
      <c r="M225" s="7"/>
    </row>
    <row r="226" ht="15.75" customHeight="1">
      <c r="B226" s="7"/>
      <c r="M226" s="7"/>
    </row>
    <row r="227" ht="15.75" customHeight="1">
      <c r="B227" s="7"/>
      <c r="M227" s="7"/>
    </row>
    <row r="228" ht="15.75" customHeight="1">
      <c r="B228" s="7"/>
      <c r="M228" s="7"/>
    </row>
    <row r="229" ht="15.75" customHeight="1">
      <c r="B229" s="7"/>
      <c r="M229" s="7"/>
    </row>
    <row r="230" ht="15.75" customHeight="1">
      <c r="B230" s="7"/>
      <c r="M230" s="7"/>
    </row>
    <row r="231" ht="15.75" customHeight="1">
      <c r="B231" s="7"/>
      <c r="M231" s="7"/>
    </row>
    <row r="232" ht="15.75" customHeight="1">
      <c r="B232" s="7"/>
      <c r="M232" s="7"/>
    </row>
    <row r="233" ht="15.75" customHeight="1">
      <c r="B233" s="7"/>
      <c r="M233" s="7"/>
    </row>
    <row r="234" ht="15.75" customHeight="1">
      <c r="B234" s="7"/>
      <c r="M234" s="7"/>
    </row>
    <row r="235" ht="15.75" customHeight="1">
      <c r="B235" s="7"/>
      <c r="M235" s="7"/>
    </row>
    <row r="236" ht="15.75" customHeight="1">
      <c r="B236" s="7"/>
      <c r="M236" s="7"/>
    </row>
    <row r="237" ht="15.75" customHeight="1">
      <c r="B237" s="7"/>
      <c r="M237" s="7"/>
    </row>
    <row r="238" ht="15.75" customHeight="1">
      <c r="B238" s="7"/>
      <c r="M238" s="7"/>
    </row>
    <row r="239" ht="15.75" customHeight="1">
      <c r="B239" s="7"/>
      <c r="M239" s="7"/>
    </row>
    <row r="240" ht="15.75" customHeight="1">
      <c r="B240" s="7"/>
      <c r="M240" s="7"/>
    </row>
    <row r="241" ht="15.75" customHeight="1">
      <c r="B241" s="7"/>
      <c r="M241" s="7"/>
    </row>
    <row r="242" ht="15.75" customHeight="1">
      <c r="B242" s="7"/>
      <c r="M242" s="7"/>
    </row>
    <row r="243" ht="15.75" customHeight="1">
      <c r="B243" s="7"/>
      <c r="M243" s="7"/>
    </row>
    <row r="244" ht="15.75" customHeight="1">
      <c r="B244" s="7"/>
      <c r="M244" s="7"/>
    </row>
    <row r="245" ht="15.75" customHeight="1">
      <c r="B245" s="7"/>
      <c r="M245" s="7"/>
    </row>
    <row r="246" ht="15.75" customHeight="1">
      <c r="B246" s="7"/>
      <c r="M246" s="7"/>
    </row>
    <row r="247" ht="15.75" customHeight="1">
      <c r="B247" s="7"/>
      <c r="M247" s="7"/>
    </row>
    <row r="248" ht="15.75" customHeight="1">
      <c r="B248" s="7"/>
      <c r="M248" s="7"/>
    </row>
    <row r="249" ht="15.75" customHeight="1">
      <c r="B249" s="7"/>
      <c r="M249" s="7"/>
    </row>
    <row r="250" ht="15.75" customHeight="1">
      <c r="B250" s="7"/>
      <c r="M250" s="7"/>
    </row>
    <row r="251" ht="15.75" customHeight="1">
      <c r="B251" s="7"/>
      <c r="M251" s="7"/>
    </row>
    <row r="252" ht="15.75" customHeight="1">
      <c r="B252" s="7"/>
      <c r="M252" s="7"/>
    </row>
    <row r="253" ht="15.75" customHeight="1">
      <c r="B253" s="7"/>
      <c r="M253" s="7"/>
    </row>
    <row r="254" ht="15.75" customHeight="1">
      <c r="B254" s="7"/>
      <c r="M254" s="7"/>
    </row>
    <row r="255" ht="15.75" customHeight="1">
      <c r="B255" s="7"/>
      <c r="M255" s="7"/>
    </row>
    <row r="256" ht="15.75" customHeight="1">
      <c r="B256" s="7"/>
      <c r="M256" s="7"/>
    </row>
    <row r="257" ht="15.75" customHeight="1">
      <c r="B257" s="7"/>
      <c r="M257" s="7"/>
    </row>
    <row r="258" ht="15.75" customHeight="1">
      <c r="B258" s="7"/>
      <c r="M258" s="7"/>
    </row>
    <row r="259" ht="15.75" customHeight="1">
      <c r="B259" s="7"/>
      <c r="M259" s="7"/>
    </row>
    <row r="260" ht="15.75" customHeight="1">
      <c r="B260" s="7"/>
      <c r="M260" s="7"/>
    </row>
    <row r="261" ht="15.75" customHeight="1">
      <c r="B261" s="7"/>
      <c r="M261" s="7"/>
    </row>
    <row r="262" ht="15.75" customHeight="1">
      <c r="B262" s="7"/>
      <c r="M262" s="7"/>
    </row>
    <row r="263" ht="15.75" customHeight="1">
      <c r="B263" s="7"/>
      <c r="M263" s="7"/>
    </row>
    <row r="264" ht="15.75" customHeight="1">
      <c r="B264" s="7"/>
      <c r="M264" s="7"/>
    </row>
    <row r="265" ht="15.75" customHeight="1">
      <c r="B265" s="7"/>
      <c r="M265" s="7"/>
    </row>
    <row r="266" ht="15.75" customHeight="1">
      <c r="B266" s="7"/>
      <c r="M266" s="7"/>
    </row>
    <row r="267" ht="15.75" customHeight="1">
      <c r="B267" s="7"/>
      <c r="M267" s="7"/>
    </row>
    <row r="268" ht="15.75" customHeight="1">
      <c r="B268" s="7"/>
      <c r="M268" s="7"/>
    </row>
    <row r="269" ht="15.75" customHeight="1">
      <c r="B269" s="7"/>
      <c r="M269" s="7"/>
    </row>
    <row r="270" ht="15.75" customHeight="1">
      <c r="B270" s="7"/>
      <c r="M270" s="7"/>
    </row>
    <row r="271" ht="15.75" customHeight="1">
      <c r="B271" s="7"/>
      <c r="M271" s="7"/>
    </row>
    <row r="272" ht="15.75" customHeight="1">
      <c r="B272" s="7"/>
      <c r="M272" s="7"/>
    </row>
    <row r="273" ht="15.75" customHeight="1">
      <c r="B273" s="7"/>
      <c r="M273" s="7"/>
    </row>
    <row r="274" ht="15.75" customHeight="1">
      <c r="B274" s="7"/>
      <c r="M274" s="7"/>
    </row>
    <row r="275" ht="15.75" customHeight="1">
      <c r="B275" s="7"/>
      <c r="M275" s="7"/>
    </row>
    <row r="276" ht="15.75" customHeight="1">
      <c r="B276" s="7"/>
      <c r="M276" s="7"/>
    </row>
    <row r="277" ht="15.75" customHeight="1">
      <c r="B277" s="7"/>
      <c r="M277" s="7"/>
    </row>
    <row r="278" ht="15.75" customHeight="1">
      <c r="B278" s="7"/>
      <c r="M278" s="7"/>
    </row>
    <row r="279" ht="15.75" customHeight="1">
      <c r="B279" s="7"/>
      <c r="M279" s="7"/>
    </row>
    <row r="280" ht="15.75" customHeight="1">
      <c r="B280" s="7"/>
      <c r="M280" s="7"/>
    </row>
    <row r="281" ht="15.75" customHeight="1">
      <c r="B281" s="7"/>
      <c r="M281" s="7"/>
    </row>
    <row r="282" ht="15.75" customHeight="1">
      <c r="B282" s="7"/>
      <c r="M282" s="7"/>
    </row>
    <row r="283" ht="15.75" customHeight="1">
      <c r="B283" s="7"/>
      <c r="M283" s="7"/>
    </row>
    <row r="284" ht="15.75" customHeight="1">
      <c r="B284" s="7"/>
      <c r="M284" s="7"/>
    </row>
    <row r="285" ht="15.75" customHeight="1">
      <c r="B285" s="7"/>
      <c r="M285" s="7"/>
    </row>
    <row r="286" ht="15.75" customHeight="1">
      <c r="B286" s="7"/>
      <c r="M286" s="7"/>
    </row>
    <row r="287" ht="15.75" customHeight="1">
      <c r="B287" s="7"/>
      <c r="M287" s="7"/>
    </row>
    <row r="288" ht="15.75" customHeight="1">
      <c r="B288" s="7"/>
      <c r="M288" s="7"/>
    </row>
    <row r="289" ht="15.75" customHeight="1">
      <c r="B289" s="7"/>
      <c r="M289" s="7"/>
    </row>
    <row r="290" ht="15.75" customHeight="1">
      <c r="B290" s="7"/>
      <c r="M290" s="7"/>
    </row>
    <row r="291" ht="15.75" customHeight="1">
      <c r="B291" s="7"/>
      <c r="M291" s="7"/>
    </row>
    <row r="292" ht="15.75" customHeight="1">
      <c r="B292" s="7"/>
      <c r="M292" s="7"/>
    </row>
    <row r="293" ht="15.75" customHeight="1">
      <c r="B293" s="7"/>
      <c r="M293" s="7"/>
    </row>
    <row r="294" ht="15.75" customHeight="1">
      <c r="B294" s="7"/>
      <c r="M294" s="7"/>
    </row>
    <row r="295" ht="15.75" customHeight="1">
      <c r="B295" s="7"/>
      <c r="M295" s="7"/>
    </row>
    <row r="296" ht="15.75" customHeight="1">
      <c r="B296" s="7"/>
      <c r="M296" s="7"/>
    </row>
    <row r="297" ht="15.75" customHeight="1">
      <c r="B297" s="7"/>
      <c r="M297" s="7"/>
    </row>
    <row r="298" ht="15.75" customHeight="1">
      <c r="B298" s="7"/>
      <c r="M298" s="7"/>
    </row>
    <row r="299" ht="15.75" customHeight="1">
      <c r="B299" s="7"/>
      <c r="M299" s="7"/>
    </row>
    <row r="300" ht="15.75" customHeight="1">
      <c r="B300" s="7"/>
      <c r="M300" s="7"/>
    </row>
    <row r="301" ht="15.75" customHeight="1">
      <c r="B301" s="7"/>
      <c r="M301" s="7"/>
    </row>
    <row r="302" ht="15.75" customHeight="1">
      <c r="B302" s="7"/>
      <c r="M302" s="7"/>
    </row>
    <row r="303" ht="15.75" customHeight="1">
      <c r="B303" s="7"/>
      <c r="M303" s="7"/>
    </row>
    <row r="304" ht="15.75" customHeight="1">
      <c r="B304" s="7"/>
      <c r="M304" s="7"/>
    </row>
    <row r="305" ht="15.75" customHeight="1">
      <c r="B305" s="7"/>
      <c r="M305" s="7"/>
    </row>
    <row r="306" ht="15.75" customHeight="1">
      <c r="B306" s="7"/>
      <c r="M306" s="7"/>
    </row>
    <row r="307" ht="15.75" customHeight="1">
      <c r="B307" s="7"/>
      <c r="M307" s="7"/>
    </row>
    <row r="308" ht="15.75" customHeight="1">
      <c r="B308" s="7"/>
      <c r="M308" s="7"/>
    </row>
    <row r="309" ht="15.75" customHeight="1">
      <c r="B309" s="7"/>
      <c r="M309" s="7"/>
    </row>
    <row r="310" ht="15.75" customHeight="1">
      <c r="B310" s="7"/>
      <c r="M310" s="7"/>
    </row>
    <row r="311" ht="15.75" customHeight="1">
      <c r="B311" s="7"/>
      <c r="M311" s="7"/>
    </row>
    <row r="312" ht="15.75" customHeight="1">
      <c r="B312" s="7"/>
      <c r="M312" s="7"/>
    </row>
    <row r="313" ht="15.75" customHeight="1">
      <c r="B313" s="7"/>
      <c r="M313" s="7"/>
    </row>
    <row r="314" ht="15.75" customHeight="1">
      <c r="B314" s="7"/>
      <c r="M314" s="7"/>
    </row>
    <row r="315" ht="15.75" customHeight="1">
      <c r="B315" s="7"/>
      <c r="M315" s="7"/>
    </row>
    <row r="316" ht="15.75" customHeight="1">
      <c r="B316" s="7"/>
      <c r="M316" s="7"/>
    </row>
    <row r="317" ht="15.75" customHeight="1">
      <c r="B317" s="7"/>
      <c r="M317" s="7"/>
    </row>
    <row r="318" ht="15.75" customHeight="1">
      <c r="B318" s="7"/>
      <c r="M318" s="7"/>
    </row>
    <row r="319" ht="15.75" customHeight="1">
      <c r="B319" s="7"/>
      <c r="M319" s="7"/>
    </row>
    <row r="320" ht="15.75" customHeight="1">
      <c r="B320" s="7"/>
      <c r="M320" s="7"/>
    </row>
    <row r="321" ht="15.75" customHeight="1">
      <c r="B321" s="7"/>
      <c r="M321" s="7"/>
    </row>
    <row r="322" ht="15.75" customHeight="1">
      <c r="B322" s="7"/>
      <c r="M322" s="7"/>
    </row>
    <row r="323" ht="15.75" customHeight="1">
      <c r="B323" s="7"/>
      <c r="M323" s="7"/>
    </row>
    <row r="324" ht="15.75" customHeight="1">
      <c r="B324" s="7"/>
      <c r="M324" s="7"/>
    </row>
    <row r="325" ht="15.75" customHeight="1">
      <c r="B325" s="7"/>
      <c r="M325" s="7"/>
    </row>
    <row r="326" ht="15.75" customHeight="1">
      <c r="B326" s="7"/>
      <c r="M326" s="7"/>
    </row>
    <row r="327" ht="15.75" customHeight="1">
      <c r="B327" s="7"/>
      <c r="M327" s="7"/>
    </row>
    <row r="328" ht="15.75" customHeight="1">
      <c r="B328" s="7"/>
      <c r="M328" s="7"/>
    </row>
    <row r="329" ht="15.75" customHeight="1">
      <c r="B329" s="7"/>
      <c r="M329" s="7"/>
    </row>
    <row r="330" ht="15.75" customHeight="1">
      <c r="B330" s="7"/>
      <c r="M330" s="7"/>
    </row>
    <row r="331" ht="15.75" customHeight="1">
      <c r="B331" s="7"/>
      <c r="M331" s="7"/>
    </row>
    <row r="332" ht="15.75" customHeight="1">
      <c r="B332" s="7"/>
      <c r="M332" s="7"/>
    </row>
    <row r="333" ht="15.75" customHeight="1">
      <c r="B333" s="7"/>
      <c r="M333" s="7"/>
    </row>
    <row r="334" ht="15.75" customHeight="1">
      <c r="B334" s="7"/>
      <c r="M334" s="7"/>
    </row>
    <row r="335" ht="15.75" customHeight="1">
      <c r="B335" s="7"/>
      <c r="M335" s="7"/>
    </row>
    <row r="336" ht="15.75" customHeight="1">
      <c r="B336" s="7"/>
      <c r="M336" s="7"/>
    </row>
    <row r="337" ht="15.75" customHeight="1">
      <c r="B337" s="7"/>
      <c r="M337" s="7"/>
    </row>
    <row r="338" ht="15.75" customHeight="1">
      <c r="B338" s="7"/>
      <c r="M338" s="7"/>
    </row>
    <row r="339" ht="15.75" customHeight="1">
      <c r="B339" s="7"/>
      <c r="M339" s="7"/>
    </row>
    <row r="340" ht="15.75" customHeight="1">
      <c r="B340" s="7"/>
      <c r="M340" s="7"/>
    </row>
    <row r="341" ht="15.75" customHeight="1">
      <c r="B341" s="7"/>
      <c r="M341" s="7"/>
    </row>
    <row r="342" ht="15.75" customHeight="1">
      <c r="B342" s="7"/>
      <c r="M342" s="7"/>
    </row>
    <row r="343" ht="15.75" customHeight="1">
      <c r="B343" s="7"/>
      <c r="M343" s="7"/>
    </row>
    <row r="344" ht="15.75" customHeight="1">
      <c r="B344" s="7"/>
      <c r="M344" s="7"/>
    </row>
    <row r="345" ht="15.75" customHeight="1">
      <c r="B345" s="7"/>
      <c r="M345" s="7"/>
    </row>
    <row r="346" ht="15.75" customHeight="1">
      <c r="B346" s="7"/>
      <c r="M346" s="7"/>
    </row>
    <row r="347" ht="15.75" customHeight="1">
      <c r="B347" s="7"/>
      <c r="M347" s="7"/>
    </row>
    <row r="348" ht="15.75" customHeight="1">
      <c r="B348" s="7"/>
      <c r="M348" s="7"/>
    </row>
    <row r="349" ht="15.75" customHeight="1">
      <c r="B349" s="7"/>
      <c r="M349" s="7"/>
    </row>
    <row r="350" ht="15.75" customHeight="1">
      <c r="B350" s="7"/>
      <c r="M350" s="7"/>
    </row>
    <row r="351" ht="15.75" customHeight="1">
      <c r="B351" s="7"/>
      <c r="M351" s="7"/>
    </row>
    <row r="352" ht="15.75" customHeight="1">
      <c r="B352" s="7"/>
      <c r="M352" s="7"/>
    </row>
    <row r="353" ht="15.75" customHeight="1">
      <c r="B353" s="7"/>
      <c r="M353" s="7"/>
    </row>
    <row r="354" ht="15.75" customHeight="1">
      <c r="B354" s="7"/>
      <c r="M354" s="7"/>
    </row>
    <row r="355" ht="15.75" customHeight="1">
      <c r="B355" s="7"/>
      <c r="M355" s="7"/>
    </row>
    <row r="356" ht="15.75" customHeight="1">
      <c r="B356" s="7"/>
      <c r="M356" s="7"/>
    </row>
    <row r="357" ht="15.75" customHeight="1">
      <c r="B357" s="7"/>
      <c r="M357" s="7"/>
    </row>
    <row r="358" ht="15.75" customHeight="1">
      <c r="B358" s="7"/>
      <c r="M358" s="7"/>
    </row>
    <row r="359" ht="15.75" customHeight="1">
      <c r="B359" s="7"/>
      <c r="M359" s="7"/>
    </row>
    <row r="360" ht="15.75" customHeight="1">
      <c r="B360" s="7"/>
      <c r="M360" s="7"/>
    </row>
    <row r="361" ht="15.75" customHeight="1">
      <c r="B361" s="7"/>
      <c r="M361" s="7"/>
    </row>
    <row r="362" ht="15.75" customHeight="1">
      <c r="B362" s="7"/>
      <c r="M362" s="7"/>
    </row>
    <row r="363" ht="15.75" customHeight="1">
      <c r="B363" s="7"/>
      <c r="M363" s="7"/>
    </row>
    <row r="364" ht="15.75" customHeight="1">
      <c r="B364" s="7"/>
      <c r="M364" s="7"/>
    </row>
    <row r="365" ht="15.75" customHeight="1">
      <c r="B365" s="7"/>
      <c r="M365" s="7"/>
    </row>
    <row r="366" ht="15.75" customHeight="1">
      <c r="B366" s="7"/>
      <c r="M366" s="7"/>
    </row>
    <row r="367" ht="15.75" customHeight="1">
      <c r="B367" s="7"/>
      <c r="M367" s="7"/>
    </row>
    <row r="368" ht="15.75" customHeight="1">
      <c r="B368" s="7"/>
      <c r="M368" s="7"/>
    </row>
    <row r="369" ht="15.75" customHeight="1">
      <c r="B369" s="7"/>
      <c r="M369" s="7"/>
    </row>
    <row r="370" ht="15.75" customHeight="1">
      <c r="B370" s="7"/>
      <c r="M370" s="7"/>
    </row>
    <row r="371" ht="15.75" customHeight="1">
      <c r="B371" s="7"/>
      <c r="M371" s="7"/>
    </row>
    <row r="372" ht="15.75" customHeight="1">
      <c r="B372" s="7"/>
      <c r="M372" s="7"/>
    </row>
    <row r="373" ht="15.75" customHeight="1">
      <c r="B373" s="7"/>
      <c r="M373" s="7"/>
    </row>
    <row r="374" ht="15.75" customHeight="1">
      <c r="B374" s="7"/>
      <c r="M374" s="7"/>
    </row>
    <row r="375" ht="15.75" customHeight="1">
      <c r="B375" s="7"/>
      <c r="M375" s="7"/>
    </row>
    <row r="376" ht="15.75" customHeight="1">
      <c r="B376" s="7"/>
      <c r="M376" s="7"/>
    </row>
    <row r="377" ht="15.75" customHeight="1">
      <c r="B377" s="7"/>
      <c r="M377" s="7"/>
    </row>
    <row r="378" ht="15.75" customHeight="1">
      <c r="B378" s="7"/>
      <c r="M378" s="7"/>
    </row>
    <row r="379" ht="15.75" customHeight="1">
      <c r="B379" s="7"/>
      <c r="M379" s="7"/>
    </row>
    <row r="380" ht="15.75" customHeight="1">
      <c r="B380" s="7"/>
      <c r="M380" s="7"/>
    </row>
    <row r="381" ht="15.75" customHeight="1">
      <c r="B381" s="7"/>
      <c r="M381" s="7"/>
    </row>
    <row r="382" ht="15.75" customHeight="1">
      <c r="B382" s="7"/>
      <c r="M382" s="7"/>
    </row>
    <row r="383" ht="15.75" customHeight="1">
      <c r="B383" s="7"/>
      <c r="M383" s="7"/>
    </row>
    <row r="384" ht="15.75" customHeight="1">
      <c r="B384" s="7"/>
      <c r="M384" s="7"/>
    </row>
    <row r="385" ht="15.75" customHeight="1">
      <c r="B385" s="7"/>
      <c r="M385" s="7"/>
    </row>
    <row r="386" ht="15.75" customHeight="1">
      <c r="B386" s="7"/>
      <c r="M386" s="7"/>
    </row>
    <row r="387" ht="15.75" customHeight="1">
      <c r="B387" s="7"/>
      <c r="M387" s="7"/>
    </row>
    <row r="388" ht="15.75" customHeight="1">
      <c r="B388" s="7"/>
      <c r="M388" s="7"/>
    </row>
    <row r="389" ht="15.75" customHeight="1">
      <c r="B389" s="7"/>
      <c r="M389" s="7"/>
    </row>
    <row r="390" ht="15.75" customHeight="1">
      <c r="B390" s="7"/>
      <c r="M390" s="7"/>
    </row>
    <row r="391" ht="15.75" customHeight="1">
      <c r="B391" s="7"/>
      <c r="M391" s="7"/>
    </row>
    <row r="392" ht="15.75" customHeight="1">
      <c r="B392" s="7"/>
      <c r="M392" s="7"/>
    </row>
    <row r="393" ht="15.75" customHeight="1">
      <c r="B393" s="7"/>
      <c r="M393" s="7"/>
    </row>
    <row r="394" ht="15.75" customHeight="1">
      <c r="B394" s="7"/>
      <c r="M394" s="7"/>
    </row>
    <row r="395" ht="15.75" customHeight="1">
      <c r="B395" s="7"/>
      <c r="M395" s="7"/>
    </row>
    <row r="396" ht="15.75" customHeight="1">
      <c r="B396" s="7"/>
      <c r="M396" s="7"/>
    </row>
    <row r="397" ht="15.75" customHeight="1">
      <c r="B397" s="7"/>
      <c r="M397" s="7"/>
    </row>
    <row r="398" ht="15.75" customHeight="1">
      <c r="B398" s="7"/>
      <c r="M398" s="7"/>
    </row>
    <row r="399" ht="15.75" customHeight="1">
      <c r="B399" s="7"/>
      <c r="M399" s="7"/>
    </row>
    <row r="400" ht="15.75" customHeight="1">
      <c r="B400" s="7"/>
      <c r="M400" s="7"/>
    </row>
    <row r="401" ht="15.75" customHeight="1">
      <c r="B401" s="7"/>
      <c r="M401" s="7"/>
    </row>
    <row r="402" ht="15.75" customHeight="1">
      <c r="B402" s="7"/>
      <c r="M402" s="7"/>
    </row>
    <row r="403" ht="15.75" customHeight="1">
      <c r="B403" s="7"/>
      <c r="M403" s="7"/>
    </row>
    <row r="404" ht="15.75" customHeight="1">
      <c r="B404" s="7"/>
      <c r="M404" s="7"/>
    </row>
    <row r="405" ht="15.75" customHeight="1">
      <c r="B405" s="7"/>
      <c r="M405" s="7"/>
    </row>
    <row r="406" ht="15.75" customHeight="1">
      <c r="B406" s="7"/>
      <c r="M406" s="7"/>
    </row>
    <row r="407" ht="15.75" customHeight="1">
      <c r="B407" s="7"/>
      <c r="M407" s="7"/>
    </row>
    <row r="408" ht="15.75" customHeight="1">
      <c r="B408" s="7"/>
      <c r="M408" s="7"/>
    </row>
    <row r="409" ht="15.75" customHeight="1">
      <c r="B409" s="7"/>
      <c r="M409" s="7"/>
    </row>
    <row r="410" ht="15.75" customHeight="1">
      <c r="B410" s="7"/>
      <c r="M410" s="7"/>
    </row>
    <row r="411" ht="15.75" customHeight="1">
      <c r="B411" s="7"/>
      <c r="M411" s="7"/>
    </row>
    <row r="412" ht="15.75" customHeight="1">
      <c r="B412" s="7"/>
      <c r="M412" s="7"/>
    </row>
    <row r="413" ht="15.75" customHeight="1">
      <c r="B413" s="7"/>
      <c r="M413" s="7"/>
    </row>
    <row r="414" ht="15.75" customHeight="1">
      <c r="B414" s="7"/>
      <c r="M414" s="7"/>
    </row>
    <row r="415" ht="15.75" customHeight="1">
      <c r="B415" s="7"/>
      <c r="M415" s="7"/>
    </row>
    <row r="416" ht="15.75" customHeight="1">
      <c r="B416" s="7"/>
      <c r="M416" s="7"/>
    </row>
    <row r="417" ht="15.75" customHeight="1">
      <c r="B417" s="7"/>
      <c r="M417" s="7"/>
    </row>
    <row r="418" ht="15.75" customHeight="1">
      <c r="B418" s="7"/>
      <c r="M418" s="7"/>
    </row>
    <row r="419" ht="15.75" customHeight="1">
      <c r="B419" s="7"/>
      <c r="M419" s="7"/>
    </row>
    <row r="420" ht="15.75" customHeight="1">
      <c r="B420" s="7"/>
      <c r="M420" s="7"/>
    </row>
    <row r="421" ht="15.75" customHeight="1">
      <c r="B421" s="7"/>
      <c r="M421" s="7"/>
    </row>
    <row r="422" ht="15.75" customHeight="1">
      <c r="B422" s="7"/>
      <c r="M422" s="7"/>
    </row>
    <row r="423" ht="15.75" customHeight="1">
      <c r="B423" s="7"/>
      <c r="M423" s="7"/>
    </row>
    <row r="424" ht="15.75" customHeight="1">
      <c r="B424" s="7"/>
      <c r="M424" s="7"/>
    </row>
    <row r="425" ht="15.75" customHeight="1">
      <c r="B425" s="7"/>
      <c r="M425" s="7"/>
    </row>
    <row r="426" ht="15.75" customHeight="1">
      <c r="B426" s="7"/>
      <c r="M426" s="7"/>
    </row>
    <row r="427" ht="15.75" customHeight="1">
      <c r="B427" s="7"/>
      <c r="M427" s="7"/>
    </row>
    <row r="428" ht="15.75" customHeight="1">
      <c r="B428" s="7"/>
      <c r="M428" s="7"/>
    </row>
    <row r="429" ht="15.75" customHeight="1">
      <c r="B429" s="7"/>
      <c r="M429" s="7"/>
    </row>
    <row r="430" ht="15.75" customHeight="1">
      <c r="B430" s="7"/>
      <c r="M430" s="7"/>
    </row>
    <row r="431" ht="15.75" customHeight="1">
      <c r="B431" s="7"/>
      <c r="M431" s="7"/>
    </row>
    <row r="432" ht="15.75" customHeight="1">
      <c r="B432" s="7"/>
      <c r="M432" s="7"/>
    </row>
    <row r="433" ht="15.75" customHeight="1">
      <c r="B433" s="7"/>
      <c r="M433" s="7"/>
    </row>
    <row r="434" ht="15.75" customHeight="1">
      <c r="B434" s="7"/>
      <c r="M434" s="7"/>
    </row>
    <row r="435" ht="15.75" customHeight="1">
      <c r="B435" s="7"/>
      <c r="M435" s="7"/>
    </row>
    <row r="436" ht="15.75" customHeight="1">
      <c r="B436" s="7"/>
      <c r="M436" s="7"/>
    </row>
    <row r="437" ht="15.75" customHeight="1">
      <c r="B437" s="7"/>
      <c r="M437" s="7"/>
    </row>
    <row r="438" ht="15.75" customHeight="1">
      <c r="B438" s="7"/>
      <c r="M438" s="7"/>
    </row>
    <row r="439" ht="15.75" customHeight="1">
      <c r="B439" s="7"/>
      <c r="M439" s="7"/>
    </row>
    <row r="440" ht="15.75" customHeight="1">
      <c r="B440" s="7"/>
      <c r="M440" s="7"/>
    </row>
    <row r="441" ht="15.75" customHeight="1">
      <c r="B441" s="7"/>
      <c r="M441" s="7"/>
    </row>
    <row r="442" ht="15.75" customHeight="1">
      <c r="B442" s="7"/>
      <c r="M442" s="7"/>
    </row>
    <row r="443" ht="15.75" customHeight="1">
      <c r="B443" s="7"/>
      <c r="M443" s="7"/>
    </row>
    <row r="444" ht="15.75" customHeight="1">
      <c r="B444" s="7"/>
      <c r="M444" s="7"/>
    </row>
    <row r="445" ht="15.75" customHeight="1">
      <c r="B445" s="7"/>
      <c r="M445" s="7"/>
    </row>
    <row r="446" ht="15.75" customHeight="1">
      <c r="B446" s="7"/>
      <c r="M446" s="7"/>
    </row>
    <row r="447" ht="15.75" customHeight="1">
      <c r="B447" s="7"/>
      <c r="M447" s="7"/>
    </row>
    <row r="448" ht="15.75" customHeight="1">
      <c r="B448" s="7"/>
      <c r="M448" s="7"/>
    </row>
    <row r="449" ht="15.75" customHeight="1">
      <c r="B449" s="7"/>
      <c r="M449" s="7"/>
    </row>
    <row r="450" ht="15.75" customHeight="1">
      <c r="B450" s="7"/>
      <c r="M450" s="7"/>
    </row>
    <row r="451" ht="15.75" customHeight="1">
      <c r="B451" s="7"/>
      <c r="M451" s="7"/>
    </row>
    <row r="452" ht="15.75" customHeight="1">
      <c r="B452" s="7"/>
      <c r="M452" s="7"/>
    </row>
    <row r="453" ht="15.75" customHeight="1">
      <c r="B453" s="7"/>
      <c r="M453" s="7"/>
    </row>
    <row r="454" ht="15.75" customHeight="1">
      <c r="B454" s="7"/>
      <c r="M454" s="7"/>
    </row>
    <row r="455" ht="15.75" customHeight="1">
      <c r="B455" s="7"/>
      <c r="M455" s="7"/>
    </row>
    <row r="456" ht="15.75" customHeight="1">
      <c r="B456" s="7"/>
      <c r="M456" s="7"/>
    </row>
    <row r="457" ht="15.75" customHeight="1">
      <c r="B457" s="7"/>
      <c r="M457" s="7"/>
    </row>
    <row r="458" ht="15.75" customHeight="1">
      <c r="B458" s="7"/>
      <c r="M458" s="7"/>
    </row>
    <row r="459" ht="15.75" customHeight="1">
      <c r="B459" s="7"/>
      <c r="M459" s="7"/>
    </row>
    <row r="460" ht="15.75" customHeight="1">
      <c r="B460" s="7"/>
      <c r="M460" s="7"/>
    </row>
    <row r="461" ht="15.75" customHeight="1">
      <c r="B461" s="7"/>
      <c r="M461" s="7"/>
    </row>
    <row r="462" ht="15.75" customHeight="1">
      <c r="B462" s="7"/>
      <c r="M462" s="7"/>
    </row>
    <row r="463" ht="15.75" customHeight="1">
      <c r="B463" s="7"/>
      <c r="M463" s="7"/>
    </row>
    <row r="464" ht="15.75" customHeight="1">
      <c r="B464" s="7"/>
      <c r="M464" s="7"/>
    </row>
    <row r="465" ht="15.75" customHeight="1">
      <c r="B465" s="7"/>
      <c r="M465" s="7"/>
    </row>
    <row r="466" ht="15.75" customHeight="1">
      <c r="B466" s="7"/>
      <c r="M466" s="7"/>
    </row>
    <row r="467" ht="15.75" customHeight="1">
      <c r="B467" s="7"/>
      <c r="M467" s="7"/>
    </row>
    <row r="468" ht="15.75" customHeight="1">
      <c r="B468" s="7"/>
      <c r="M468" s="7"/>
    </row>
    <row r="469" ht="15.75" customHeight="1">
      <c r="B469" s="7"/>
      <c r="M469" s="7"/>
    </row>
    <row r="470" ht="15.75" customHeight="1">
      <c r="B470" s="7"/>
      <c r="M470" s="7"/>
    </row>
    <row r="471" ht="15.75" customHeight="1">
      <c r="B471" s="7"/>
      <c r="M471" s="7"/>
    </row>
    <row r="472" ht="15.75" customHeight="1">
      <c r="B472" s="7"/>
      <c r="M472" s="7"/>
    </row>
    <row r="473" ht="15.75" customHeight="1">
      <c r="B473" s="7"/>
      <c r="M473" s="7"/>
    </row>
    <row r="474" ht="15.75" customHeight="1">
      <c r="B474" s="7"/>
      <c r="M474" s="7"/>
    </row>
    <row r="475" ht="15.75" customHeight="1">
      <c r="B475" s="7"/>
      <c r="M475" s="7"/>
    </row>
    <row r="476" ht="15.75" customHeight="1">
      <c r="B476" s="7"/>
      <c r="M476" s="7"/>
    </row>
    <row r="477" ht="15.75" customHeight="1">
      <c r="B477" s="7"/>
      <c r="M477" s="7"/>
    </row>
    <row r="478" ht="15.75" customHeight="1">
      <c r="B478" s="7"/>
      <c r="M478" s="7"/>
    </row>
    <row r="479" ht="15.75" customHeight="1">
      <c r="B479" s="7"/>
      <c r="M479" s="7"/>
    </row>
    <row r="480" ht="15.75" customHeight="1">
      <c r="B480" s="7"/>
      <c r="M480" s="7"/>
    </row>
    <row r="481" ht="15.75" customHeight="1">
      <c r="B481" s="7"/>
      <c r="M481" s="7"/>
    </row>
    <row r="482" ht="15.75" customHeight="1">
      <c r="B482" s="7"/>
      <c r="M482" s="7"/>
    </row>
    <row r="483" ht="15.75" customHeight="1">
      <c r="B483" s="7"/>
      <c r="M483" s="7"/>
    </row>
    <row r="484" ht="15.75" customHeight="1">
      <c r="B484" s="7"/>
      <c r="M484" s="7"/>
    </row>
    <row r="485" ht="15.75" customHeight="1">
      <c r="B485" s="7"/>
      <c r="M485" s="7"/>
    </row>
    <row r="486" ht="15.75" customHeight="1">
      <c r="B486" s="7"/>
      <c r="M486" s="7"/>
    </row>
    <row r="487" ht="15.75" customHeight="1">
      <c r="B487" s="7"/>
      <c r="M487" s="7"/>
    </row>
    <row r="488" ht="15.75" customHeight="1">
      <c r="B488" s="7"/>
      <c r="M488" s="7"/>
    </row>
    <row r="489" ht="15.75" customHeight="1">
      <c r="B489" s="7"/>
      <c r="M489" s="7"/>
    </row>
    <row r="490" ht="15.75" customHeight="1">
      <c r="B490" s="7"/>
      <c r="M490" s="7"/>
    </row>
    <row r="491" ht="15.75" customHeight="1">
      <c r="B491" s="7"/>
      <c r="M491" s="7"/>
    </row>
    <row r="492" ht="15.75" customHeight="1">
      <c r="B492" s="7"/>
      <c r="M492" s="7"/>
    </row>
    <row r="493" ht="15.75" customHeight="1">
      <c r="B493" s="7"/>
      <c r="M493" s="7"/>
    </row>
    <row r="494" ht="15.75" customHeight="1">
      <c r="B494" s="7"/>
      <c r="M494" s="7"/>
    </row>
    <row r="495" ht="15.75" customHeight="1">
      <c r="B495" s="7"/>
      <c r="M495" s="7"/>
    </row>
    <row r="496" ht="15.75" customHeight="1">
      <c r="B496" s="7"/>
      <c r="M496" s="7"/>
    </row>
    <row r="497" ht="15.75" customHeight="1">
      <c r="B497" s="7"/>
      <c r="M497" s="7"/>
    </row>
    <row r="498" ht="15.75" customHeight="1">
      <c r="B498" s="7"/>
      <c r="M498" s="7"/>
    </row>
    <row r="499" ht="15.75" customHeight="1">
      <c r="B499" s="7"/>
      <c r="M499" s="7"/>
    </row>
    <row r="500" ht="15.75" customHeight="1">
      <c r="B500" s="7"/>
      <c r="M500" s="7"/>
    </row>
    <row r="501" ht="15.75" customHeight="1">
      <c r="B501" s="7"/>
      <c r="M501" s="7"/>
    </row>
    <row r="502" ht="15.75" customHeight="1">
      <c r="B502" s="7"/>
      <c r="M502" s="7"/>
    </row>
    <row r="503" ht="15.75" customHeight="1">
      <c r="B503" s="7"/>
      <c r="M503" s="7"/>
    </row>
    <row r="504" ht="15.75" customHeight="1">
      <c r="B504" s="7"/>
      <c r="M504" s="7"/>
    </row>
    <row r="505" ht="15.75" customHeight="1">
      <c r="B505" s="7"/>
      <c r="M505" s="7"/>
    </row>
    <row r="506" ht="15.75" customHeight="1">
      <c r="B506" s="7"/>
      <c r="M506" s="7"/>
    </row>
    <row r="507" ht="15.75" customHeight="1">
      <c r="B507" s="7"/>
      <c r="M507" s="7"/>
    </row>
    <row r="508" ht="15.75" customHeight="1">
      <c r="B508" s="7"/>
      <c r="M508" s="7"/>
    </row>
    <row r="509" ht="15.75" customHeight="1">
      <c r="B509" s="7"/>
      <c r="M509" s="7"/>
    </row>
    <row r="510" ht="15.75" customHeight="1">
      <c r="B510" s="7"/>
      <c r="M510" s="7"/>
    </row>
    <row r="511" ht="15.75" customHeight="1">
      <c r="B511" s="7"/>
      <c r="M511" s="7"/>
    </row>
    <row r="512" ht="15.75" customHeight="1">
      <c r="B512" s="7"/>
      <c r="M512" s="7"/>
    </row>
    <row r="513" ht="15.75" customHeight="1">
      <c r="B513" s="7"/>
      <c r="M513" s="7"/>
    </row>
    <row r="514" ht="15.75" customHeight="1">
      <c r="B514" s="7"/>
      <c r="M514" s="7"/>
    </row>
    <row r="515" ht="15.75" customHeight="1">
      <c r="B515" s="7"/>
      <c r="M515" s="7"/>
    </row>
    <row r="516" ht="15.75" customHeight="1">
      <c r="B516" s="7"/>
      <c r="M516" s="7"/>
    </row>
    <row r="517" ht="15.75" customHeight="1">
      <c r="B517" s="7"/>
      <c r="M517" s="7"/>
    </row>
    <row r="518" ht="15.75" customHeight="1">
      <c r="B518" s="7"/>
      <c r="M518" s="7"/>
    </row>
    <row r="519" ht="15.75" customHeight="1">
      <c r="B519" s="7"/>
      <c r="M519" s="7"/>
    </row>
    <row r="520" ht="15.75" customHeight="1">
      <c r="B520" s="7"/>
      <c r="M520" s="7"/>
    </row>
    <row r="521" ht="15.75" customHeight="1">
      <c r="B521" s="7"/>
      <c r="M521" s="7"/>
    </row>
    <row r="522" ht="15.75" customHeight="1">
      <c r="B522" s="7"/>
      <c r="M522" s="7"/>
    </row>
    <row r="523" ht="15.75" customHeight="1">
      <c r="B523" s="7"/>
      <c r="M523" s="7"/>
    </row>
    <row r="524" ht="15.75" customHeight="1">
      <c r="B524" s="7"/>
      <c r="M524" s="7"/>
    </row>
    <row r="525" ht="15.75" customHeight="1">
      <c r="B525" s="7"/>
      <c r="M525" s="7"/>
    </row>
    <row r="526" ht="15.75" customHeight="1">
      <c r="B526" s="7"/>
      <c r="M526" s="7"/>
    </row>
    <row r="527" ht="15.75" customHeight="1">
      <c r="B527" s="7"/>
      <c r="M527" s="7"/>
    </row>
    <row r="528" ht="15.75" customHeight="1">
      <c r="B528" s="7"/>
      <c r="M528" s="7"/>
    </row>
    <row r="529" ht="15.75" customHeight="1">
      <c r="B529" s="7"/>
      <c r="M529" s="7"/>
    </row>
    <row r="530" ht="15.75" customHeight="1">
      <c r="B530" s="7"/>
      <c r="M530" s="7"/>
    </row>
    <row r="531" ht="15.75" customHeight="1">
      <c r="B531" s="7"/>
      <c r="M531" s="7"/>
    </row>
    <row r="532" ht="15.75" customHeight="1">
      <c r="B532" s="7"/>
      <c r="M532" s="7"/>
    </row>
    <row r="533" ht="15.75" customHeight="1">
      <c r="B533" s="7"/>
      <c r="M533" s="7"/>
    </row>
    <row r="534" ht="15.75" customHeight="1">
      <c r="B534" s="7"/>
      <c r="M534" s="7"/>
    </row>
    <row r="535" ht="15.75" customHeight="1">
      <c r="B535" s="7"/>
      <c r="M535" s="7"/>
    </row>
    <row r="536" ht="15.75" customHeight="1">
      <c r="B536" s="7"/>
      <c r="M536" s="7"/>
    </row>
    <row r="537" ht="15.75" customHeight="1">
      <c r="B537" s="7"/>
      <c r="M537" s="7"/>
    </row>
    <row r="538" ht="15.75" customHeight="1">
      <c r="B538" s="7"/>
      <c r="M538" s="7"/>
    </row>
    <row r="539" ht="15.75" customHeight="1">
      <c r="B539" s="7"/>
      <c r="M539" s="7"/>
    </row>
    <row r="540" ht="15.75" customHeight="1">
      <c r="B540" s="7"/>
      <c r="M540" s="7"/>
    </row>
    <row r="541" ht="15.75" customHeight="1">
      <c r="B541" s="7"/>
      <c r="M541" s="7"/>
    </row>
    <row r="542" ht="15.75" customHeight="1">
      <c r="B542" s="7"/>
      <c r="M542" s="7"/>
    </row>
    <row r="543" ht="15.75" customHeight="1">
      <c r="B543" s="7"/>
      <c r="M543" s="7"/>
    </row>
    <row r="544" ht="15.75" customHeight="1">
      <c r="B544" s="7"/>
      <c r="M544" s="7"/>
    </row>
    <row r="545" ht="15.75" customHeight="1">
      <c r="B545" s="7"/>
      <c r="M545" s="7"/>
    </row>
    <row r="546" ht="15.75" customHeight="1">
      <c r="B546" s="7"/>
      <c r="M546" s="7"/>
    </row>
    <row r="547" ht="15.75" customHeight="1">
      <c r="B547" s="7"/>
      <c r="M547" s="7"/>
    </row>
    <row r="548" ht="15.75" customHeight="1">
      <c r="B548" s="7"/>
      <c r="M548" s="7"/>
    </row>
    <row r="549" ht="15.75" customHeight="1">
      <c r="B549" s="7"/>
      <c r="M549" s="7"/>
    </row>
    <row r="550" ht="15.75" customHeight="1">
      <c r="B550" s="7"/>
      <c r="M550" s="7"/>
    </row>
    <row r="551" ht="15.75" customHeight="1">
      <c r="B551" s="7"/>
      <c r="M551" s="7"/>
    </row>
    <row r="552" ht="15.75" customHeight="1">
      <c r="B552" s="7"/>
      <c r="M552" s="7"/>
    </row>
    <row r="553" ht="15.75" customHeight="1">
      <c r="B553" s="7"/>
      <c r="M553" s="7"/>
    </row>
    <row r="554" ht="15.75" customHeight="1">
      <c r="B554" s="7"/>
      <c r="M554" s="7"/>
    </row>
    <row r="555" ht="15.75" customHeight="1">
      <c r="B555" s="7"/>
      <c r="M555" s="7"/>
    </row>
    <row r="556" ht="15.75" customHeight="1">
      <c r="B556" s="7"/>
      <c r="M556" s="7"/>
    </row>
    <row r="557" ht="15.75" customHeight="1">
      <c r="B557" s="7"/>
      <c r="M557" s="7"/>
    </row>
    <row r="558" ht="15.75" customHeight="1">
      <c r="B558" s="7"/>
      <c r="M558" s="7"/>
    </row>
    <row r="559" ht="15.75" customHeight="1">
      <c r="B559" s="7"/>
      <c r="M559" s="7"/>
    </row>
    <row r="560" ht="15.75" customHeight="1">
      <c r="B560" s="7"/>
      <c r="M560" s="7"/>
    </row>
    <row r="561" ht="15.75" customHeight="1">
      <c r="B561" s="7"/>
      <c r="M561" s="7"/>
    </row>
    <row r="562" ht="15.75" customHeight="1">
      <c r="B562" s="7"/>
      <c r="M562" s="7"/>
    </row>
    <row r="563" ht="15.75" customHeight="1">
      <c r="B563" s="7"/>
      <c r="M563" s="7"/>
    </row>
    <row r="564" ht="15.75" customHeight="1">
      <c r="B564" s="7"/>
      <c r="M564" s="7"/>
    </row>
    <row r="565" ht="15.75" customHeight="1">
      <c r="B565" s="7"/>
      <c r="M565" s="7"/>
    </row>
    <row r="566" ht="15.75" customHeight="1">
      <c r="B566" s="7"/>
      <c r="M566" s="7"/>
    </row>
    <row r="567" ht="15.75" customHeight="1">
      <c r="B567" s="7"/>
      <c r="M567" s="7"/>
    </row>
    <row r="568" ht="15.75" customHeight="1">
      <c r="B568" s="7"/>
      <c r="M568" s="7"/>
    </row>
    <row r="569" ht="15.75" customHeight="1">
      <c r="B569" s="7"/>
      <c r="M569" s="7"/>
    </row>
    <row r="570" ht="15.75" customHeight="1">
      <c r="B570" s="7"/>
      <c r="M570" s="7"/>
    </row>
    <row r="571" ht="15.75" customHeight="1">
      <c r="B571" s="7"/>
      <c r="M571" s="7"/>
    </row>
    <row r="572" ht="15.75" customHeight="1">
      <c r="B572" s="7"/>
      <c r="M572" s="7"/>
    </row>
    <row r="573" ht="15.75" customHeight="1">
      <c r="B573" s="7"/>
      <c r="M573" s="7"/>
    </row>
    <row r="574" ht="15.75" customHeight="1">
      <c r="B574" s="7"/>
      <c r="M574" s="7"/>
    </row>
    <row r="575" ht="15.75" customHeight="1">
      <c r="B575" s="7"/>
      <c r="M575" s="7"/>
    </row>
    <row r="576" ht="15.75" customHeight="1">
      <c r="B576" s="7"/>
      <c r="M576" s="7"/>
    </row>
    <row r="577" ht="15.75" customHeight="1">
      <c r="B577" s="7"/>
      <c r="M577" s="7"/>
    </row>
    <row r="578" ht="15.75" customHeight="1">
      <c r="B578" s="7"/>
      <c r="M578" s="7"/>
    </row>
    <row r="579" ht="15.75" customHeight="1">
      <c r="B579" s="7"/>
      <c r="M579" s="7"/>
    </row>
    <row r="580" ht="15.75" customHeight="1">
      <c r="B580" s="7"/>
      <c r="M580" s="7"/>
    </row>
    <row r="581" ht="15.75" customHeight="1">
      <c r="B581" s="7"/>
      <c r="M581" s="7"/>
    </row>
    <row r="582" ht="15.75" customHeight="1">
      <c r="B582" s="7"/>
      <c r="M582" s="7"/>
    </row>
    <row r="583" ht="15.75" customHeight="1">
      <c r="B583" s="7"/>
      <c r="M583" s="7"/>
    </row>
    <row r="584" ht="15.75" customHeight="1">
      <c r="B584" s="7"/>
      <c r="M584" s="7"/>
    </row>
    <row r="585" ht="15.75" customHeight="1">
      <c r="B585" s="7"/>
      <c r="M585" s="7"/>
    </row>
    <row r="586" ht="15.75" customHeight="1">
      <c r="B586" s="7"/>
      <c r="M586" s="7"/>
    </row>
    <row r="587" ht="15.75" customHeight="1">
      <c r="B587" s="7"/>
      <c r="M587" s="7"/>
    </row>
    <row r="588" ht="15.75" customHeight="1">
      <c r="B588" s="7"/>
      <c r="M588" s="7"/>
    </row>
    <row r="589" ht="15.75" customHeight="1">
      <c r="B589" s="7"/>
      <c r="M589" s="7"/>
    </row>
    <row r="590" ht="15.75" customHeight="1">
      <c r="B590" s="7"/>
      <c r="M590" s="7"/>
    </row>
    <row r="591" ht="15.75" customHeight="1">
      <c r="B591" s="7"/>
      <c r="M591" s="7"/>
    </row>
    <row r="592" ht="15.75" customHeight="1">
      <c r="B592" s="7"/>
      <c r="M592" s="7"/>
    </row>
    <row r="593" ht="15.75" customHeight="1">
      <c r="B593" s="7"/>
      <c r="M593" s="7"/>
    </row>
    <row r="594" ht="15.75" customHeight="1">
      <c r="B594" s="7"/>
      <c r="M594" s="7"/>
    </row>
    <row r="595" ht="15.75" customHeight="1">
      <c r="B595" s="7"/>
      <c r="M595" s="7"/>
    </row>
    <row r="596" ht="15.75" customHeight="1">
      <c r="B596" s="7"/>
      <c r="M596" s="7"/>
    </row>
    <row r="597" ht="15.75" customHeight="1">
      <c r="B597" s="7"/>
      <c r="M597" s="7"/>
    </row>
    <row r="598" ht="15.75" customHeight="1">
      <c r="B598" s="7"/>
      <c r="M598" s="7"/>
    </row>
    <row r="599" ht="15.75" customHeight="1">
      <c r="B599" s="7"/>
      <c r="M599" s="7"/>
    </row>
    <row r="600" ht="15.75" customHeight="1">
      <c r="B600" s="7"/>
      <c r="M600" s="7"/>
    </row>
    <row r="601" ht="15.75" customHeight="1">
      <c r="B601" s="7"/>
      <c r="M601" s="7"/>
    </row>
    <row r="602" ht="15.75" customHeight="1">
      <c r="B602" s="7"/>
      <c r="M602" s="7"/>
    </row>
    <row r="603" ht="15.75" customHeight="1">
      <c r="B603" s="7"/>
      <c r="M603" s="7"/>
    </row>
    <row r="604" ht="15.75" customHeight="1">
      <c r="B604" s="7"/>
      <c r="M604" s="7"/>
    </row>
    <row r="605" ht="15.75" customHeight="1">
      <c r="B605" s="7"/>
      <c r="M605" s="7"/>
    </row>
    <row r="606" ht="15.75" customHeight="1">
      <c r="B606" s="7"/>
      <c r="M606" s="7"/>
    </row>
    <row r="607" ht="15.75" customHeight="1">
      <c r="B607" s="7"/>
      <c r="M607" s="7"/>
    </row>
    <row r="608" ht="15.75" customHeight="1">
      <c r="B608" s="7"/>
      <c r="M608" s="7"/>
    </row>
    <row r="609" ht="15.75" customHeight="1">
      <c r="B609" s="7"/>
      <c r="M609" s="7"/>
    </row>
    <row r="610" ht="15.75" customHeight="1">
      <c r="B610" s="7"/>
      <c r="M610" s="7"/>
    </row>
    <row r="611" ht="15.75" customHeight="1">
      <c r="B611" s="7"/>
      <c r="M611" s="7"/>
    </row>
    <row r="612" ht="15.75" customHeight="1">
      <c r="B612" s="7"/>
      <c r="M612" s="7"/>
    </row>
    <row r="613" ht="15.75" customHeight="1">
      <c r="B613" s="7"/>
      <c r="M613" s="7"/>
    </row>
    <row r="614" ht="15.75" customHeight="1">
      <c r="B614" s="7"/>
      <c r="M614" s="7"/>
    </row>
    <row r="615" ht="15.75" customHeight="1">
      <c r="B615" s="7"/>
      <c r="M615" s="7"/>
    </row>
    <row r="616" ht="15.75" customHeight="1">
      <c r="B616" s="7"/>
      <c r="M616" s="7"/>
    </row>
    <row r="617" ht="15.75" customHeight="1">
      <c r="B617" s="7"/>
      <c r="M617" s="7"/>
    </row>
    <row r="618" ht="15.75" customHeight="1">
      <c r="B618" s="7"/>
      <c r="M618" s="7"/>
    </row>
    <row r="619" ht="15.75" customHeight="1">
      <c r="B619" s="7"/>
      <c r="M619" s="7"/>
    </row>
    <row r="620" ht="15.75" customHeight="1">
      <c r="B620" s="7"/>
      <c r="M620" s="7"/>
    </row>
    <row r="621" ht="15.75" customHeight="1">
      <c r="B621" s="7"/>
      <c r="M621" s="7"/>
    </row>
    <row r="622" ht="15.75" customHeight="1">
      <c r="B622" s="7"/>
      <c r="M622" s="7"/>
    </row>
    <row r="623" ht="15.75" customHeight="1">
      <c r="B623" s="7"/>
      <c r="M623" s="7"/>
    </row>
    <row r="624" ht="15.75" customHeight="1">
      <c r="B624" s="7"/>
      <c r="M624" s="7"/>
    </row>
    <row r="625" ht="15.75" customHeight="1">
      <c r="B625" s="7"/>
      <c r="M625" s="7"/>
    </row>
    <row r="626" ht="15.75" customHeight="1">
      <c r="B626" s="7"/>
      <c r="M626" s="7"/>
    </row>
    <row r="627" ht="15.75" customHeight="1">
      <c r="B627" s="7"/>
      <c r="M627" s="7"/>
    </row>
    <row r="628" ht="15.75" customHeight="1">
      <c r="B628" s="7"/>
      <c r="M628" s="7"/>
    </row>
    <row r="629" ht="15.75" customHeight="1">
      <c r="B629" s="7"/>
      <c r="M629" s="7"/>
    </row>
    <row r="630" ht="15.75" customHeight="1">
      <c r="B630" s="7"/>
      <c r="M630" s="7"/>
    </row>
    <row r="631" ht="15.75" customHeight="1">
      <c r="B631" s="7"/>
      <c r="M631" s="7"/>
    </row>
    <row r="632" ht="15.75" customHeight="1">
      <c r="B632" s="7"/>
      <c r="M632" s="7"/>
    </row>
    <row r="633" ht="15.75" customHeight="1">
      <c r="B633" s="7"/>
      <c r="M633" s="7"/>
    </row>
    <row r="634" ht="15.75" customHeight="1">
      <c r="B634" s="7"/>
      <c r="M634" s="7"/>
    </row>
    <row r="635" ht="15.75" customHeight="1">
      <c r="B635" s="7"/>
      <c r="M635" s="7"/>
    </row>
    <row r="636" ht="15.75" customHeight="1">
      <c r="B636" s="7"/>
      <c r="M636" s="7"/>
    </row>
    <row r="637" ht="15.75" customHeight="1">
      <c r="B637" s="7"/>
      <c r="M637" s="7"/>
    </row>
    <row r="638" ht="15.75" customHeight="1">
      <c r="B638" s="7"/>
      <c r="M638" s="7"/>
    </row>
    <row r="639" ht="15.75" customHeight="1">
      <c r="B639" s="7"/>
      <c r="M639" s="7"/>
    </row>
    <row r="640" ht="15.75" customHeight="1">
      <c r="B640" s="7"/>
      <c r="M640" s="7"/>
    </row>
    <row r="641" ht="15.75" customHeight="1">
      <c r="B641" s="7"/>
      <c r="M641" s="7"/>
    </row>
    <row r="642" ht="15.75" customHeight="1">
      <c r="B642" s="7"/>
      <c r="M642" s="7"/>
    </row>
    <row r="643" ht="15.75" customHeight="1">
      <c r="B643" s="7"/>
      <c r="M643" s="7"/>
    </row>
    <row r="644" ht="15.75" customHeight="1">
      <c r="B644" s="7"/>
      <c r="M644" s="7"/>
    </row>
    <row r="645" ht="15.75" customHeight="1">
      <c r="B645" s="7"/>
      <c r="M645" s="7"/>
    </row>
    <row r="646" ht="15.75" customHeight="1">
      <c r="B646" s="7"/>
      <c r="M646" s="7"/>
    </row>
    <row r="647" ht="15.75" customHeight="1">
      <c r="B647" s="7"/>
      <c r="M647" s="7"/>
    </row>
    <row r="648" ht="15.75" customHeight="1">
      <c r="B648" s="7"/>
      <c r="M648" s="7"/>
    </row>
    <row r="649" ht="15.75" customHeight="1">
      <c r="B649" s="7"/>
      <c r="M649" s="7"/>
    </row>
    <row r="650" ht="15.75" customHeight="1">
      <c r="B650" s="7"/>
      <c r="M650" s="7"/>
    </row>
    <row r="651" ht="15.75" customHeight="1">
      <c r="B651" s="7"/>
      <c r="M651" s="7"/>
    </row>
    <row r="652" ht="15.75" customHeight="1">
      <c r="B652" s="7"/>
      <c r="M652" s="7"/>
    </row>
    <row r="653" ht="15.75" customHeight="1">
      <c r="B653" s="7"/>
      <c r="M653" s="7"/>
    </row>
    <row r="654" ht="15.75" customHeight="1">
      <c r="B654" s="7"/>
      <c r="M654" s="7"/>
    </row>
    <row r="655" ht="15.75" customHeight="1">
      <c r="B655" s="7"/>
      <c r="M655" s="7"/>
    </row>
    <row r="656" ht="15.75" customHeight="1">
      <c r="B656" s="7"/>
      <c r="M656" s="7"/>
    </row>
    <row r="657" ht="15.75" customHeight="1">
      <c r="B657" s="7"/>
      <c r="M657" s="7"/>
    </row>
    <row r="658" ht="15.75" customHeight="1">
      <c r="B658" s="7"/>
      <c r="M658" s="7"/>
    </row>
    <row r="659" ht="15.75" customHeight="1">
      <c r="B659" s="7"/>
      <c r="M659" s="7"/>
    </row>
    <row r="660" ht="15.75" customHeight="1">
      <c r="B660" s="7"/>
      <c r="M660" s="7"/>
    </row>
    <row r="661" ht="15.75" customHeight="1">
      <c r="B661" s="7"/>
      <c r="M661" s="7"/>
    </row>
    <row r="662" ht="15.75" customHeight="1">
      <c r="B662" s="7"/>
      <c r="M662" s="7"/>
    </row>
    <row r="663" ht="15.75" customHeight="1">
      <c r="B663" s="7"/>
      <c r="M663" s="7"/>
    </row>
    <row r="664" ht="15.75" customHeight="1">
      <c r="B664" s="7"/>
      <c r="M664" s="7"/>
    </row>
    <row r="665" ht="15.75" customHeight="1">
      <c r="B665" s="7"/>
      <c r="M665" s="7"/>
    </row>
    <row r="666" ht="15.75" customHeight="1">
      <c r="B666" s="7"/>
      <c r="M666" s="7"/>
    </row>
    <row r="667" ht="15.75" customHeight="1">
      <c r="B667" s="7"/>
      <c r="M667" s="7"/>
    </row>
    <row r="668" ht="15.75" customHeight="1">
      <c r="B668" s="7"/>
      <c r="M668" s="7"/>
    </row>
    <row r="669" ht="15.75" customHeight="1">
      <c r="B669" s="7"/>
      <c r="M669" s="7"/>
    </row>
    <row r="670" ht="15.75" customHeight="1">
      <c r="B670" s="7"/>
      <c r="M670" s="7"/>
    </row>
    <row r="671" ht="15.75" customHeight="1">
      <c r="B671" s="7"/>
      <c r="M671" s="7"/>
    </row>
    <row r="672" ht="15.75" customHeight="1">
      <c r="B672" s="7"/>
      <c r="M672" s="7"/>
    </row>
    <row r="673" ht="15.75" customHeight="1">
      <c r="B673" s="7"/>
      <c r="M673" s="7"/>
    </row>
    <row r="674" ht="15.75" customHeight="1">
      <c r="B674" s="7"/>
      <c r="M674" s="7"/>
    </row>
    <row r="675" ht="15.75" customHeight="1">
      <c r="B675" s="7"/>
      <c r="M675" s="7"/>
    </row>
    <row r="676" ht="15.75" customHeight="1">
      <c r="B676" s="7"/>
      <c r="M676" s="7"/>
    </row>
    <row r="677" ht="15.75" customHeight="1">
      <c r="B677" s="7"/>
      <c r="M677" s="7"/>
    </row>
    <row r="678" ht="15.75" customHeight="1">
      <c r="B678" s="7"/>
      <c r="M678" s="7"/>
    </row>
    <row r="679" ht="15.75" customHeight="1">
      <c r="B679" s="7"/>
      <c r="M679" s="7"/>
    </row>
    <row r="680" ht="15.75" customHeight="1">
      <c r="B680" s="7"/>
      <c r="M680" s="7"/>
    </row>
    <row r="681" ht="15.75" customHeight="1">
      <c r="B681" s="7"/>
      <c r="M681" s="7"/>
    </row>
    <row r="682" ht="15.75" customHeight="1">
      <c r="B682" s="7"/>
      <c r="M682" s="7"/>
    </row>
    <row r="683" ht="15.75" customHeight="1">
      <c r="B683" s="7"/>
      <c r="M683" s="7"/>
    </row>
    <row r="684" ht="15.75" customHeight="1">
      <c r="B684" s="7"/>
      <c r="M684" s="7"/>
    </row>
    <row r="685" ht="15.75" customHeight="1">
      <c r="B685" s="7"/>
      <c r="M685" s="7"/>
    </row>
    <row r="686" ht="15.75" customHeight="1">
      <c r="B686" s="7"/>
      <c r="M686" s="7"/>
    </row>
    <row r="687" ht="15.75" customHeight="1">
      <c r="B687" s="7"/>
      <c r="M687" s="7"/>
    </row>
    <row r="688" ht="15.75" customHeight="1">
      <c r="B688" s="7"/>
      <c r="M688" s="7"/>
    </row>
    <row r="689" ht="15.75" customHeight="1">
      <c r="B689" s="7"/>
      <c r="M689" s="7"/>
    </row>
    <row r="690" ht="15.75" customHeight="1">
      <c r="B690" s="7"/>
      <c r="M690" s="7"/>
    </row>
    <row r="691" ht="15.75" customHeight="1">
      <c r="B691" s="7"/>
      <c r="M691" s="7"/>
    </row>
    <row r="692" ht="15.75" customHeight="1">
      <c r="B692" s="7"/>
      <c r="M692" s="7"/>
    </row>
    <row r="693" ht="15.75" customHeight="1">
      <c r="B693" s="7"/>
      <c r="M693" s="7"/>
    </row>
    <row r="694" ht="15.75" customHeight="1">
      <c r="B694" s="7"/>
      <c r="M694" s="7"/>
    </row>
    <row r="695" ht="15.75" customHeight="1">
      <c r="B695" s="7"/>
      <c r="M695" s="7"/>
    </row>
    <row r="696" ht="15.75" customHeight="1">
      <c r="B696" s="7"/>
      <c r="M696" s="7"/>
    </row>
    <row r="697" ht="15.75" customHeight="1">
      <c r="B697" s="7"/>
      <c r="M697" s="7"/>
    </row>
    <row r="698" ht="15.75" customHeight="1">
      <c r="B698" s="7"/>
      <c r="M698" s="7"/>
    </row>
    <row r="699" ht="15.75" customHeight="1">
      <c r="B699" s="7"/>
      <c r="M699" s="7"/>
    </row>
    <row r="700" ht="15.75" customHeight="1">
      <c r="B700" s="7"/>
      <c r="M700" s="7"/>
    </row>
    <row r="701" ht="15.75" customHeight="1">
      <c r="B701" s="7"/>
      <c r="M701" s="7"/>
    </row>
    <row r="702" ht="15.75" customHeight="1">
      <c r="B702" s="7"/>
      <c r="M702" s="7"/>
    </row>
    <row r="703" ht="15.75" customHeight="1">
      <c r="B703" s="7"/>
      <c r="M703" s="7"/>
    </row>
    <row r="704" ht="15.75" customHeight="1">
      <c r="B704" s="7"/>
      <c r="M704" s="7"/>
    </row>
    <row r="705" ht="15.75" customHeight="1">
      <c r="B705" s="7"/>
      <c r="M705" s="7"/>
    </row>
    <row r="706" ht="15.75" customHeight="1">
      <c r="B706" s="7"/>
      <c r="M706" s="7"/>
    </row>
    <row r="707" ht="15.75" customHeight="1">
      <c r="B707" s="7"/>
      <c r="M707" s="7"/>
    </row>
    <row r="708" ht="15.75" customHeight="1">
      <c r="B708" s="7"/>
      <c r="M708" s="7"/>
    </row>
    <row r="709" ht="15.75" customHeight="1">
      <c r="B709" s="7"/>
      <c r="M709" s="7"/>
    </row>
    <row r="710" ht="15.75" customHeight="1">
      <c r="B710" s="7"/>
      <c r="M710" s="7"/>
    </row>
    <row r="711" ht="15.75" customHeight="1">
      <c r="B711" s="7"/>
      <c r="M711" s="7"/>
    </row>
    <row r="712" ht="15.75" customHeight="1">
      <c r="B712" s="7"/>
      <c r="M712" s="7"/>
    </row>
    <row r="713" ht="15.75" customHeight="1">
      <c r="B713" s="7"/>
      <c r="M713" s="7"/>
    </row>
    <row r="714" ht="15.75" customHeight="1">
      <c r="B714" s="7"/>
      <c r="M714" s="7"/>
    </row>
    <row r="715" ht="15.75" customHeight="1">
      <c r="B715" s="7"/>
      <c r="M715" s="7"/>
    </row>
    <row r="716" ht="15.75" customHeight="1">
      <c r="B716" s="7"/>
      <c r="M716" s="7"/>
    </row>
    <row r="717" ht="15.75" customHeight="1">
      <c r="B717" s="7"/>
      <c r="M717" s="7"/>
    </row>
    <row r="718" ht="15.75" customHeight="1">
      <c r="B718" s="7"/>
      <c r="M718" s="7"/>
    </row>
    <row r="719" ht="15.75" customHeight="1">
      <c r="B719" s="7"/>
      <c r="M719" s="7"/>
    </row>
    <row r="720" ht="15.75" customHeight="1">
      <c r="B720" s="7"/>
      <c r="M720" s="7"/>
    </row>
    <row r="721" ht="15.75" customHeight="1">
      <c r="B721" s="7"/>
      <c r="M721" s="7"/>
    </row>
    <row r="722" ht="15.75" customHeight="1">
      <c r="B722" s="7"/>
      <c r="M722" s="7"/>
    </row>
    <row r="723" ht="15.75" customHeight="1">
      <c r="B723" s="7"/>
      <c r="M723" s="7"/>
    </row>
    <row r="724" ht="15.75" customHeight="1">
      <c r="B724" s="7"/>
      <c r="M724" s="7"/>
    </row>
    <row r="725" ht="15.75" customHeight="1">
      <c r="B725" s="7"/>
      <c r="M725" s="7"/>
    </row>
    <row r="726" ht="15.75" customHeight="1">
      <c r="B726" s="7"/>
      <c r="M726" s="7"/>
    </row>
    <row r="727" ht="15.75" customHeight="1">
      <c r="B727" s="7"/>
      <c r="M727" s="7"/>
    </row>
    <row r="728" ht="15.75" customHeight="1">
      <c r="B728" s="7"/>
      <c r="M728" s="7"/>
    </row>
    <row r="729" ht="15.75" customHeight="1">
      <c r="B729" s="7"/>
      <c r="M729" s="7"/>
    </row>
    <row r="730" ht="15.75" customHeight="1">
      <c r="B730" s="7"/>
      <c r="M730" s="7"/>
    </row>
    <row r="731" ht="15.75" customHeight="1">
      <c r="B731" s="7"/>
      <c r="M731" s="7"/>
    </row>
    <row r="732" ht="15.75" customHeight="1">
      <c r="B732" s="7"/>
      <c r="M732" s="7"/>
    </row>
    <row r="733" ht="15.75" customHeight="1">
      <c r="B733" s="7"/>
      <c r="M733" s="7"/>
    </row>
    <row r="734" ht="15.75" customHeight="1">
      <c r="B734" s="7"/>
      <c r="M734" s="7"/>
    </row>
    <row r="735" ht="15.75" customHeight="1">
      <c r="B735" s="7"/>
      <c r="M735" s="7"/>
    </row>
    <row r="736" ht="15.75" customHeight="1">
      <c r="B736" s="7"/>
      <c r="M736" s="7"/>
    </row>
    <row r="737" ht="15.75" customHeight="1">
      <c r="B737" s="7"/>
      <c r="M737" s="7"/>
    </row>
    <row r="738" ht="15.75" customHeight="1">
      <c r="B738" s="7"/>
      <c r="M738" s="7"/>
    </row>
    <row r="739" ht="15.75" customHeight="1">
      <c r="B739" s="7"/>
      <c r="M739" s="7"/>
    </row>
    <row r="740" ht="15.75" customHeight="1">
      <c r="B740" s="7"/>
      <c r="M740" s="7"/>
    </row>
    <row r="741" ht="15.75" customHeight="1">
      <c r="B741" s="7"/>
      <c r="M741" s="7"/>
    </row>
    <row r="742" ht="15.75" customHeight="1">
      <c r="B742" s="7"/>
      <c r="M742" s="7"/>
    </row>
    <row r="743" ht="15.75" customHeight="1">
      <c r="B743" s="7"/>
      <c r="M743" s="7"/>
    </row>
    <row r="744" ht="15.75" customHeight="1">
      <c r="B744" s="7"/>
      <c r="M744" s="7"/>
    </row>
    <row r="745" ht="15.75" customHeight="1">
      <c r="B745" s="7"/>
      <c r="M745" s="7"/>
    </row>
    <row r="746" ht="15.75" customHeight="1">
      <c r="B746" s="7"/>
      <c r="M746" s="7"/>
    </row>
    <row r="747" ht="15.75" customHeight="1">
      <c r="B747" s="7"/>
      <c r="M747" s="7"/>
    </row>
    <row r="748" ht="15.75" customHeight="1">
      <c r="B748" s="7"/>
      <c r="M748" s="7"/>
    </row>
    <row r="749" ht="15.75" customHeight="1">
      <c r="B749" s="7"/>
      <c r="M749" s="7"/>
    </row>
    <row r="750" ht="15.75" customHeight="1">
      <c r="B750" s="7"/>
      <c r="M750" s="7"/>
    </row>
    <row r="751" ht="15.75" customHeight="1">
      <c r="B751" s="7"/>
      <c r="M751" s="7"/>
    </row>
    <row r="752" ht="15.75" customHeight="1">
      <c r="B752" s="7"/>
      <c r="M752" s="7"/>
    </row>
    <row r="753" ht="15.75" customHeight="1">
      <c r="B753" s="7"/>
      <c r="M753" s="7"/>
    </row>
    <row r="754" ht="15.75" customHeight="1">
      <c r="B754" s="7"/>
      <c r="M754" s="7"/>
    </row>
    <row r="755" ht="15.75" customHeight="1">
      <c r="B755" s="7"/>
      <c r="M755" s="7"/>
    </row>
    <row r="756" ht="15.75" customHeight="1">
      <c r="B756" s="7"/>
      <c r="M756" s="7"/>
    </row>
    <row r="757" ht="15.75" customHeight="1">
      <c r="B757" s="7"/>
      <c r="M757" s="7"/>
    </row>
    <row r="758" ht="15.75" customHeight="1">
      <c r="B758" s="7"/>
      <c r="M758" s="7"/>
    </row>
    <row r="759" ht="15.75" customHeight="1">
      <c r="B759" s="7"/>
      <c r="M759" s="7"/>
    </row>
    <row r="760" ht="15.75" customHeight="1">
      <c r="B760" s="7"/>
      <c r="M760" s="7"/>
    </row>
    <row r="761" ht="15.75" customHeight="1">
      <c r="B761" s="7"/>
      <c r="M761" s="7"/>
    </row>
    <row r="762" ht="15.75" customHeight="1">
      <c r="B762" s="7"/>
      <c r="M762" s="7"/>
    </row>
    <row r="763" ht="15.75" customHeight="1">
      <c r="B763" s="7"/>
      <c r="M763" s="7"/>
    </row>
    <row r="764" ht="15.75" customHeight="1">
      <c r="B764" s="7"/>
      <c r="M764" s="7"/>
    </row>
    <row r="765" ht="15.75" customHeight="1">
      <c r="B765" s="7"/>
      <c r="M765" s="7"/>
    </row>
    <row r="766" ht="15.75" customHeight="1">
      <c r="B766" s="7"/>
      <c r="M766" s="7"/>
    </row>
    <row r="767" ht="15.75" customHeight="1">
      <c r="B767" s="7"/>
      <c r="M767" s="7"/>
    </row>
    <row r="768" ht="15.75" customHeight="1">
      <c r="B768" s="7"/>
      <c r="M768" s="7"/>
    </row>
    <row r="769" ht="15.75" customHeight="1">
      <c r="B769" s="7"/>
      <c r="M769" s="7"/>
    </row>
    <row r="770" ht="15.75" customHeight="1">
      <c r="B770" s="7"/>
      <c r="M770" s="7"/>
    </row>
    <row r="771" ht="15.75" customHeight="1">
      <c r="B771" s="7"/>
      <c r="M771" s="7"/>
    </row>
    <row r="772" ht="15.75" customHeight="1">
      <c r="B772" s="7"/>
      <c r="M772" s="7"/>
    </row>
    <row r="773" ht="15.75" customHeight="1">
      <c r="B773" s="7"/>
      <c r="M773" s="7"/>
    </row>
    <row r="774" ht="15.75" customHeight="1">
      <c r="B774" s="7"/>
      <c r="M774" s="7"/>
    </row>
    <row r="775" ht="15.75" customHeight="1">
      <c r="B775" s="7"/>
      <c r="M775" s="7"/>
    </row>
    <row r="776" ht="15.75" customHeight="1">
      <c r="B776" s="7"/>
      <c r="M776" s="7"/>
    </row>
    <row r="777" ht="15.75" customHeight="1">
      <c r="B777" s="7"/>
      <c r="M777" s="7"/>
    </row>
    <row r="778" ht="15.75" customHeight="1">
      <c r="B778" s="7"/>
      <c r="M778" s="7"/>
    </row>
    <row r="779" ht="15.75" customHeight="1">
      <c r="B779" s="7"/>
      <c r="M779" s="7"/>
    </row>
    <row r="780" ht="15.75" customHeight="1">
      <c r="B780" s="7"/>
      <c r="M780" s="7"/>
    </row>
    <row r="781" ht="15.75" customHeight="1">
      <c r="B781" s="7"/>
      <c r="M781" s="7"/>
    </row>
    <row r="782" ht="15.75" customHeight="1">
      <c r="B782" s="7"/>
      <c r="M782" s="7"/>
    </row>
    <row r="783" ht="15.75" customHeight="1">
      <c r="B783" s="7"/>
      <c r="M783" s="7"/>
    </row>
    <row r="784" ht="15.75" customHeight="1">
      <c r="B784" s="7"/>
      <c r="M784" s="7"/>
    </row>
    <row r="785" ht="15.75" customHeight="1">
      <c r="B785" s="7"/>
      <c r="M785" s="7"/>
    </row>
    <row r="786" ht="15.75" customHeight="1">
      <c r="B786" s="7"/>
      <c r="M786" s="7"/>
    </row>
    <row r="787" ht="15.75" customHeight="1">
      <c r="B787" s="7"/>
      <c r="M787" s="7"/>
    </row>
    <row r="788" ht="15.75" customHeight="1">
      <c r="B788" s="7"/>
      <c r="M788" s="7"/>
    </row>
    <row r="789" ht="15.75" customHeight="1">
      <c r="B789" s="7"/>
      <c r="M789" s="7"/>
    </row>
    <row r="790" ht="15.75" customHeight="1">
      <c r="B790" s="7"/>
      <c r="M790" s="7"/>
    </row>
    <row r="791" ht="15.75" customHeight="1">
      <c r="B791" s="7"/>
      <c r="M791" s="7"/>
    </row>
    <row r="792" ht="15.75" customHeight="1">
      <c r="B792" s="7"/>
      <c r="M792" s="7"/>
    </row>
    <row r="793" ht="15.75" customHeight="1">
      <c r="B793" s="7"/>
      <c r="M793" s="7"/>
    </row>
    <row r="794" ht="15.75" customHeight="1">
      <c r="B794" s="7"/>
      <c r="M794" s="7"/>
    </row>
    <row r="795" ht="15.75" customHeight="1">
      <c r="B795" s="7"/>
      <c r="M795" s="7"/>
    </row>
    <row r="796" ht="15.75" customHeight="1">
      <c r="B796" s="7"/>
      <c r="M796" s="7"/>
    </row>
    <row r="797" ht="15.75" customHeight="1">
      <c r="B797" s="7"/>
      <c r="M797" s="7"/>
    </row>
    <row r="798" ht="15.75" customHeight="1">
      <c r="B798" s="7"/>
      <c r="M798" s="7"/>
    </row>
    <row r="799" ht="15.75" customHeight="1">
      <c r="B799" s="7"/>
      <c r="M799" s="7"/>
    </row>
    <row r="800" ht="15.75" customHeight="1">
      <c r="B800" s="7"/>
      <c r="M800" s="7"/>
    </row>
    <row r="801" ht="15.75" customHeight="1">
      <c r="B801" s="7"/>
      <c r="M801" s="7"/>
    </row>
    <row r="802" ht="15.75" customHeight="1">
      <c r="B802" s="7"/>
      <c r="M802" s="7"/>
    </row>
    <row r="803" ht="15.75" customHeight="1">
      <c r="B803" s="7"/>
      <c r="M803" s="7"/>
    </row>
    <row r="804" ht="15.75" customHeight="1">
      <c r="B804" s="7"/>
      <c r="M804" s="7"/>
    </row>
    <row r="805" ht="15.75" customHeight="1">
      <c r="B805" s="7"/>
      <c r="M805" s="7"/>
    </row>
    <row r="806" ht="15.75" customHeight="1">
      <c r="B806" s="7"/>
      <c r="M806" s="7"/>
    </row>
    <row r="807" ht="15.75" customHeight="1">
      <c r="B807" s="7"/>
      <c r="M807" s="7"/>
    </row>
    <row r="808" ht="15.75" customHeight="1">
      <c r="B808" s="7"/>
      <c r="M808" s="7"/>
    </row>
    <row r="809" ht="15.75" customHeight="1">
      <c r="B809" s="7"/>
      <c r="M809" s="7"/>
    </row>
    <row r="810" ht="15.75" customHeight="1">
      <c r="B810" s="7"/>
      <c r="M810" s="7"/>
    </row>
    <row r="811" ht="15.75" customHeight="1">
      <c r="B811" s="7"/>
      <c r="M811" s="7"/>
    </row>
    <row r="812" ht="15.75" customHeight="1">
      <c r="B812" s="7"/>
      <c r="M812" s="7"/>
    </row>
    <row r="813" ht="15.75" customHeight="1">
      <c r="B813" s="7"/>
      <c r="M813" s="7"/>
    </row>
    <row r="814" ht="15.75" customHeight="1">
      <c r="B814" s="7"/>
      <c r="M814" s="7"/>
    </row>
    <row r="815" ht="15.75" customHeight="1">
      <c r="B815" s="7"/>
      <c r="M815" s="7"/>
    </row>
    <row r="816" ht="15.75" customHeight="1">
      <c r="B816" s="7"/>
      <c r="M816" s="7"/>
    </row>
    <row r="817" ht="15.75" customHeight="1">
      <c r="B817" s="7"/>
      <c r="M817" s="7"/>
    </row>
    <row r="818" ht="15.75" customHeight="1">
      <c r="B818" s="7"/>
      <c r="M818" s="7"/>
    </row>
    <row r="819" ht="15.75" customHeight="1">
      <c r="B819" s="7"/>
      <c r="M819" s="7"/>
    </row>
    <row r="820" ht="15.75" customHeight="1">
      <c r="B820" s="7"/>
      <c r="M820" s="7"/>
    </row>
    <row r="821" ht="15.75" customHeight="1">
      <c r="B821" s="7"/>
      <c r="M821" s="7"/>
    </row>
    <row r="822" ht="15.75" customHeight="1">
      <c r="B822" s="7"/>
      <c r="M822" s="7"/>
    </row>
    <row r="823" ht="15.75" customHeight="1">
      <c r="B823" s="7"/>
      <c r="M823" s="7"/>
    </row>
    <row r="824" ht="15.75" customHeight="1">
      <c r="B824" s="7"/>
      <c r="M824" s="7"/>
    </row>
    <row r="825" ht="15.75" customHeight="1">
      <c r="B825" s="7"/>
      <c r="M825" s="7"/>
    </row>
    <row r="826" ht="15.75" customHeight="1">
      <c r="B826" s="7"/>
      <c r="M826" s="7"/>
    </row>
    <row r="827" ht="15.75" customHeight="1">
      <c r="B827" s="7"/>
      <c r="M827" s="7"/>
    </row>
    <row r="828" ht="15.75" customHeight="1">
      <c r="B828" s="7"/>
      <c r="M828" s="7"/>
    </row>
    <row r="829" ht="15.75" customHeight="1">
      <c r="B829" s="7"/>
      <c r="M829" s="7"/>
    </row>
    <row r="830" ht="15.75" customHeight="1">
      <c r="B830" s="7"/>
      <c r="M830" s="7"/>
    </row>
    <row r="831" ht="15.75" customHeight="1">
      <c r="B831" s="7"/>
      <c r="M831" s="7"/>
    </row>
    <row r="832" ht="15.75" customHeight="1">
      <c r="B832" s="7"/>
      <c r="M832" s="7"/>
    </row>
    <row r="833" ht="15.75" customHeight="1">
      <c r="B833" s="7"/>
      <c r="M833" s="7"/>
    </row>
    <row r="834" ht="15.75" customHeight="1">
      <c r="B834" s="7"/>
      <c r="M834" s="7"/>
    </row>
    <row r="835" ht="15.75" customHeight="1">
      <c r="B835" s="7"/>
      <c r="M835" s="7"/>
    </row>
    <row r="836" ht="15.75" customHeight="1">
      <c r="B836" s="7"/>
      <c r="M836" s="7"/>
    </row>
    <row r="837" ht="15.75" customHeight="1">
      <c r="B837" s="7"/>
      <c r="M837" s="7"/>
    </row>
    <row r="838" ht="15.75" customHeight="1">
      <c r="B838" s="7"/>
      <c r="M838" s="7"/>
    </row>
    <row r="839" ht="15.75" customHeight="1">
      <c r="B839" s="7"/>
      <c r="M839" s="7"/>
    </row>
    <row r="840" ht="15.75" customHeight="1">
      <c r="B840" s="7"/>
      <c r="M840" s="7"/>
    </row>
    <row r="841" ht="15.75" customHeight="1">
      <c r="B841" s="7"/>
      <c r="M841" s="7"/>
    </row>
    <row r="842" ht="15.75" customHeight="1">
      <c r="B842" s="7"/>
      <c r="M842" s="7"/>
    </row>
    <row r="843" ht="15.75" customHeight="1">
      <c r="B843" s="7"/>
      <c r="M843" s="7"/>
    </row>
    <row r="844" ht="15.75" customHeight="1">
      <c r="B844" s="7"/>
      <c r="M844" s="7"/>
    </row>
    <row r="845" ht="15.75" customHeight="1">
      <c r="B845" s="7"/>
      <c r="M845" s="7"/>
    </row>
    <row r="846" ht="15.75" customHeight="1">
      <c r="B846" s="7"/>
      <c r="M846" s="7"/>
    </row>
    <row r="847" ht="15.75" customHeight="1">
      <c r="B847" s="7"/>
      <c r="M847" s="7"/>
    </row>
    <row r="848" ht="15.75" customHeight="1">
      <c r="B848" s="7"/>
      <c r="M848" s="7"/>
    </row>
    <row r="849" ht="15.75" customHeight="1">
      <c r="B849" s="7"/>
      <c r="M849" s="7"/>
    </row>
    <row r="850" ht="15.75" customHeight="1">
      <c r="B850" s="7"/>
      <c r="M850" s="7"/>
    </row>
    <row r="851" ht="15.75" customHeight="1">
      <c r="B851" s="7"/>
      <c r="M851" s="7"/>
    </row>
    <row r="852" ht="15.75" customHeight="1">
      <c r="B852" s="7"/>
      <c r="M852" s="7"/>
    </row>
    <row r="853" ht="15.75" customHeight="1">
      <c r="B853" s="7"/>
      <c r="M853" s="7"/>
    </row>
    <row r="854" ht="15.75" customHeight="1">
      <c r="B854" s="7"/>
      <c r="M854" s="7"/>
    </row>
    <row r="855" ht="15.75" customHeight="1">
      <c r="B855" s="7"/>
      <c r="M855" s="7"/>
    </row>
    <row r="856" ht="15.75" customHeight="1">
      <c r="B856" s="7"/>
      <c r="M856" s="7"/>
    </row>
    <row r="857" ht="15.75" customHeight="1">
      <c r="B857" s="7"/>
      <c r="M857" s="7"/>
    </row>
    <row r="858" ht="15.75" customHeight="1">
      <c r="B858" s="7"/>
      <c r="M858" s="7"/>
    </row>
    <row r="859" ht="15.75" customHeight="1">
      <c r="B859" s="7"/>
      <c r="M859" s="7"/>
    </row>
    <row r="860" ht="15.75" customHeight="1">
      <c r="B860" s="7"/>
      <c r="M860" s="7"/>
    </row>
    <row r="861" ht="15.75" customHeight="1">
      <c r="B861" s="7"/>
      <c r="M861" s="7"/>
    </row>
    <row r="862" ht="15.75" customHeight="1">
      <c r="B862" s="7"/>
      <c r="M862" s="7"/>
    </row>
    <row r="863" ht="15.75" customHeight="1">
      <c r="B863" s="7"/>
      <c r="M863" s="7"/>
    </row>
    <row r="864" ht="15.75" customHeight="1">
      <c r="B864" s="7"/>
      <c r="M864" s="7"/>
    </row>
    <row r="865" ht="15.75" customHeight="1">
      <c r="B865" s="7"/>
      <c r="M865" s="7"/>
    </row>
    <row r="866" ht="15.75" customHeight="1">
      <c r="B866" s="7"/>
      <c r="M866" s="7"/>
    </row>
    <row r="867" ht="15.75" customHeight="1">
      <c r="B867" s="7"/>
      <c r="M867" s="7"/>
    </row>
    <row r="868" ht="15.75" customHeight="1">
      <c r="B868" s="7"/>
      <c r="M868" s="7"/>
    </row>
    <row r="869" ht="15.75" customHeight="1">
      <c r="B869" s="7"/>
      <c r="M869" s="7"/>
    </row>
    <row r="870" ht="15.75" customHeight="1">
      <c r="B870" s="7"/>
      <c r="M870" s="7"/>
    </row>
    <row r="871" ht="15.75" customHeight="1">
      <c r="B871" s="7"/>
      <c r="M871" s="7"/>
    </row>
    <row r="872" ht="15.75" customHeight="1">
      <c r="B872" s="7"/>
      <c r="M872" s="7"/>
    </row>
    <row r="873" ht="15.75" customHeight="1">
      <c r="B873" s="7"/>
      <c r="M873" s="7"/>
    </row>
    <row r="874" ht="15.75" customHeight="1">
      <c r="B874" s="7"/>
      <c r="M874" s="7"/>
    </row>
    <row r="875" ht="15.75" customHeight="1">
      <c r="B875" s="7"/>
      <c r="M875" s="7"/>
    </row>
    <row r="876" ht="15.75" customHeight="1">
      <c r="B876" s="7"/>
      <c r="M876" s="7"/>
    </row>
    <row r="877" ht="15.75" customHeight="1">
      <c r="B877" s="7"/>
      <c r="M877" s="7"/>
    </row>
    <row r="878" ht="15.75" customHeight="1">
      <c r="B878" s="7"/>
      <c r="M878" s="7"/>
    </row>
    <row r="879" ht="15.75" customHeight="1">
      <c r="B879" s="7"/>
      <c r="M879" s="7"/>
    </row>
    <row r="880" ht="15.75" customHeight="1">
      <c r="B880" s="7"/>
      <c r="M880" s="7"/>
    </row>
    <row r="881" ht="15.75" customHeight="1">
      <c r="B881" s="7"/>
      <c r="M881" s="7"/>
    </row>
    <row r="882" ht="15.75" customHeight="1">
      <c r="B882" s="7"/>
      <c r="M882" s="7"/>
    </row>
    <row r="883" ht="15.75" customHeight="1">
      <c r="B883" s="7"/>
      <c r="M883" s="7"/>
    </row>
    <row r="884" ht="15.75" customHeight="1">
      <c r="B884" s="7"/>
      <c r="M884" s="7"/>
    </row>
    <row r="885" ht="15.75" customHeight="1">
      <c r="B885" s="7"/>
      <c r="M885" s="7"/>
    </row>
    <row r="886" ht="15.75" customHeight="1">
      <c r="B886" s="7"/>
      <c r="M886" s="7"/>
    </row>
    <row r="887" ht="15.75" customHeight="1">
      <c r="B887" s="7"/>
      <c r="M887" s="7"/>
    </row>
    <row r="888" ht="15.75" customHeight="1">
      <c r="B888" s="7"/>
      <c r="M888" s="7"/>
    </row>
    <row r="889" ht="15.75" customHeight="1">
      <c r="B889" s="7"/>
      <c r="M889" s="7"/>
    </row>
    <row r="890" ht="15.75" customHeight="1">
      <c r="B890" s="7"/>
      <c r="M890" s="7"/>
    </row>
    <row r="891" ht="15.75" customHeight="1">
      <c r="B891" s="7"/>
      <c r="M891" s="7"/>
    </row>
    <row r="892" ht="15.75" customHeight="1">
      <c r="B892" s="7"/>
      <c r="M892" s="7"/>
    </row>
    <row r="893" ht="15.75" customHeight="1">
      <c r="B893" s="7"/>
      <c r="M893" s="7"/>
    </row>
    <row r="894" ht="15.75" customHeight="1">
      <c r="B894" s="7"/>
      <c r="M894" s="7"/>
    </row>
    <row r="895" ht="15.75" customHeight="1">
      <c r="B895" s="7"/>
      <c r="M895" s="7"/>
    </row>
    <row r="896" ht="15.75" customHeight="1">
      <c r="B896" s="7"/>
      <c r="M896" s="7"/>
    </row>
    <row r="897" ht="15.75" customHeight="1">
      <c r="B897" s="7"/>
      <c r="M897" s="7"/>
    </row>
    <row r="898" ht="15.75" customHeight="1">
      <c r="B898" s="7"/>
      <c r="M898" s="7"/>
    </row>
    <row r="899" ht="15.75" customHeight="1">
      <c r="B899" s="7"/>
      <c r="M899" s="7"/>
    </row>
    <row r="900" ht="15.75" customHeight="1">
      <c r="B900" s="7"/>
      <c r="M900" s="7"/>
    </row>
    <row r="901" ht="15.75" customHeight="1">
      <c r="B901" s="7"/>
      <c r="M901" s="7"/>
    </row>
    <row r="902" ht="15.75" customHeight="1">
      <c r="B902" s="7"/>
      <c r="M902" s="7"/>
    </row>
    <row r="903" ht="15.75" customHeight="1">
      <c r="B903" s="7"/>
      <c r="M903" s="7"/>
    </row>
    <row r="904" ht="15.75" customHeight="1">
      <c r="B904" s="7"/>
      <c r="M904" s="7"/>
    </row>
    <row r="905" ht="15.75" customHeight="1">
      <c r="B905" s="7"/>
      <c r="M905" s="7"/>
    </row>
    <row r="906" ht="15.75" customHeight="1">
      <c r="B906" s="7"/>
      <c r="M906" s="7"/>
    </row>
    <row r="907" ht="15.75" customHeight="1">
      <c r="B907" s="7"/>
      <c r="M907" s="7"/>
    </row>
    <row r="908" ht="15.75" customHeight="1">
      <c r="B908" s="7"/>
      <c r="M908" s="7"/>
    </row>
    <row r="909" ht="15.75" customHeight="1">
      <c r="B909" s="7"/>
      <c r="M909" s="7"/>
    </row>
    <row r="910" ht="15.75" customHeight="1">
      <c r="B910" s="7"/>
      <c r="M910" s="7"/>
    </row>
    <row r="911" ht="15.75" customHeight="1">
      <c r="B911" s="7"/>
      <c r="M911" s="7"/>
    </row>
    <row r="912" ht="15.75" customHeight="1">
      <c r="B912" s="7"/>
      <c r="M912" s="7"/>
    </row>
    <row r="913" ht="15.75" customHeight="1">
      <c r="B913" s="7"/>
      <c r="M913" s="7"/>
    </row>
    <row r="914" ht="15.75" customHeight="1">
      <c r="B914" s="7"/>
      <c r="M914" s="7"/>
    </row>
    <row r="915" ht="15.75" customHeight="1">
      <c r="B915" s="7"/>
      <c r="M915" s="7"/>
    </row>
    <row r="916" ht="15.75" customHeight="1">
      <c r="B916" s="7"/>
      <c r="M916" s="7"/>
    </row>
    <row r="917" ht="15.75" customHeight="1">
      <c r="B917" s="7"/>
      <c r="M917" s="7"/>
    </row>
    <row r="918" ht="15.75" customHeight="1">
      <c r="B918" s="7"/>
      <c r="M918" s="7"/>
    </row>
    <row r="919" ht="15.75" customHeight="1">
      <c r="B919" s="7"/>
      <c r="M919" s="7"/>
    </row>
    <row r="920" ht="15.75" customHeight="1">
      <c r="B920" s="7"/>
      <c r="M920" s="7"/>
    </row>
    <row r="921" ht="15.75" customHeight="1">
      <c r="B921" s="7"/>
      <c r="M921" s="7"/>
    </row>
    <row r="922" ht="15.75" customHeight="1">
      <c r="B922" s="7"/>
      <c r="M922" s="7"/>
    </row>
    <row r="923" ht="15.75" customHeight="1">
      <c r="B923" s="7"/>
      <c r="M923" s="7"/>
    </row>
    <row r="924" ht="15.75" customHeight="1">
      <c r="B924" s="7"/>
      <c r="M924" s="7"/>
    </row>
    <row r="925" ht="15.75" customHeight="1">
      <c r="B925" s="7"/>
      <c r="M925" s="7"/>
    </row>
    <row r="926" ht="15.75" customHeight="1">
      <c r="B926" s="7"/>
      <c r="M926" s="7"/>
    </row>
    <row r="927" ht="15.75" customHeight="1">
      <c r="B927" s="7"/>
      <c r="M927" s="7"/>
    </row>
    <row r="928" ht="15.75" customHeight="1">
      <c r="B928" s="7"/>
      <c r="M928" s="7"/>
    </row>
    <row r="929" ht="15.75" customHeight="1">
      <c r="B929" s="7"/>
      <c r="M929" s="7"/>
    </row>
    <row r="930" ht="15.75" customHeight="1">
      <c r="B930" s="7"/>
      <c r="M930" s="7"/>
    </row>
    <row r="931" ht="15.75" customHeight="1">
      <c r="B931" s="7"/>
      <c r="M931" s="7"/>
    </row>
    <row r="932" ht="15.75" customHeight="1">
      <c r="B932" s="7"/>
      <c r="M932" s="7"/>
    </row>
    <row r="933" ht="15.75" customHeight="1">
      <c r="B933" s="7"/>
      <c r="M933" s="7"/>
    </row>
    <row r="934" ht="15.75" customHeight="1">
      <c r="B934" s="7"/>
      <c r="M934" s="7"/>
    </row>
    <row r="935" ht="15.75" customHeight="1">
      <c r="B935" s="7"/>
      <c r="M935" s="7"/>
    </row>
    <row r="936" ht="15.75" customHeight="1">
      <c r="B936" s="7"/>
      <c r="M936" s="7"/>
    </row>
    <row r="937" ht="15.75" customHeight="1">
      <c r="B937" s="7"/>
      <c r="M937" s="7"/>
    </row>
    <row r="938" ht="15.75" customHeight="1">
      <c r="B938" s="7"/>
      <c r="M938" s="7"/>
    </row>
    <row r="939" ht="15.75" customHeight="1">
      <c r="B939" s="7"/>
      <c r="M939" s="7"/>
    </row>
    <row r="940" ht="15.75" customHeight="1">
      <c r="B940" s="7"/>
      <c r="M940" s="7"/>
    </row>
    <row r="941" ht="15.75" customHeight="1">
      <c r="B941" s="7"/>
      <c r="M941" s="7"/>
    </row>
    <row r="942" ht="15.75" customHeight="1">
      <c r="B942" s="7"/>
      <c r="M942" s="7"/>
    </row>
    <row r="943" ht="15.75" customHeight="1">
      <c r="B943" s="7"/>
      <c r="M943" s="7"/>
    </row>
    <row r="944" ht="15.75" customHeight="1">
      <c r="B944" s="7"/>
      <c r="M944" s="7"/>
    </row>
    <row r="945" ht="15.75" customHeight="1">
      <c r="B945" s="7"/>
      <c r="M945" s="7"/>
    </row>
    <row r="946" ht="15.75" customHeight="1">
      <c r="B946" s="7"/>
      <c r="M946" s="7"/>
    </row>
    <row r="947" ht="15.75" customHeight="1">
      <c r="B947" s="7"/>
      <c r="M947" s="7"/>
    </row>
    <row r="948" ht="15.75" customHeight="1">
      <c r="B948" s="7"/>
      <c r="M948" s="7"/>
    </row>
    <row r="949" ht="15.75" customHeight="1">
      <c r="B949" s="7"/>
      <c r="M949" s="7"/>
    </row>
    <row r="950" ht="15.75" customHeight="1">
      <c r="B950" s="7"/>
      <c r="M950" s="7"/>
    </row>
    <row r="951" ht="15.75" customHeight="1">
      <c r="B951" s="7"/>
      <c r="M951" s="7"/>
    </row>
    <row r="952" ht="15.75" customHeight="1">
      <c r="B952" s="7"/>
      <c r="M952" s="7"/>
    </row>
    <row r="953" ht="15.75" customHeight="1">
      <c r="B953" s="7"/>
      <c r="M953" s="7"/>
    </row>
    <row r="954" ht="15.75" customHeight="1">
      <c r="B954" s="7"/>
      <c r="M954" s="7"/>
    </row>
    <row r="955" ht="15.75" customHeight="1">
      <c r="B955" s="7"/>
      <c r="M955" s="7"/>
    </row>
    <row r="956" ht="15.75" customHeight="1">
      <c r="B956" s="7"/>
      <c r="M956" s="7"/>
    </row>
    <row r="957" ht="15.75" customHeight="1">
      <c r="B957" s="7"/>
      <c r="M957" s="7"/>
    </row>
    <row r="958" ht="15.75" customHeight="1">
      <c r="B958" s="7"/>
      <c r="M958" s="7"/>
    </row>
    <row r="959" ht="15.75" customHeight="1">
      <c r="B959" s="7"/>
      <c r="M959" s="7"/>
    </row>
    <row r="960" ht="15.75" customHeight="1">
      <c r="B960" s="7"/>
      <c r="M960" s="7"/>
    </row>
    <row r="961" ht="15.75" customHeight="1">
      <c r="B961" s="7"/>
      <c r="M961" s="7"/>
    </row>
    <row r="962" ht="15.75" customHeight="1">
      <c r="B962" s="7"/>
      <c r="M962" s="7"/>
    </row>
    <row r="963" ht="15.75" customHeight="1">
      <c r="B963" s="7"/>
      <c r="M963" s="7"/>
    </row>
    <row r="964" ht="15.75" customHeight="1">
      <c r="B964" s="7"/>
      <c r="M964" s="7"/>
    </row>
    <row r="965" ht="15.75" customHeight="1">
      <c r="B965" s="7"/>
      <c r="M965" s="7"/>
    </row>
    <row r="966" ht="15.75" customHeight="1">
      <c r="B966" s="7"/>
      <c r="M966" s="7"/>
    </row>
    <row r="967" ht="15.75" customHeight="1">
      <c r="B967" s="7"/>
      <c r="M967" s="7"/>
    </row>
    <row r="968" ht="15.75" customHeight="1">
      <c r="B968" s="7"/>
      <c r="M968" s="7"/>
    </row>
    <row r="969" ht="15.75" customHeight="1">
      <c r="B969" s="7"/>
      <c r="M969" s="7"/>
    </row>
    <row r="970" ht="15.75" customHeight="1">
      <c r="B970" s="7"/>
      <c r="M970" s="7"/>
    </row>
    <row r="971" ht="15.75" customHeight="1">
      <c r="B971" s="7"/>
      <c r="M971" s="7"/>
    </row>
    <row r="972" ht="15.75" customHeight="1">
      <c r="B972" s="7"/>
      <c r="M972" s="7"/>
    </row>
    <row r="973" ht="15.75" customHeight="1">
      <c r="B973" s="7"/>
      <c r="M973" s="7"/>
    </row>
    <row r="974" ht="15.75" customHeight="1">
      <c r="B974" s="7"/>
      <c r="M974" s="7"/>
    </row>
    <row r="975" ht="15.75" customHeight="1">
      <c r="B975" s="7"/>
      <c r="M975" s="7"/>
    </row>
    <row r="976" ht="15.75" customHeight="1">
      <c r="B976" s="7"/>
      <c r="M976" s="7"/>
    </row>
    <row r="977" ht="15.75" customHeight="1">
      <c r="B977" s="7"/>
      <c r="M977" s="7"/>
    </row>
    <row r="978" ht="15.75" customHeight="1">
      <c r="B978" s="7"/>
      <c r="M978" s="7"/>
    </row>
    <row r="979" ht="15.75" customHeight="1">
      <c r="B979" s="7"/>
      <c r="M979" s="7"/>
    </row>
    <row r="980" ht="15.75" customHeight="1">
      <c r="B980" s="7"/>
      <c r="M980" s="7"/>
    </row>
    <row r="981" ht="15.75" customHeight="1">
      <c r="B981" s="7"/>
      <c r="M981" s="7"/>
    </row>
    <row r="982" ht="15.75" customHeight="1">
      <c r="B982" s="7"/>
      <c r="M982" s="7"/>
    </row>
    <row r="983" ht="15.75" customHeight="1">
      <c r="B983" s="7"/>
      <c r="M983" s="7"/>
    </row>
    <row r="984" ht="15.75" customHeight="1">
      <c r="B984" s="7"/>
      <c r="M984" s="7"/>
    </row>
    <row r="985" ht="15.75" customHeight="1">
      <c r="B985" s="7"/>
      <c r="M985" s="7"/>
    </row>
    <row r="986" ht="15.75" customHeight="1">
      <c r="B986" s="7"/>
      <c r="M986" s="7"/>
    </row>
    <row r="987" ht="15.75" customHeight="1">
      <c r="B987" s="7"/>
      <c r="M987" s="7"/>
    </row>
    <row r="988" ht="15.75" customHeight="1">
      <c r="B988" s="7"/>
      <c r="M988" s="7"/>
    </row>
    <row r="989" ht="15.75" customHeight="1">
      <c r="B989" s="7"/>
      <c r="M989" s="7"/>
    </row>
    <row r="990" ht="15.75" customHeight="1">
      <c r="B990" s="7"/>
      <c r="M990" s="7"/>
    </row>
    <row r="991" ht="15.75" customHeight="1">
      <c r="B991" s="7"/>
      <c r="M991" s="7"/>
    </row>
    <row r="992" ht="15.75" customHeight="1">
      <c r="B992" s="7"/>
      <c r="M992" s="7"/>
    </row>
    <row r="993" ht="15.75" customHeight="1">
      <c r="B993" s="7"/>
      <c r="M993" s="7"/>
    </row>
    <row r="994" ht="15.75" customHeight="1">
      <c r="B994" s="7"/>
      <c r="M994" s="7"/>
    </row>
    <row r="995" ht="15.75" customHeight="1">
      <c r="B995" s="7"/>
      <c r="M995" s="7"/>
    </row>
    <row r="996" ht="15.75" customHeight="1">
      <c r="B996" s="7"/>
      <c r="M996" s="7"/>
    </row>
    <row r="997" ht="15.75" customHeight="1">
      <c r="B997" s="7"/>
      <c r="M997" s="7"/>
    </row>
    <row r="998" ht="15.75" customHeight="1">
      <c r="B998" s="7"/>
      <c r="M998" s="7"/>
    </row>
    <row r="999" ht="15.75" customHeight="1">
      <c r="B999" s="7"/>
      <c r="M999" s="7"/>
    </row>
    <row r="1000" ht="15.75" customHeight="1">
      <c r="B1000" s="7"/>
      <c r="M1000" s="7"/>
    </row>
    <row r="1001" ht="15.75" customHeight="1">
      <c r="B1001" s="7"/>
      <c r="M1001" s="7"/>
    </row>
    <row r="1002" ht="15.75" customHeight="1">
      <c r="B1002" s="7"/>
      <c r="M1002" s="7"/>
    </row>
  </sheetData>
  <autoFilter ref="$B$7:$N$120"/>
  <mergeCells count="3">
    <mergeCell ref="B1:F1"/>
    <mergeCell ref="C2:F2"/>
    <mergeCell ref="C3:F3"/>
  </mergeCells>
  <hyperlinks>
    <hyperlink r:id="rId1" ref="C3"/>
  </hyperlinks>
  <printOptions/>
  <pageMargins bottom="0.787401575" footer="0.0" header="0.0" left="0.511811024" right="0.511811024" top="0.7874015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14"/>
    <col customWidth="1" min="2" max="2" width="16.29"/>
    <col customWidth="1" min="3" max="3" width="11.86"/>
    <col customWidth="1" min="4" max="4" width="8.86"/>
    <col customWidth="1" min="5" max="5" width="18.43"/>
    <col customWidth="1" min="6" max="6" width="15.43"/>
    <col customWidth="1" min="7" max="7" width="43.0"/>
    <col customWidth="1" min="8" max="8" width="20.43"/>
    <col customWidth="1" min="9" max="9" width="12.86"/>
    <col customWidth="1" min="10" max="10" width="15.71"/>
    <col customWidth="1" min="11" max="11" width="19.0"/>
    <col customWidth="1" min="12" max="12" width="12.43"/>
    <col customWidth="1" min="13" max="13" width="26.43"/>
    <col customWidth="1" min="14" max="14" width="10.71"/>
  </cols>
  <sheetData>
    <row r="1" ht="63.75" customHeight="1">
      <c r="B1" s="129" t="s">
        <v>1</v>
      </c>
      <c r="C1" s="3"/>
      <c r="D1" s="3"/>
      <c r="E1" s="3"/>
      <c r="F1" s="3"/>
      <c r="G1" s="4"/>
    </row>
    <row r="2" ht="39.0" customHeight="1">
      <c r="B2" s="130" t="s">
        <v>2</v>
      </c>
      <c r="C2" s="9" t="s">
        <v>3</v>
      </c>
      <c r="D2" s="10"/>
      <c r="E2" s="10"/>
      <c r="F2" s="11"/>
    </row>
    <row r="3" ht="32.25" customHeight="1">
      <c r="B3" s="131" t="s">
        <v>4638</v>
      </c>
      <c r="C3" s="15" t="s">
        <v>5</v>
      </c>
      <c r="D3" s="16"/>
      <c r="E3" s="16"/>
      <c r="F3" s="17"/>
    </row>
    <row r="4">
      <c r="E4" s="139"/>
      <c r="F4" s="12"/>
    </row>
    <row r="5">
      <c r="B5" s="132">
        <f>TODAY()</f>
        <v>46294</v>
      </c>
      <c r="E5" s="139"/>
      <c r="F5" s="12"/>
    </row>
    <row r="6">
      <c r="E6" s="139"/>
      <c r="F6" s="12"/>
    </row>
    <row r="7">
      <c r="B7" s="24" t="s">
        <v>8</v>
      </c>
      <c r="C7" s="24" t="s">
        <v>9</v>
      </c>
      <c r="D7" s="24" t="s">
        <v>14</v>
      </c>
      <c r="E7" s="140" t="s">
        <v>11</v>
      </c>
      <c r="F7" s="23" t="s">
        <v>13</v>
      </c>
      <c r="G7" s="28" t="s">
        <v>15</v>
      </c>
      <c r="H7" s="28" t="s">
        <v>16</v>
      </c>
      <c r="I7" s="26" t="s">
        <v>29</v>
      </c>
      <c r="J7" s="26" t="s">
        <v>4639</v>
      </c>
      <c r="K7" s="26" t="s">
        <v>19</v>
      </c>
      <c r="L7" s="26" t="s">
        <v>4640</v>
      </c>
      <c r="M7" s="26" t="s">
        <v>4641</v>
      </c>
      <c r="N7" s="26" t="s">
        <v>4642</v>
      </c>
    </row>
    <row r="8" ht="15.75" hidden="1" customHeight="1">
      <c r="B8" s="36" t="s">
        <v>35</v>
      </c>
      <c r="C8" s="36" t="s">
        <v>35</v>
      </c>
      <c r="D8" s="36">
        <v>10.0</v>
      </c>
      <c r="E8" s="38">
        <v>93.0</v>
      </c>
      <c r="F8" s="38">
        <f t="shared" ref="F8:F208" si="1">D8*E8</f>
        <v>930</v>
      </c>
      <c r="G8" s="36" t="s">
        <v>4678</v>
      </c>
      <c r="H8" s="144" t="s">
        <v>4679</v>
      </c>
      <c r="I8" s="36" t="s">
        <v>241</v>
      </c>
      <c r="J8" s="36" t="s">
        <v>35</v>
      </c>
      <c r="K8" s="36" t="s">
        <v>35</v>
      </c>
      <c r="L8" s="36" t="s">
        <v>300</v>
      </c>
      <c r="M8" s="34">
        <v>46064.0</v>
      </c>
      <c r="N8" s="36"/>
    </row>
    <row r="9" ht="15.75" hidden="1" customHeight="1">
      <c r="B9" s="36" t="s">
        <v>35</v>
      </c>
      <c r="C9" s="36" t="s">
        <v>35</v>
      </c>
      <c r="D9" s="36">
        <v>10.0</v>
      </c>
      <c r="E9" s="38">
        <v>129.9</v>
      </c>
      <c r="F9" s="38">
        <f t="shared" si="1"/>
        <v>1299</v>
      </c>
      <c r="G9" s="36" t="s">
        <v>4683</v>
      </c>
      <c r="H9" s="144" t="s">
        <v>4685</v>
      </c>
      <c r="I9" s="36" t="s">
        <v>96</v>
      </c>
      <c r="J9" s="36" t="s">
        <v>35</v>
      </c>
      <c r="K9" s="36" t="s">
        <v>35</v>
      </c>
      <c r="L9" s="36" t="s">
        <v>41</v>
      </c>
      <c r="M9" s="34">
        <v>46064.0</v>
      </c>
      <c r="N9" s="36"/>
    </row>
    <row r="10" ht="15.75" hidden="1" customHeight="1">
      <c r="B10" s="36" t="s">
        <v>35</v>
      </c>
      <c r="C10" s="36" t="s">
        <v>35</v>
      </c>
      <c r="D10" s="36">
        <v>24.0</v>
      </c>
      <c r="E10" s="38">
        <v>185.0</v>
      </c>
      <c r="F10" s="38">
        <f t="shared" si="1"/>
        <v>4440</v>
      </c>
      <c r="G10" s="36" t="s">
        <v>4687</v>
      </c>
      <c r="H10" s="144" t="s">
        <v>1007</v>
      </c>
      <c r="I10" s="36" t="s">
        <v>4688</v>
      </c>
      <c r="J10" s="36" t="s">
        <v>35</v>
      </c>
      <c r="K10" s="36" t="s">
        <v>35</v>
      </c>
      <c r="L10" s="36" t="s">
        <v>41</v>
      </c>
      <c r="M10" s="34">
        <v>46064.0</v>
      </c>
      <c r="N10" s="36"/>
    </row>
    <row r="11" ht="15.75" hidden="1" customHeight="1">
      <c r="B11" s="36" t="s">
        <v>35</v>
      </c>
      <c r="C11" s="36" t="s">
        <v>35</v>
      </c>
      <c r="D11" s="36">
        <v>30.0</v>
      </c>
      <c r="E11" s="38">
        <v>55.0</v>
      </c>
      <c r="F11" s="38">
        <f t="shared" si="1"/>
        <v>1650</v>
      </c>
      <c r="G11" s="36" t="s">
        <v>4687</v>
      </c>
      <c r="H11" s="144" t="s">
        <v>1003</v>
      </c>
      <c r="I11" s="36" t="s">
        <v>4688</v>
      </c>
      <c r="J11" s="36" t="s">
        <v>35</v>
      </c>
      <c r="K11" s="36" t="s">
        <v>35</v>
      </c>
      <c r="L11" s="36" t="s">
        <v>41</v>
      </c>
      <c r="M11" s="34">
        <v>46064.0</v>
      </c>
      <c r="N11" s="36"/>
    </row>
    <row r="12" ht="15.75" hidden="1" customHeight="1">
      <c r="B12" s="36" t="s">
        <v>35</v>
      </c>
      <c r="C12" s="36" t="s">
        <v>35</v>
      </c>
      <c r="D12" s="36">
        <v>18.0</v>
      </c>
      <c r="E12" s="38">
        <v>145.0</v>
      </c>
      <c r="F12" s="38">
        <f t="shared" si="1"/>
        <v>2610</v>
      </c>
      <c r="G12" s="36" t="s">
        <v>4687</v>
      </c>
      <c r="H12" s="144" t="s">
        <v>1013</v>
      </c>
      <c r="I12" s="36" t="s">
        <v>4688</v>
      </c>
      <c r="J12" s="36" t="s">
        <v>35</v>
      </c>
      <c r="K12" s="36" t="s">
        <v>35</v>
      </c>
      <c r="L12" s="36" t="s">
        <v>41</v>
      </c>
      <c r="M12" s="34">
        <v>46064.0</v>
      </c>
      <c r="N12" s="36"/>
    </row>
    <row r="13" ht="15.75" hidden="1" customHeight="1">
      <c r="B13" s="36" t="s">
        <v>35</v>
      </c>
      <c r="C13" s="36" t="s">
        <v>35</v>
      </c>
      <c r="D13" s="36">
        <v>100.0</v>
      </c>
      <c r="E13" s="38">
        <v>23.0</v>
      </c>
      <c r="F13" s="38">
        <f t="shared" si="1"/>
        <v>2300</v>
      </c>
      <c r="G13" s="36" t="s">
        <v>4693</v>
      </c>
      <c r="H13" s="144" t="s">
        <v>4694</v>
      </c>
      <c r="I13" s="36" t="s">
        <v>241</v>
      </c>
      <c r="J13" s="36" t="s">
        <v>35</v>
      </c>
      <c r="K13" s="36" t="s">
        <v>35</v>
      </c>
      <c r="L13" s="36" t="s">
        <v>4696</v>
      </c>
      <c r="M13" s="34">
        <v>46071.0</v>
      </c>
      <c r="N13" s="36"/>
    </row>
    <row r="14" ht="15.75" hidden="1" customHeight="1">
      <c r="B14" s="36" t="s">
        <v>35</v>
      </c>
      <c r="C14" s="36" t="s">
        <v>35</v>
      </c>
      <c r="D14" s="36">
        <v>10.0</v>
      </c>
      <c r="E14" s="38">
        <v>129.9</v>
      </c>
      <c r="F14" s="38">
        <f t="shared" si="1"/>
        <v>1299</v>
      </c>
      <c r="G14" s="36" t="s">
        <v>4683</v>
      </c>
      <c r="H14" s="144" t="s">
        <v>4685</v>
      </c>
      <c r="I14" s="36" t="s">
        <v>96</v>
      </c>
      <c r="J14" s="36" t="s">
        <v>35</v>
      </c>
      <c r="K14" s="36" t="s">
        <v>35</v>
      </c>
      <c r="L14" s="36" t="s">
        <v>41</v>
      </c>
      <c r="M14" s="34">
        <v>46073.0</v>
      </c>
      <c r="N14" s="36"/>
    </row>
    <row r="15" ht="15.75" hidden="1" customHeight="1">
      <c r="B15" s="36" t="s">
        <v>35</v>
      </c>
      <c r="C15" s="36" t="s">
        <v>35</v>
      </c>
      <c r="D15" s="36">
        <v>7.0</v>
      </c>
      <c r="E15" s="38">
        <v>162.0</v>
      </c>
      <c r="F15" s="38">
        <f t="shared" si="1"/>
        <v>1134</v>
      </c>
      <c r="G15" s="36" t="s">
        <v>4699</v>
      </c>
      <c r="H15" s="144" t="s">
        <v>4700</v>
      </c>
      <c r="I15" s="36" t="s">
        <v>279</v>
      </c>
      <c r="J15" s="36" t="s">
        <v>35</v>
      </c>
      <c r="K15" s="36" t="s">
        <v>35</v>
      </c>
      <c r="L15" s="36" t="s">
        <v>41</v>
      </c>
      <c r="M15" s="34">
        <v>46073.0</v>
      </c>
      <c r="N15" s="36"/>
    </row>
    <row r="16" ht="15.75" hidden="1" customHeight="1">
      <c r="B16" s="36" t="s">
        <v>35</v>
      </c>
      <c r="C16" s="36" t="s">
        <v>35</v>
      </c>
      <c r="D16" s="36">
        <v>1.0</v>
      </c>
      <c r="E16" s="38">
        <v>309.9</v>
      </c>
      <c r="F16" s="38">
        <f t="shared" si="1"/>
        <v>309.9</v>
      </c>
      <c r="G16" s="36" t="s">
        <v>4701</v>
      </c>
      <c r="H16" s="144" t="s">
        <v>459</v>
      </c>
      <c r="I16" s="36" t="s">
        <v>96</v>
      </c>
      <c r="J16" s="36" t="s">
        <v>35</v>
      </c>
      <c r="K16" s="36" t="s">
        <v>35</v>
      </c>
      <c r="L16" s="36" t="s">
        <v>41</v>
      </c>
      <c r="M16" s="34">
        <v>46073.0</v>
      </c>
      <c r="N16" s="36"/>
    </row>
    <row r="17" ht="15.75" hidden="1" customHeight="1">
      <c r="B17" s="36" t="s">
        <v>35</v>
      </c>
      <c r="C17" s="36" t="s">
        <v>35</v>
      </c>
      <c r="D17" s="36">
        <v>24.0</v>
      </c>
      <c r="E17" s="38">
        <v>185.0</v>
      </c>
      <c r="F17" s="38">
        <f t="shared" si="1"/>
        <v>4440</v>
      </c>
      <c r="G17" s="36" t="s">
        <v>4687</v>
      </c>
      <c r="H17" s="144" t="s">
        <v>1007</v>
      </c>
      <c r="I17" s="36" t="s">
        <v>4688</v>
      </c>
      <c r="J17" s="36" t="s">
        <v>35</v>
      </c>
      <c r="K17" s="36" t="s">
        <v>35</v>
      </c>
      <c r="L17" s="36" t="s">
        <v>41</v>
      </c>
      <c r="M17" s="34">
        <v>46073.0</v>
      </c>
      <c r="N17" s="36"/>
    </row>
    <row r="18" ht="15.75" hidden="1" customHeight="1">
      <c r="B18" s="36" t="s">
        <v>35</v>
      </c>
      <c r="C18" s="36" t="s">
        <v>35</v>
      </c>
      <c r="D18" s="36">
        <v>100.0</v>
      </c>
      <c r="E18" s="38">
        <v>12.99</v>
      </c>
      <c r="F18" s="38">
        <f t="shared" si="1"/>
        <v>1299</v>
      </c>
      <c r="G18" s="36" t="s">
        <v>4704</v>
      </c>
      <c r="H18" s="144" t="s">
        <v>4705</v>
      </c>
      <c r="I18" s="36" t="s">
        <v>96</v>
      </c>
      <c r="J18" s="36" t="s">
        <v>35</v>
      </c>
      <c r="K18" s="36" t="s">
        <v>35</v>
      </c>
      <c r="L18" s="36" t="s">
        <v>32</v>
      </c>
      <c r="M18" s="34">
        <v>46073.0</v>
      </c>
      <c r="N18" s="36"/>
    </row>
    <row r="19" ht="15.75" hidden="1" customHeight="1">
      <c r="B19" s="36" t="s">
        <v>35</v>
      </c>
      <c r="C19" s="36" t="s">
        <v>35</v>
      </c>
      <c r="D19" s="36">
        <v>48.0</v>
      </c>
      <c r="E19" s="38">
        <v>21.0</v>
      </c>
      <c r="F19" s="38">
        <f t="shared" si="1"/>
        <v>1008</v>
      </c>
      <c r="G19" s="36" t="s">
        <v>4707</v>
      </c>
      <c r="H19" s="144" t="s">
        <v>4709</v>
      </c>
      <c r="I19" s="36" t="s">
        <v>241</v>
      </c>
      <c r="J19" s="36" t="s">
        <v>35</v>
      </c>
      <c r="K19" s="36" t="s">
        <v>35</v>
      </c>
      <c r="L19" s="36" t="s">
        <v>32</v>
      </c>
      <c r="M19" s="34">
        <v>46073.0</v>
      </c>
      <c r="N19" s="36"/>
    </row>
    <row r="20" ht="15.75" hidden="1" customHeight="1">
      <c r="B20" s="36" t="s">
        <v>35</v>
      </c>
      <c r="C20" s="36" t="s">
        <v>35</v>
      </c>
      <c r="D20" s="36">
        <v>1.0</v>
      </c>
      <c r="E20" s="38">
        <v>49.0</v>
      </c>
      <c r="F20" s="38">
        <f t="shared" si="1"/>
        <v>49</v>
      </c>
      <c r="G20" s="36" t="s">
        <v>4711</v>
      </c>
      <c r="H20" s="144" t="s">
        <v>4712</v>
      </c>
      <c r="I20" s="36" t="s">
        <v>210</v>
      </c>
      <c r="J20" s="36" t="s">
        <v>35</v>
      </c>
      <c r="K20" s="36" t="s">
        <v>35</v>
      </c>
      <c r="L20" s="36" t="s">
        <v>32</v>
      </c>
      <c r="M20" s="34">
        <v>46073.0</v>
      </c>
      <c r="N20" s="36"/>
    </row>
    <row r="21" ht="15.75" hidden="1" customHeight="1">
      <c r="B21" s="36" t="s">
        <v>35</v>
      </c>
      <c r="C21" s="36" t="s">
        <v>35</v>
      </c>
      <c r="D21" s="36">
        <v>1.0</v>
      </c>
      <c r="E21" s="38">
        <v>478.95</v>
      </c>
      <c r="F21" s="38">
        <f t="shared" si="1"/>
        <v>478.95</v>
      </c>
      <c r="G21" s="36" t="s">
        <v>4714</v>
      </c>
      <c r="H21" s="144" t="s">
        <v>4715</v>
      </c>
      <c r="I21" s="36" t="s">
        <v>4717</v>
      </c>
      <c r="J21" s="36" t="s">
        <v>35</v>
      </c>
      <c r="K21" s="36" t="s">
        <v>35</v>
      </c>
      <c r="L21" s="36" t="s">
        <v>41</v>
      </c>
      <c r="M21" s="34">
        <v>46078.0</v>
      </c>
      <c r="N21" s="36"/>
    </row>
    <row r="22" ht="15.75" hidden="1" customHeight="1">
      <c r="B22" s="36" t="s">
        <v>35</v>
      </c>
      <c r="C22" s="36" t="s">
        <v>35</v>
      </c>
      <c r="D22" s="36">
        <v>1.0</v>
      </c>
      <c r="E22" s="38">
        <v>26.0</v>
      </c>
      <c r="F22" s="38">
        <f t="shared" si="1"/>
        <v>26</v>
      </c>
      <c r="G22" s="36" t="s">
        <v>710</v>
      </c>
      <c r="H22" s="144" t="s">
        <v>712</v>
      </c>
      <c r="I22" s="36" t="s">
        <v>698</v>
      </c>
      <c r="J22" s="36" t="s">
        <v>35</v>
      </c>
      <c r="K22" s="36" t="s">
        <v>35</v>
      </c>
      <c r="L22" s="36" t="s">
        <v>221</v>
      </c>
      <c r="M22" s="34">
        <v>46078.0</v>
      </c>
      <c r="N22" s="36"/>
    </row>
    <row r="23" ht="15.75" hidden="1" customHeight="1">
      <c r="B23" s="36" t="s">
        <v>35</v>
      </c>
      <c r="C23" s="36" t="s">
        <v>35</v>
      </c>
      <c r="D23" s="36">
        <v>200.0</v>
      </c>
      <c r="E23" s="38">
        <v>5.6</v>
      </c>
      <c r="F23" s="38">
        <f t="shared" si="1"/>
        <v>1120</v>
      </c>
      <c r="G23" s="36" t="s">
        <v>4721</v>
      </c>
      <c r="H23" s="144" t="s">
        <v>4722</v>
      </c>
      <c r="I23" s="36" t="s">
        <v>241</v>
      </c>
      <c r="J23" s="36" t="s">
        <v>35</v>
      </c>
      <c r="K23" s="36" t="s">
        <v>35</v>
      </c>
      <c r="L23" s="36" t="s">
        <v>221</v>
      </c>
      <c r="M23" s="34">
        <v>46079.0</v>
      </c>
      <c r="N23" s="36"/>
    </row>
    <row r="24" ht="15.75" hidden="1" customHeight="1">
      <c r="B24" s="36" t="s">
        <v>35</v>
      </c>
      <c r="C24" s="36" t="s">
        <v>35</v>
      </c>
      <c r="D24" s="36">
        <v>4.0</v>
      </c>
      <c r="E24" s="38">
        <v>275.0</v>
      </c>
      <c r="F24" s="38">
        <f t="shared" si="1"/>
        <v>1100</v>
      </c>
      <c r="G24" s="36" t="s">
        <v>4724</v>
      </c>
      <c r="H24" s="144" t="s">
        <v>4725</v>
      </c>
      <c r="I24" s="36" t="s">
        <v>241</v>
      </c>
      <c r="J24" s="36" t="s">
        <v>35</v>
      </c>
      <c r="K24" s="36" t="s">
        <v>35</v>
      </c>
      <c r="L24" s="36" t="s">
        <v>221</v>
      </c>
      <c r="M24" s="34">
        <v>46079.0</v>
      </c>
      <c r="N24" s="36"/>
    </row>
    <row r="25" ht="15.75" hidden="1" customHeight="1">
      <c r="B25" s="36" t="s">
        <v>35</v>
      </c>
      <c r="C25" s="36" t="s">
        <v>35</v>
      </c>
      <c r="D25" s="36">
        <v>5.0</v>
      </c>
      <c r="E25" s="38">
        <v>1760.0</v>
      </c>
      <c r="F25" s="38">
        <f t="shared" si="1"/>
        <v>8800</v>
      </c>
      <c r="G25" s="36" t="s">
        <v>1332</v>
      </c>
      <c r="H25" s="144" t="s">
        <v>4643</v>
      </c>
      <c r="I25" s="36" t="s">
        <v>151</v>
      </c>
      <c r="J25" s="36" t="s">
        <v>35</v>
      </c>
      <c r="K25" s="36" t="s">
        <v>35</v>
      </c>
      <c r="L25" s="36" t="s">
        <v>41</v>
      </c>
      <c r="M25" s="34">
        <v>46080.0</v>
      </c>
      <c r="N25" s="36"/>
    </row>
    <row r="26" ht="15.75" hidden="1" customHeight="1">
      <c r="B26" s="36" t="s">
        <v>35</v>
      </c>
      <c r="C26" s="36" t="s">
        <v>35</v>
      </c>
      <c r="D26" s="36">
        <v>30.0</v>
      </c>
      <c r="E26" s="38">
        <v>60.0</v>
      </c>
      <c r="F26" s="38">
        <f t="shared" si="1"/>
        <v>1800</v>
      </c>
      <c r="G26" s="36" t="s">
        <v>4727</v>
      </c>
      <c r="H26" s="144" t="s">
        <v>627</v>
      </c>
      <c r="I26" s="36" t="s">
        <v>241</v>
      </c>
      <c r="J26" s="36" t="s">
        <v>35</v>
      </c>
      <c r="K26" s="36" t="s">
        <v>35</v>
      </c>
      <c r="L26" s="36" t="s">
        <v>4696</v>
      </c>
      <c r="M26" s="34">
        <v>46080.0</v>
      </c>
      <c r="N26" s="36"/>
    </row>
    <row r="27" ht="14.25" hidden="1" customHeight="1">
      <c r="B27" s="36" t="s">
        <v>35</v>
      </c>
      <c r="C27" s="36" t="s">
        <v>35</v>
      </c>
      <c r="D27" s="36">
        <v>4.0</v>
      </c>
      <c r="E27" s="38">
        <v>198.0</v>
      </c>
      <c r="F27" s="38">
        <f t="shared" si="1"/>
        <v>792</v>
      </c>
      <c r="G27" s="36" t="s">
        <v>4724</v>
      </c>
      <c r="H27" s="144" t="s">
        <v>4729</v>
      </c>
      <c r="I27" s="36" t="s">
        <v>241</v>
      </c>
      <c r="J27" s="36" t="s">
        <v>35</v>
      </c>
      <c r="K27" s="36" t="s">
        <v>35</v>
      </c>
      <c r="L27" s="36" t="s">
        <v>221</v>
      </c>
      <c r="M27" s="34">
        <v>46083.0</v>
      </c>
      <c r="N27" s="36"/>
    </row>
    <row r="28" ht="15.75" hidden="1" customHeight="1">
      <c r="B28" s="36" t="s">
        <v>35</v>
      </c>
      <c r="C28" s="36" t="s">
        <v>35</v>
      </c>
      <c r="D28" s="36">
        <v>24.0</v>
      </c>
      <c r="E28" s="38">
        <v>68.0</v>
      </c>
      <c r="F28" s="38">
        <f t="shared" si="1"/>
        <v>1632</v>
      </c>
      <c r="G28" s="36" t="s">
        <v>4731</v>
      </c>
      <c r="H28" s="144" t="s">
        <v>4732</v>
      </c>
      <c r="I28" s="36" t="s">
        <v>241</v>
      </c>
      <c r="J28" s="36" t="s">
        <v>35</v>
      </c>
      <c r="K28" s="36" t="s">
        <v>35</v>
      </c>
      <c r="L28" s="36" t="s">
        <v>221</v>
      </c>
      <c r="M28" s="34">
        <v>46083.0</v>
      </c>
      <c r="N28" s="36"/>
    </row>
    <row r="29" ht="15.75" hidden="1" customHeight="1">
      <c r="B29" s="36" t="s">
        <v>35</v>
      </c>
      <c r="C29" s="36" t="s">
        <v>35</v>
      </c>
      <c r="D29" s="36">
        <v>10.0</v>
      </c>
      <c r="E29" s="38">
        <v>275.0</v>
      </c>
      <c r="F29" s="38">
        <f t="shared" si="1"/>
        <v>2750</v>
      </c>
      <c r="G29" s="36" t="s">
        <v>4734</v>
      </c>
      <c r="H29" s="144" t="s">
        <v>4735</v>
      </c>
      <c r="I29" s="36" t="s">
        <v>4688</v>
      </c>
      <c r="J29" s="36" t="s">
        <v>35</v>
      </c>
      <c r="K29" s="36" t="s">
        <v>35</v>
      </c>
      <c r="L29" s="36" t="s">
        <v>221</v>
      </c>
      <c r="M29" s="34">
        <v>46083.0</v>
      </c>
      <c r="N29" s="36"/>
    </row>
    <row r="30" ht="15.75" hidden="1" customHeight="1">
      <c r="B30" s="36" t="s">
        <v>35</v>
      </c>
      <c r="C30" s="36" t="s">
        <v>35</v>
      </c>
      <c r="D30" s="36">
        <v>30.0</v>
      </c>
      <c r="E30" s="38">
        <v>36.0</v>
      </c>
      <c r="F30" s="38">
        <f t="shared" si="1"/>
        <v>1080</v>
      </c>
      <c r="G30" s="36" t="s">
        <v>4737</v>
      </c>
      <c r="H30" s="144" t="s">
        <v>4738</v>
      </c>
      <c r="I30" s="36" t="s">
        <v>241</v>
      </c>
      <c r="J30" s="36" t="s">
        <v>35</v>
      </c>
      <c r="K30" s="36" t="s">
        <v>35</v>
      </c>
      <c r="L30" s="36" t="s">
        <v>221</v>
      </c>
      <c r="M30" s="34">
        <v>46083.0</v>
      </c>
      <c r="N30" s="36"/>
    </row>
    <row r="31" ht="15.75" hidden="1" customHeight="1">
      <c r="B31" s="36" t="s">
        <v>35</v>
      </c>
      <c r="C31" s="36" t="s">
        <v>35</v>
      </c>
      <c r="D31" s="36">
        <v>28.0</v>
      </c>
      <c r="E31" s="38">
        <v>58.0</v>
      </c>
      <c r="F31" s="38">
        <f t="shared" si="1"/>
        <v>1624</v>
      </c>
      <c r="G31" s="36" t="s">
        <v>4740</v>
      </c>
      <c r="H31" s="144" t="s">
        <v>4742</v>
      </c>
      <c r="I31" s="36" t="s">
        <v>241</v>
      </c>
      <c r="J31" s="36" t="s">
        <v>35</v>
      </c>
      <c r="K31" s="36" t="s">
        <v>35</v>
      </c>
      <c r="L31" s="36" t="s">
        <v>221</v>
      </c>
      <c r="M31" s="34">
        <v>46084.0</v>
      </c>
      <c r="N31" s="36"/>
    </row>
    <row r="32" ht="15.75" hidden="1" customHeight="1">
      <c r="B32" s="36" t="s">
        <v>35</v>
      </c>
      <c r="C32" s="36" t="s">
        <v>35</v>
      </c>
      <c r="D32" s="36">
        <v>40.0</v>
      </c>
      <c r="E32" s="38">
        <v>18.8</v>
      </c>
      <c r="F32" s="38">
        <f t="shared" si="1"/>
        <v>752</v>
      </c>
      <c r="G32" s="36" t="s">
        <v>4745</v>
      </c>
      <c r="H32" s="144" t="s">
        <v>4746</v>
      </c>
      <c r="I32" s="36" t="s">
        <v>96</v>
      </c>
      <c r="J32" s="36" t="s">
        <v>35</v>
      </c>
      <c r="K32" s="36" t="s">
        <v>35</v>
      </c>
      <c r="L32" s="36" t="s">
        <v>32</v>
      </c>
      <c r="M32" s="34">
        <v>46078.0</v>
      </c>
      <c r="N32" s="36"/>
    </row>
    <row r="33" ht="15.75" hidden="1" customHeight="1">
      <c r="B33" s="36" t="s">
        <v>35</v>
      </c>
      <c r="C33" s="36" t="s">
        <v>35</v>
      </c>
      <c r="D33" s="36">
        <v>40.0</v>
      </c>
      <c r="E33" s="38">
        <v>126.0</v>
      </c>
      <c r="F33" s="38">
        <f t="shared" si="1"/>
        <v>5040</v>
      </c>
      <c r="G33" s="36" t="s">
        <v>4748</v>
      </c>
      <c r="H33" s="144" t="s">
        <v>4749</v>
      </c>
      <c r="I33" s="36" t="s">
        <v>698</v>
      </c>
      <c r="J33" s="36" t="s">
        <v>35</v>
      </c>
      <c r="K33" s="36" t="s">
        <v>35</v>
      </c>
      <c r="L33" s="36" t="s">
        <v>221</v>
      </c>
      <c r="M33" s="34">
        <v>46077.0</v>
      </c>
      <c r="N33" s="36"/>
    </row>
    <row r="34" ht="15.75" hidden="1" customHeight="1">
      <c r="B34" s="36" t="s">
        <v>35</v>
      </c>
      <c r="C34" s="36" t="s">
        <v>35</v>
      </c>
      <c r="D34" s="36">
        <v>50.0</v>
      </c>
      <c r="E34" s="38">
        <v>65.0</v>
      </c>
      <c r="F34" s="38">
        <f t="shared" si="1"/>
        <v>3250</v>
      </c>
      <c r="G34" s="36" t="s">
        <v>4750</v>
      </c>
      <c r="H34" s="144" t="s">
        <v>4751</v>
      </c>
      <c r="I34" s="36" t="s">
        <v>698</v>
      </c>
      <c r="J34" s="36" t="s">
        <v>35</v>
      </c>
      <c r="K34" s="36" t="s">
        <v>35</v>
      </c>
      <c r="L34" s="36" t="s">
        <v>221</v>
      </c>
      <c r="M34" s="34">
        <v>46077.0</v>
      </c>
      <c r="N34" s="36"/>
    </row>
    <row r="35" ht="15.75" hidden="1" customHeight="1">
      <c r="B35" s="36" t="s">
        <v>35</v>
      </c>
      <c r="C35" s="36" t="s">
        <v>35</v>
      </c>
      <c r="D35" s="36">
        <v>50.0</v>
      </c>
      <c r="E35" s="38">
        <v>65.0</v>
      </c>
      <c r="F35" s="38">
        <f t="shared" si="1"/>
        <v>3250</v>
      </c>
      <c r="G35" s="36" t="s">
        <v>4750</v>
      </c>
      <c r="H35" s="144" t="s">
        <v>4752</v>
      </c>
      <c r="I35" s="36" t="s">
        <v>698</v>
      </c>
      <c r="J35" s="36" t="s">
        <v>35</v>
      </c>
      <c r="K35" s="36" t="s">
        <v>35</v>
      </c>
      <c r="L35" s="36" t="s">
        <v>221</v>
      </c>
      <c r="M35" s="34">
        <v>46077.0</v>
      </c>
      <c r="N35" s="36"/>
    </row>
    <row r="36" ht="15.75" hidden="1" customHeight="1">
      <c r="B36" s="36" t="s">
        <v>35</v>
      </c>
      <c r="C36" s="36" t="s">
        <v>35</v>
      </c>
      <c r="D36" s="36">
        <v>50.0</v>
      </c>
      <c r="E36" s="38">
        <v>65.0</v>
      </c>
      <c r="F36" s="38">
        <f t="shared" si="1"/>
        <v>3250</v>
      </c>
      <c r="G36" s="36" t="s">
        <v>4753</v>
      </c>
      <c r="H36" s="144" t="s">
        <v>4754</v>
      </c>
      <c r="I36" s="36" t="s">
        <v>698</v>
      </c>
      <c r="J36" s="36" t="s">
        <v>35</v>
      </c>
      <c r="K36" s="36" t="s">
        <v>35</v>
      </c>
      <c r="L36" s="36" t="s">
        <v>221</v>
      </c>
      <c r="M36" s="34">
        <v>46077.0</v>
      </c>
      <c r="N36" s="36"/>
    </row>
    <row r="37" ht="15.75" hidden="1" customHeight="1">
      <c r="B37" s="36" t="s">
        <v>35</v>
      </c>
      <c r="C37" s="36" t="s">
        <v>35</v>
      </c>
      <c r="D37" s="36">
        <v>120.0</v>
      </c>
      <c r="E37" s="38">
        <v>32.0</v>
      </c>
      <c r="F37" s="38">
        <f t="shared" si="1"/>
        <v>3840</v>
      </c>
      <c r="G37" s="36" t="s">
        <v>4756</v>
      </c>
      <c r="H37" s="144" t="s">
        <v>4757</v>
      </c>
      <c r="I37" s="36" t="s">
        <v>698</v>
      </c>
      <c r="J37" s="36" t="s">
        <v>35</v>
      </c>
      <c r="K37" s="36" t="s">
        <v>35</v>
      </c>
      <c r="L37" s="36" t="s">
        <v>221</v>
      </c>
      <c r="M37" s="34">
        <v>46077.0</v>
      </c>
      <c r="N37" s="36"/>
    </row>
    <row r="38" ht="15.75" hidden="1" customHeight="1">
      <c r="B38" s="36" t="s">
        <v>35</v>
      </c>
      <c r="C38" s="36" t="s">
        <v>35</v>
      </c>
      <c r="D38" s="36">
        <v>30.0</v>
      </c>
      <c r="E38" s="38">
        <v>138.0</v>
      </c>
      <c r="F38" s="38">
        <f t="shared" si="1"/>
        <v>4140</v>
      </c>
      <c r="G38" s="36" t="s">
        <v>4748</v>
      </c>
      <c r="H38" s="144" t="s">
        <v>4759</v>
      </c>
      <c r="I38" s="36" t="s">
        <v>698</v>
      </c>
      <c r="J38" s="36" t="s">
        <v>35</v>
      </c>
      <c r="K38" s="36" t="s">
        <v>35</v>
      </c>
      <c r="L38" s="36" t="s">
        <v>221</v>
      </c>
      <c r="M38" s="34">
        <v>46077.0</v>
      </c>
      <c r="N38" s="36"/>
    </row>
    <row r="39" ht="15.75" hidden="1" customHeight="1">
      <c r="B39" s="36" t="s">
        <v>35</v>
      </c>
      <c r="C39" s="36" t="s">
        <v>35</v>
      </c>
      <c r="D39" s="36">
        <v>120.0</v>
      </c>
      <c r="E39" s="38">
        <v>37.2</v>
      </c>
      <c r="F39" s="38">
        <f t="shared" si="1"/>
        <v>4464</v>
      </c>
      <c r="G39" s="36" t="s">
        <v>4761</v>
      </c>
      <c r="H39" s="144" t="s">
        <v>4762</v>
      </c>
      <c r="I39" s="36" t="s">
        <v>698</v>
      </c>
      <c r="J39" s="36" t="s">
        <v>35</v>
      </c>
      <c r="K39" s="36" t="s">
        <v>35</v>
      </c>
      <c r="L39" s="36" t="s">
        <v>221</v>
      </c>
      <c r="M39" s="34">
        <v>46077.0</v>
      </c>
      <c r="N39" s="36"/>
    </row>
    <row r="40" ht="15.75" hidden="1" customHeight="1">
      <c r="B40" s="36" t="s">
        <v>35</v>
      </c>
      <c r="C40" s="36" t="s">
        <v>35</v>
      </c>
      <c r="D40" s="36">
        <v>120.0</v>
      </c>
      <c r="E40" s="38">
        <v>18.0</v>
      </c>
      <c r="F40" s="38">
        <f t="shared" si="1"/>
        <v>2160</v>
      </c>
      <c r="G40" s="36" t="s">
        <v>4765</v>
      </c>
      <c r="H40" s="144" t="s">
        <v>4766</v>
      </c>
      <c r="I40" s="36" t="s">
        <v>698</v>
      </c>
      <c r="J40" s="36" t="s">
        <v>35</v>
      </c>
      <c r="K40" s="36" t="s">
        <v>35</v>
      </c>
      <c r="L40" s="36" t="s">
        <v>221</v>
      </c>
      <c r="M40" s="34">
        <v>46077.0</v>
      </c>
      <c r="N40" s="36"/>
    </row>
    <row r="41" ht="15.75" hidden="1" customHeight="1">
      <c r="B41" s="36" t="s">
        <v>35</v>
      </c>
      <c r="C41" s="36" t="s">
        <v>35</v>
      </c>
      <c r="D41" s="36">
        <v>50.0</v>
      </c>
      <c r="E41" s="38">
        <v>36.0</v>
      </c>
      <c r="F41" s="38">
        <f t="shared" si="1"/>
        <v>1800</v>
      </c>
      <c r="G41" s="36" t="s">
        <v>4768</v>
      </c>
      <c r="H41" s="144" t="s">
        <v>4769</v>
      </c>
      <c r="I41" s="36" t="s">
        <v>241</v>
      </c>
      <c r="J41" s="36" t="s">
        <v>35</v>
      </c>
      <c r="K41" s="36" t="s">
        <v>35</v>
      </c>
      <c r="L41" s="36" t="s">
        <v>221</v>
      </c>
      <c r="M41" s="34">
        <v>46077.0</v>
      </c>
      <c r="N41" s="36"/>
    </row>
    <row r="42" ht="15.75" hidden="1" customHeight="1">
      <c r="B42" s="36" t="s">
        <v>35</v>
      </c>
      <c r="C42" s="36" t="s">
        <v>35</v>
      </c>
      <c r="D42" s="36">
        <v>48.0</v>
      </c>
      <c r="E42" s="38">
        <v>28.0</v>
      </c>
      <c r="F42" s="38">
        <f t="shared" si="1"/>
        <v>1344</v>
      </c>
      <c r="G42" s="36" t="s">
        <v>4771</v>
      </c>
      <c r="H42" s="144" t="s">
        <v>4772</v>
      </c>
      <c r="I42" s="36" t="s">
        <v>241</v>
      </c>
      <c r="J42" s="36" t="s">
        <v>35</v>
      </c>
      <c r="K42" s="36" t="s">
        <v>35</v>
      </c>
      <c r="L42" s="36" t="s">
        <v>221</v>
      </c>
      <c r="M42" s="34">
        <v>46073.0</v>
      </c>
      <c r="N42" s="36"/>
    </row>
    <row r="43" ht="15.75" hidden="1" customHeight="1">
      <c r="B43" s="36" t="s">
        <v>35</v>
      </c>
      <c r="C43" s="36" t="s">
        <v>35</v>
      </c>
      <c r="D43" s="36">
        <v>60.0</v>
      </c>
      <c r="E43" s="38">
        <v>40.0</v>
      </c>
      <c r="F43" s="38">
        <f t="shared" si="1"/>
        <v>2400</v>
      </c>
      <c r="G43" s="36" t="s">
        <v>4775</v>
      </c>
      <c r="H43" s="144" t="s">
        <v>4776</v>
      </c>
      <c r="I43" s="36" t="s">
        <v>241</v>
      </c>
      <c r="J43" s="36" t="s">
        <v>35</v>
      </c>
      <c r="K43" s="36" t="s">
        <v>35</v>
      </c>
      <c r="L43" s="36" t="s">
        <v>221</v>
      </c>
      <c r="M43" s="34">
        <v>46073.0</v>
      </c>
      <c r="N43" s="36"/>
    </row>
    <row r="44" ht="15.75" hidden="1" customHeight="1">
      <c r="B44" s="36" t="s">
        <v>35</v>
      </c>
      <c r="C44" s="36" t="s">
        <v>35</v>
      </c>
      <c r="D44" s="36">
        <v>3.0</v>
      </c>
      <c r="E44" s="38">
        <v>3800.0</v>
      </c>
      <c r="F44" s="38">
        <f t="shared" si="1"/>
        <v>11400</v>
      </c>
      <c r="G44" s="36" t="s">
        <v>4777</v>
      </c>
      <c r="H44" s="144" t="s">
        <v>4778</v>
      </c>
      <c r="I44" s="36" t="s">
        <v>151</v>
      </c>
      <c r="J44" s="36" t="s">
        <v>35</v>
      </c>
      <c r="K44" s="36" t="s">
        <v>35</v>
      </c>
      <c r="L44" s="36" t="s">
        <v>221</v>
      </c>
      <c r="M44" s="34">
        <v>46073.0</v>
      </c>
      <c r="N44" s="36"/>
    </row>
    <row r="45" ht="15.75" hidden="1" customHeight="1">
      <c r="B45" s="36" t="s">
        <v>35</v>
      </c>
      <c r="C45" s="36" t="s">
        <v>35</v>
      </c>
      <c r="D45" s="36">
        <v>10.0</v>
      </c>
      <c r="E45" s="38">
        <v>93.0</v>
      </c>
      <c r="F45" s="38">
        <f t="shared" si="1"/>
        <v>930</v>
      </c>
      <c r="G45" s="36" t="s">
        <v>4678</v>
      </c>
      <c r="H45" s="144" t="s">
        <v>4679</v>
      </c>
      <c r="I45" s="36" t="s">
        <v>241</v>
      </c>
      <c r="J45" s="36" t="s">
        <v>35</v>
      </c>
      <c r="K45" s="36" t="s">
        <v>35</v>
      </c>
      <c r="L45" s="36" t="s">
        <v>221</v>
      </c>
      <c r="M45" s="34">
        <v>46077.0</v>
      </c>
      <c r="N45" s="36"/>
    </row>
    <row r="46" ht="15.75" hidden="1" customHeight="1">
      <c r="B46" s="36" t="s">
        <v>35</v>
      </c>
      <c r="C46" s="36" t="s">
        <v>35</v>
      </c>
      <c r="D46" s="36">
        <v>60.0</v>
      </c>
      <c r="E46" s="38">
        <v>59.8</v>
      </c>
      <c r="F46" s="38">
        <f t="shared" si="1"/>
        <v>3588</v>
      </c>
      <c r="G46" s="36" t="s">
        <v>4781</v>
      </c>
      <c r="H46" s="144" t="s">
        <v>4782</v>
      </c>
      <c r="I46" s="36" t="s">
        <v>96</v>
      </c>
      <c r="J46" s="36" t="s">
        <v>35</v>
      </c>
      <c r="K46" s="36" t="s">
        <v>35</v>
      </c>
      <c r="L46" s="36" t="s">
        <v>221</v>
      </c>
      <c r="M46" s="34">
        <v>46077.0</v>
      </c>
      <c r="N46" s="36"/>
    </row>
    <row r="47" ht="15.75" hidden="1" customHeight="1">
      <c r="B47" s="36" t="s">
        <v>35</v>
      </c>
      <c r="C47" s="36" t="s">
        <v>35</v>
      </c>
      <c r="D47" s="36">
        <v>100.0</v>
      </c>
      <c r="E47" s="38">
        <v>48.0</v>
      </c>
      <c r="F47" s="38">
        <f t="shared" si="1"/>
        <v>4800</v>
      </c>
      <c r="G47" s="36" t="s">
        <v>4783</v>
      </c>
      <c r="H47" s="144" t="s">
        <v>4784</v>
      </c>
      <c r="I47" s="36" t="s">
        <v>241</v>
      </c>
      <c r="J47" s="36" t="s">
        <v>35</v>
      </c>
      <c r="K47" s="36" t="s">
        <v>35</v>
      </c>
      <c r="L47" s="36" t="s">
        <v>221</v>
      </c>
      <c r="M47" s="34">
        <v>46071.0</v>
      </c>
      <c r="N47" s="36"/>
    </row>
    <row r="48" ht="15.75" hidden="1" customHeight="1">
      <c r="B48" s="36" t="s">
        <v>35</v>
      </c>
      <c r="C48" s="36" t="s">
        <v>35</v>
      </c>
      <c r="D48" s="36">
        <v>1.0</v>
      </c>
      <c r="E48" s="38">
        <v>3.8</v>
      </c>
      <c r="F48" s="38">
        <f t="shared" si="1"/>
        <v>3.8</v>
      </c>
      <c r="G48" s="36" t="s">
        <v>4786</v>
      </c>
      <c r="H48" s="36" t="s">
        <v>4787</v>
      </c>
      <c r="I48" s="36" t="s">
        <v>96</v>
      </c>
      <c r="J48" s="36" t="s">
        <v>35</v>
      </c>
      <c r="K48" s="36" t="s">
        <v>4788</v>
      </c>
      <c r="L48" s="36" t="s">
        <v>221</v>
      </c>
      <c r="M48" s="45">
        <v>46084.0</v>
      </c>
      <c r="N48" s="36"/>
    </row>
    <row r="49" ht="15.75" hidden="1" customHeight="1">
      <c r="B49" s="36" t="s">
        <v>35</v>
      </c>
      <c r="C49" s="36" t="s">
        <v>35</v>
      </c>
      <c r="D49" s="36">
        <v>1.0</v>
      </c>
      <c r="E49" s="38">
        <v>3.9</v>
      </c>
      <c r="F49" s="38">
        <f t="shared" si="1"/>
        <v>3.9</v>
      </c>
      <c r="G49" s="36" t="s">
        <v>4789</v>
      </c>
      <c r="H49" s="36" t="s">
        <v>4790</v>
      </c>
      <c r="I49" s="36" t="s">
        <v>96</v>
      </c>
      <c r="J49" s="36" t="s">
        <v>35</v>
      </c>
      <c r="K49" s="36" t="s">
        <v>4788</v>
      </c>
      <c r="L49" s="36" t="s">
        <v>221</v>
      </c>
      <c r="M49" s="45">
        <v>46084.0</v>
      </c>
      <c r="N49" s="36"/>
    </row>
    <row r="50" ht="15.75" hidden="1" customHeight="1">
      <c r="B50" s="36" t="s">
        <v>35</v>
      </c>
      <c r="C50" s="36" t="s">
        <v>35</v>
      </c>
      <c r="D50" s="36">
        <v>36.0</v>
      </c>
      <c r="E50" s="38">
        <v>23.8</v>
      </c>
      <c r="F50" s="38">
        <f t="shared" si="1"/>
        <v>856.8</v>
      </c>
      <c r="G50" s="36" t="s">
        <v>4792</v>
      </c>
      <c r="H50" s="36" t="s">
        <v>2739</v>
      </c>
      <c r="I50" s="36" t="s">
        <v>719</v>
      </c>
      <c r="J50" s="36" t="s">
        <v>35</v>
      </c>
      <c r="K50" s="36" t="s">
        <v>35</v>
      </c>
      <c r="L50" s="36" t="s">
        <v>221</v>
      </c>
      <c r="M50" s="45">
        <v>46085.0</v>
      </c>
      <c r="N50" s="36"/>
    </row>
    <row r="51" ht="15.75" hidden="1" customHeight="1">
      <c r="B51" s="36" t="s">
        <v>35</v>
      </c>
      <c r="C51" s="36" t="s">
        <v>35</v>
      </c>
      <c r="D51" s="36">
        <v>36.0</v>
      </c>
      <c r="E51" s="38">
        <v>19.8</v>
      </c>
      <c r="F51" s="38">
        <f t="shared" si="1"/>
        <v>712.8</v>
      </c>
      <c r="G51" s="36" t="s">
        <v>4793</v>
      </c>
      <c r="H51" s="36" t="s">
        <v>2745</v>
      </c>
      <c r="I51" s="36" t="s">
        <v>719</v>
      </c>
      <c r="J51" s="36" t="s">
        <v>35</v>
      </c>
      <c r="K51" s="36" t="s">
        <v>35</v>
      </c>
      <c r="L51" s="36" t="s">
        <v>221</v>
      </c>
      <c r="M51" s="45">
        <v>46085.0</v>
      </c>
      <c r="N51" s="36"/>
    </row>
    <row r="52" ht="15.75" hidden="1" customHeight="1">
      <c r="B52" s="36" t="s">
        <v>35</v>
      </c>
      <c r="C52" s="36" t="s">
        <v>35</v>
      </c>
      <c r="D52" s="36">
        <v>20.0</v>
      </c>
      <c r="E52" s="38">
        <v>70.0</v>
      </c>
      <c r="F52" s="38">
        <f t="shared" si="1"/>
        <v>1400</v>
      </c>
      <c r="G52" s="36" t="s">
        <v>4794</v>
      </c>
      <c r="H52" s="36" t="s">
        <v>4795</v>
      </c>
      <c r="I52" s="36" t="s">
        <v>719</v>
      </c>
      <c r="J52" s="36" t="s">
        <v>35</v>
      </c>
      <c r="K52" s="36" t="s">
        <v>35</v>
      </c>
      <c r="L52" s="36" t="s">
        <v>221</v>
      </c>
      <c r="M52" s="45">
        <v>46085.0</v>
      </c>
      <c r="N52" s="36"/>
    </row>
    <row r="53" ht="15.75" hidden="1" customHeight="1">
      <c r="B53" s="36" t="s">
        <v>35</v>
      </c>
      <c r="C53" s="36" t="s">
        <v>35</v>
      </c>
      <c r="D53" s="36">
        <v>144.0</v>
      </c>
      <c r="E53" s="38">
        <v>5.7</v>
      </c>
      <c r="F53" s="38">
        <f t="shared" si="1"/>
        <v>820.8</v>
      </c>
      <c r="G53" s="36" t="s">
        <v>4797</v>
      </c>
      <c r="H53" s="36" t="s">
        <v>4798</v>
      </c>
      <c r="I53" s="36" t="s">
        <v>2212</v>
      </c>
      <c r="J53" s="36" t="s">
        <v>35</v>
      </c>
      <c r="K53" s="36" t="s">
        <v>35</v>
      </c>
      <c r="L53" s="36" t="s">
        <v>221</v>
      </c>
      <c r="M53" s="45">
        <v>46085.0</v>
      </c>
      <c r="N53" s="36"/>
    </row>
    <row r="54" ht="15.75" hidden="1" customHeight="1">
      <c r="B54" s="36" t="s">
        <v>35</v>
      </c>
      <c r="C54" s="36" t="s">
        <v>35</v>
      </c>
      <c r="D54" s="36">
        <v>50.0</v>
      </c>
      <c r="E54" s="38">
        <v>175.0</v>
      </c>
      <c r="F54" s="38">
        <f t="shared" si="1"/>
        <v>8750</v>
      </c>
      <c r="G54" s="36" t="s">
        <v>4799</v>
      </c>
      <c r="H54" s="36" t="s">
        <v>4800</v>
      </c>
      <c r="I54" s="36" t="s">
        <v>279</v>
      </c>
      <c r="J54" s="36" t="s">
        <v>35</v>
      </c>
      <c r="K54" s="36" t="s">
        <v>35</v>
      </c>
      <c r="L54" s="36" t="s">
        <v>221</v>
      </c>
      <c r="M54" s="45">
        <v>46090.0</v>
      </c>
      <c r="N54" s="36"/>
    </row>
    <row r="55" ht="15.75" hidden="1" customHeight="1">
      <c r="B55" s="36" t="s">
        <v>35</v>
      </c>
      <c r="C55" s="36" t="s">
        <v>35</v>
      </c>
      <c r="D55" s="36">
        <v>1.0</v>
      </c>
      <c r="E55" s="38">
        <v>204.97</v>
      </c>
      <c r="F55" s="38">
        <f t="shared" si="1"/>
        <v>204.97</v>
      </c>
      <c r="G55" s="36" t="s">
        <v>4801</v>
      </c>
      <c r="H55" s="36">
        <v>199.0</v>
      </c>
      <c r="I55" s="36" t="s">
        <v>4717</v>
      </c>
      <c r="J55" s="36" t="s">
        <v>35</v>
      </c>
      <c r="K55" s="36" t="s">
        <v>35</v>
      </c>
      <c r="L55" s="36" t="s">
        <v>32</v>
      </c>
      <c r="M55" s="45">
        <v>46091.0</v>
      </c>
      <c r="N55" s="36"/>
    </row>
    <row r="56" ht="15.75" hidden="1" customHeight="1">
      <c r="B56" s="36" t="s">
        <v>35</v>
      </c>
      <c r="C56" s="36" t="s">
        <v>35</v>
      </c>
      <c r="D56" s="36">
        <v>10.0</v>
      </c>
      <c r="E56" s="38">
        <v>129.9</v>
      </c>
      <c r="F56" s="38">
        <f t="shared" si="1"/>
        <v>1299</v>
      </c>
      <c r="G56" s="36" t="s">
        <v>521</v>
      </c>
      <c r="H56" s="36" t="s">
        <v>523</v>
      </c>
      <c r="I56" s="36" t="s">
        <v>96</v>
      </c>
      <c r="J56" s="36" t="s">
        <v>35</v>
      </c>
      <c r="K56" s="36" t="s">
        <v>35</v>
      </c>
      <c r="L56" s="36" t="s">
        <v>300</v>
      </c>
      <c r="M56" s="45">
        <v>46091.0</v>
      </c>
      <c r="N56" s="36"/>
    </row>
    <row r="57" ht="15.75" hidden="1" customHeight="1">
      <c r="B57" s="36" t="s">
        <v>35</v>
      </c>
      <c r="C57" s="36" t="s">
        <v>35</v>
      </c>
      <c r="D57" s="36">
        <v>24.0</v>
      </c>
      <c r="E57" s="38">
        <v>4.5</v>
      </c>
      <c r="F57" s="38">
        <f t="shared" si="1"/>
        <v>108</v>
      </c>
      <c r="G57" s="36" t="s">
        <v>4802</v>
      </c>
      <c r="H57" s="36" t="s">
        <v>2613</v>
      </c>
      <c r="I57" s="36" t="s">
        <v>96</v>
      </c>
      <c r="J57" s="36" t="s">
        <v>35</v>
      </c>
      <c r="K57" s="36" t="s">
        <v>35</v>
      </c>
      <c r="L57" s="36" t="s">
        <v>300</v>
      </c>
      <c r="M57" s="45">
        <v>46091.0</v>
      </c>
      <c r="N57" s="36"/>
    </row>
    <row r="58" ht="15.75" hidden="1" customHeight="1">
      <c r="B58" s="36" t="s">
        <v>35</v>
      </c>
      <c r="C58" s="36" t="s">
        <v>35</v>
      </c>
      <c r="D58" s="36">
        <v>120.0</v>
      </c>
      <c r="E58" s="38">
        <v>6.99</v>
      </c>
      <c r="F58" s="38">
        <f t="shared" si="1"/>
        <v>838.8</v>
      </c>
      <c r="G58" s="36" t="s">
        <v>4804</v>
      </c>
      <c r="H58" s="36" t="s">
        <v>4805</v>
      </c>
      <c r="I58" s="36" t="s">
        <v>96</v>
      </c>
      <c r="J58" s="36" t="s">
        <v>35</v>
      </c>
      <c r="K58" s="36" t="s">
        <v>35</v>
      </c>
      <c r="L58" s="36" t="s">
        <v>300</v>
      </c>
      <c r="M58" s="45">
        <v>46091.0</v>
      </c>
      <c r="N58" s="36"/>
    </row>
    <row r="59" ht="15.75" hidden="1" customHeight="1">
      <c r="B59" s="36" t="s">
        <v>35</v>
      </c>
      <c r="C59" s="36" t="s">
        <v>35</v>
      </c>
      <c r="D59" s="36">
        <v>240.0</v>
      </c>
      <c r="E59" s="38">
        <v>9.99</v>
      </c>
      <c r="F59" s="38">
        <f t="shared" si="1"/>
        <v>2397.6</v>
      </c>
      <c r="G59" s="36" t="s">
        <v>4807</v>
      </c>
      <c r="H59" s="36" t="s">
        <v>4808</v>
      </c>
      <c r="I59" s="36" t="s">
        <v>96</v>
      </c>
      <c r="J59" s="36" t="s">
        <v>35</v>
      </c>
      <c r="K59" s="36" t="s">
        <v>35</v>
      </c>
      <c r="L59" s="36" t="s">
        <v>300</v>
      </c>
      <c r="M59" s="45">
        <v>46091.0</v>
      </c>
      <c r="N59" s="36"/>
    </row>
    <row r="60" ht="15.75" hidden="1" customHeight="1">
      <c r="B60" s="36" t="s">
        <v>35</v>
      </c>
      <c r="C60" s="36" t="s">
        <v>35</v>
      </c>
      <c r="D60" s="36">
        <v>30.0</v>
      </c>
      <c r="E60" s="38">
        <v>115.0</v>
      </c>
      <c r="F60" s="38">
        <f t="shared" si="1"/>
        <v>3450</v>
      </c>
      <c r="G60" s="36" t="s">
        <v>4809</v>
      </c>
      <c r="H60" s="36" t="s">
        <v>4810</v>
      </c>
      <c r="I60" s="36" t="s">
        <v>4688</v>
      </c>
      <c r="J60" s="36" t="s">
        <v>35</v>
      </c>
      <c r="K60" s="36" t="s">
        <v>35</v>
      </c>
      <c r="L60" s="36" t="s">
        <v>300</v>
      </c>
      <c r="M60" s="45">
        <v>46091.0</v>
      </c>
      <c r="N60" s="36"/>
    </row>
    <row r="61" ht="15.75" hidden="1" customHeight="1">
      <c r="B61" s="36" t="s">
        <v>35</v>
      </c>
      <c r="C61" s="36" t="s">
        <v>35</v>
      </c>
      <c r="D61" s="36">
        <v>18.0</v>
      </c>
      <c r="E61" s="38">
        <v>165.0</v>
      </c>
      <c r="F61" s="38">
        <f t="shared" si="1"/>
        <v>2970</v>
      </c>
      <c r="G61" s="36" t="s">
        <v>4811</v>
      </c>
      <c r="H61" s="36" t="s">
        <v>1013</v>
      </c>
      <c r="I61" s="36" t="s">
        <v>4688</v>
      </c>
      <c r="J61" s="36" t="s">
        <v>35</v>
      </c>
      <c r="K61" s="36" t="s">
        <v>35</v>
      </c>
      <c r="L61" s="36" t="s">
        <v>300</v>
      </c>
      <c r="M61" s="45">
        <v>46091.0</v>
      </c>
      <c r="N61" s="36"/>
    </row>
    <row r="62" ht="15.75" hidden="1" customHeight="1">
      <c r="B62" s="36" t="s">
        <v>35</v>
      </c>
      <c r="C62" s="36" t="s">
        <v>35</v>
      </c>
      <c r="D62" s="36">
        <v>30.0</v>
      </c>
      <c r="E62" s="38">
        <v>145.0</v>
      </c>
      <c r="F62" s="38">
        <f t="shared" si="1"/>
        <v>4350</v>
      </c>
      <c r="G62" s="36" t="s">
        <v>4812</v>
      </c>
      <c r="H62" s="36" t="s">
        <v>4813</v>
      </c>
      <c r="I62" s="36" t="s">
        <v>4688</v>
      </c>
      <c r="J62" s="36" t="s">
        <v>35</v>
      </c>
      <c r="K62" s="36" t="s">
        <v>35</v>
      </c>
      <c r="L62" s="36" t="s">
        <v>300</v>
      </c>
      <c r="M62" s="45">
        <v>46091.0</v>
      </c>
      <c r="N62" s="36"/>
    </row>
    <row r="63" ht="15.75" hidden="1" customHeight="1">
      <c r="B63" s="36" t="s">
        <v>35</v>
      </c>
      <c r="C63" s="36" t="s">
        <v>35</v>
      </c>
      <c r="D63" s="36">
        <v>30.0</v>
      </c>
      <c r="E63" s="38">
        <v>165.0</v>
      </c>
      <c r="F63" s="38">
        <f t="shared" si="1"/>
        <v>4950</v>
      </c>
      <c r="G63" s="36" t="s">
        <v>4815</v>
      </c>
      <c r="H63" s="36" t="s">
        <v>4816</v>
      </c>
      <c r="I63" s="36" t="s">
        <v>210</v>
      </c>
      <c r="J63" s="36" t="s">
        <v>35</v>
      </c>
      <c r="K63" s="36" t="s">
        <v>35</v>
      </c>
      <c r="L63" s="36" t="s">
        <v>300</v>
      </c>
      <c r="M63" s="45">
        <v>46091.0</v>
      </c>
      <c r="N63" s="36"/>
    </row>
    <row r="64" ht="15.75" hidden="1" customHeight="1">
      <c r="B64" s="36" t="s">
        <v>35</v>
      </c>
      <c r="C64" s="36" t="s">
        <v>35</v>
      </c>
      <c r="D64" s="36">
        <v>400.0</v>
      </c>
      <c r="E64" s="38">
        <v>20.8</v>
      </c>
      <c r="F64" s="38">
        <f t="shared" si="1"/>
        <v>8320</v>
      </c>
      <c r="G64" s="36" t="s">
        <v>4817</v>
      </c>
      <c r="H64" s="36" t="s">
        <v>4818</v>
      </c>
      <c r="I64" s="36" t="s">
        <v>210</v>
      </c>
      <c r="J64" s="36" t="s">
        <v>35</v>
      </c>
      <c r="K64" s="36" t="s">
        <v>35</v>
      </c>
      <c r="L64" s="36" t="s">
        <v>300</v>
      </c>
      <c r="M64" s="45">
        <v>46091.0</v>
      </c>
      <c r="N64" s="36"/>
    </row>
    <row r="65" ht="15.75" hidden="1" customHeight="1">
      <c r="B65" s="36" t="s">
        <v>35</v>
      </c>
      <c r="C65" s="36" t="s">
        <v>35</v>
      </c>
      <c r="D65" s="36">
        <v>12.0</v>
      </c>
      <c r="E65" s="38">
        <v>46.0</v>
      </c>
      <c r="F65" s="38">
        <f t="shared" si="1"/>
        <v>552</v>
      </c>
      <c r="G65" s="36" t="s">
        <v>4819</v>
      </c>
      <c r="H65" s="36" t="s">
        <v>4820</v>
      </c>
      <c r="I65" s="36" t="s">
        <v>2094</v>
      </c>
      <c r="J65" s="36" t="s">
        <v>35</v>
      </c>
      <c r="K65" s="36" t="s">
        <v>35</v>
      </c>
      <c r="L65" s="36" t="s">
        <v>221</v>
      </c>
      <c r="M65" s="45">
        <v>46093.0</v>
      </c>
      <c r="N65" s="36"/>
    </row>
    <row r="66" ht="15.75" hidden="1" customHeight="1">
      <c r="B66" s="36" t="s">
        <v>35</v>
      </c>
      <c r="C66" s="36" t="s">
        <v>35</v>
      </c>
      <c r="D66" s="36">
        <v>100.0</v>
      </c>
      <c r="E66" s="38">
        <v>29.0</v>
      </c>
      <c r="F66" s="38">
        <f t="shared" si="1"/>
        <v>2900</v>
      </c>
      <c r="G66" s="36" t="s">
        <v>4821</v>
      </c>
      <c r="H66" s="36" t="s">
        <v>4822</v>
      </c>
      <c r="I66" s="36" t="s">
        <v>151</v>
      </c>
      <c r="J66" s="36" t="s">
        <v>35</v>
      </c>
      <c r="K66" s="36" t="s">
        <v>35</v>
      </c>
      <c r="L66" s="36" t="s">
        <v>221</v>
      </c>
      <c r="M66" s="45">
        <v>46093.0</v>
      </c>
      <c r="N66" s="36"/>
    </row>
    <row r="67" ht="15.75" hidden="1" customHeight="1">
      <c r="B67" s="36" t="s">
        <v>35</v>
      </c>
      <c r="C67" s="36" t="s">
        <v>35</v>
      </c>
      <c r="D67" s="36">
        <v>4.0</v>
      </c>
      <c r="E67" s="38">
        <v>380.0</v>
      </c>
      <c r="F67" s="38">
        <f t="shared" si="1"/>
        <v>1520</v>
      </c>
      <c r="G67" s="36" t="s">
        <v>4823</v>
      </c>
      <c r="H67" s="36" t="s">
        <v>2030</v>
      </c>
      <c r="I67" s="36" t="s">
        <v>279</v>
      </c>
      <c r="J67" s="36" t="s">
        <v>35</v>
      </c>
      <c r="K67" s="36" t="s">
        <v>35</v>
      </c>
      <c r="L67" s="36" t="s">
        <v>221</v>
      </c>
      <c r="M67" s="45">
        <v>46093.0</v>
      </c>
      <c r="N67" s="36"/>
    </row>
    <row r="68" ht="15.75" hidden="1" customHeight="1">
      <c r="B68" s="36" t="s">
        <v>35</v>
      </c>
      <c r="C68" s="36" t="s">
        <v>35</v>
      </c>
      <c r="D68" s="36">
        <v>10.0</v>
      </c>
      <c r="E68" s="38">
        <v>185.0</v>
      </c>
      <c r="F68" s="38">
        <f t="shared" si="1"/>
        <v>1850</v>
      </c>
      <c r="G68" s="36" t="s">
        <v>3156</v>
      </c>
      <c r="H68" s="36" t="s">
        <v>4824</v>
      </c>
      <c r="I68" s="36" t="s">
        <v>87</v>
      </c>
      <c r="J68" s="36" t="s">
        <v>35</v>
      </c>
      <c r="K68" s="36" t="s">
        <v>35</v>
      </c>
      <c r="L68" s="36" t="s">
        <v>221</v>
      </c>
      <c r="M68" s="45">
        <v>46093.0</v>
      </c>
      <c r="N68" s="36"/>
    </row>
    <row r="69" ht="15.75" hidden="1" customHeight="1">
      <c r="B69" s="36" t="s">
        <v>35</v>
      </c>
      <c r="C69" s="36" t="s">
        <v>35</v>
      </c>
      <c r="D69" s="36">
        <v>20.0</v>
      </c>
      <c r="E69" s="38">
        <v>305.0</v>
      </c>
      <c r="F69" s="38">
        <f t="shared" si="1"/>
        <v>6100</v>
      </c>
      <c r="G69" s="36" t="s">
        <v>490</v>
      </c>
      <c r="H69" s="36" t="s">
        <v>3769</v>
      </c>
      <c r="I69" s="36" t="s">
        <v>87</v>
      </c>
      <c r="J69" s="36" t="s">
        <v>35</v>
      </c>
      <c r="K69" s="36" t="s">
        <v>35</v>
      </c>
      <c r="L69" s="36" t="s">
        <v>221</v>
      </c>
      <c r="M69" s="45">
        <v>46093.0</v>
      </c>
      <c r="N69" s="36"/>
    </row>
    <row r="70" ht="15.75" hidden="1" customHeight="1">
      <c r="B70" s="36" t="s">
        <v>35</v>
      </c>
      <c r="C70" s="36" t="s">
        <v>35</v>
      </c>
      <c r="D70" s="36">
        <v>100.0</v>
      </c>
      <c r="E70" s="38">
        <v>25.0</v>
      </c>
      <c r="F70" s="38">
        <f t="shared" si="1"/>
        <v>2500</v>
      </c>
      <c r="G70" s="36" t="s">
        <v>4825</v>
      </c>
      <c r="H70" s="36" t="s">
        <v>4826</v>
      </c>
      <c r="I70" s="36" t="s">
        <v>46</v>
      </c>
      <c r="J70" s="36" t="s">
        <v>35</v>
      </c>
      <c r="K70" s="36" t="s">
        <v>35</v>
      </c>
      <c r="L70" s="36" t="s">
        <v>221</v>
      </c>
      <c r="M70" s="45">
        <v>46093.0</v>
      </c>
      <c r="N70" s="36"/>
    </row>
    <row r="71" ht="15.75" hidden="1" customHeight="1">
      <c r="B71" s="36" t="s">
        <v>35</v>
      </c>
      <c r="C71" s="36" t="s">
        <v>35</v>
      </c>
      <c r="D71" s="36">
        <v>30.0</v>
      </c>
      <c r="E71" s="38">
        <v>80.0</v>
      </c>
      <c r="F71" s="38">
        <f t="shared" si="1"/>
        <v>2400</v>
      </c>
      <c r="G71" s="36" t="s">
        <v>4827</v>
      </c>
      <c r="H71" s="36" t="s">
        <v>4828</v>
      </c>
      <c r="I71" s="36" t="s">
        <v>46</v>
      </c>
      <c r="J71" s="36" t="s">
        <v>35</v>
      </c>
      <c r="K71" s="36" t="s">
        <v>35</v>
      </c>
      <c r="L71" s="36" t="s">
        <v>221</v>
      </c>
      <c r="M71" s="45">
        <v>46093.0</v>
      </c>
      <c r="N71" s="36"/>
    </row>
    <row r="72" ht="15.75" hidden="1" customHeight="1">
      <c r="B72" s="36" t="s">
        <v>35</v>
      </c>
      <c r="C72" s="36" t="s">
        <v>35</v>
      </c>
      <c r="D72" s="36">
        <v>1.0</v>
      </c>
      <c r="E72" s="38">
        <v>260.0</v>
      </c>
      <c r="F72" s="38">
        <f t="shared" si="1"/>
        <v>260</v>
      </c>
      <c r="G72" s="36" t="s">
        <v>4829</v>
      </c>
      <c r="H72" s="36" t="s">
        <v>4830</v>
      </c>
      <c r="I72" s="36" t="s">
        <v>46</v>
      </c>
      <c r="J72" s="36" t="s">
        <v>35</v>
      </c>
      <c r="K72" s="36" t="s">
        <v>35</v>
      </c>
      <c r="L72" s="36" t="s">
        <v>221</v>
      </c>
      <c r="M72" s="45">
        <v>46093.0</v>
      </c>
      <c r="N72" s="36"/>
    </row>
    <row r="73" ht="15.75" hidden="1" customHeight="1">
      <c r="B73" s="36" t="s">
        <v>35</v>
      </c>
      <c r="C73" s="36" t="s">
        <v>35</v>
      </c>
      <c r="D73" s="36">
        <v>4.0</v>
      </c>
      <c r="E73" s="38">
        <v>180.0</v>
      </c>
      <c r="F73" s="38">
        <f t="shared" si="1"/>
        <v>720</v>
      </c>
      <c r="G73" s="36" t="s">
        <v>4831</v>
      </c>
      <c r="H73" s="36" t="s">
        <v>4832</v>
      </c>
      <c r="I73" s="36" t="s">
        <v>241</v>
      </c>
      <c r="J73" s="36" t="s">
        <v>35</v>
      </c>
      <c r="K73" s="36" t="s">
        <v>35</v>
      </c>
      <c r="L73" s="36" t="s">
        <v>221</v>
      </c>
      <c r="M73" s="45">
        <v>46093.0</v>
      </c>
      <c r="N73" s="36"/>
    </row>
    <row r="74" ht="15.75" hidden="1" customHeight="1">
      <c r="B74" s="36" t="s">
        <v>35</v>
      </c>
      <c r="C74" s="36" t="s">
        <v>35</v>
      </c>
      <c r="D74" s="36">
        <v>100.0</v>
      </c>
      <c r="E74" s="38">
        <v>50.0</v>
      </c>
      <c r="F74" s="38">
        <f t="shared" si="1"/>
        <v>5000</v>
      </c>
      <c r="G74" s="36" t="s">
        <v>4833</v>
      </c>
      <c r="H74" s="36" t="s">
        <v>4834</v>
      </c>
      <c r="I74" s="36" t="s">
        <v>241</v>
      </c>
      <c r="J74" s="36" t="s">
        <v>35</v>
      </c>
      <c r="K74" s="36" t="s">
        <v>35</v>
      </c>
      <c r="L74" s="36" t="s">
        <v>221</v>
      </c>
      <c r="M74" s="45">
        <v>46093.0</v>
      </c>
      <c r="N74" s="36"/>
    </row>
    <row r="75" ht="15.75" hidden="1" customHeight="1">
      <c r="B75" s="36" t="s">
        <v>35</v>
      </c>
      <c r="C75" s="36" t="s">
        <v>35</v>
      </c>
      <c r="D75" s="36">
        <v>30.0</v>
      </c>
      <c r="E75" s="38">
        <v>48.0</v>
      </c>
      <c r="F75" s="38">
        <f t="shared" si="1"/>
        <v>1440</v>
      </c>
      <c r="G75" s="36" t="s">
        <v>4835</v>
      </c>
      <c r="H75" s="36" t="s">
        <v>4836</v>
      </c>
      <c r="I75" s="36" t="s">
        <v>46</v>
      </c>
      <c r="J75" s="36" t="s">
        <v>35</v>
      </c>
      <c r="K75" s="36" t="s">
        <v>35</v>
      </c>
      <c r="L75" s="36" t="s">
        <v>221</v>
      </c>
      <c r="M75" s="45">
        <v>46093.0</v>
      </c>
      <c r="N75" s="36"/>
    </row>
    <row r="76" ht="15.75" hidden="1" customHeight="1">
      <c r="B76" s="36" t="s">
        <v>35</v>
      </c>
      <c r="C76" s="36" t="s">
        <v>35</v>
      </c>
      <c r="D76" s="36">
        <v>2.0</v>
      </c>
      <c r="E76" s="38">
        <v>260.0</v>
      </c>
      <c r="F76" s="38">
        <f t="shared" si="1"/>
        <v>520</v>
      </c>
      <c r="G76" s="36" t="s">
        <v>4837</v>
      </c>
      <c r="H76" s="36" t="s">
        <v>4838</v>
      </c>
      <c r="I76" s="36" t="s">
        <v>151</v>
      </c>
      <c r="J76" s="36" t="s">
        <v>35</v>
      </c>
      <c r="K76" s="36" t="s">
        <v>35</v>
      </c>
      <c r="L76" s="36" t="s">
        <v>221</v>
      </c>
      <c r="M76" s="45">
        <v>46093.0</v>
      </c>
      <c r="N76" s="36"/>
    </row>
    <row r="77" ht="15.75" hidden="1" customHeight="1">
      <c r="B77" s="36" t="s">
        <v>35</v>
      </c>
      <c r="C77" s="36" t="s">
        <v>35</v>
      </c>
      <c r="D77" s="36">
        <v>20.0</v>
      </c>
      <c r="E77" s="38">
        <v>40.0</v>
      </c>
      <c r="F77" s="38">
        <f t="shared" si="1"/>
        <v>800</v>
      </c>
      <c r="G77" s="36" t="s">
        <v>4839</v>
      </c>
      <c r="H77" s="36" t="s">
        <v>4840</v>
      </c>
      <c r="I77" s="36" t="s">
        <v>46</v>
      </c>
      <c r="J77" s="36" t="s">
        <v>35</v>
      </c>
      <c r="K77" s="36" t="s">
        <v>35</v>
      </c>
      <c r="L77" s="36" t="s">
        <v>221</v>
      </c>
      <c r="M77" s="45">
        <v>46094.0</v>
      </c>
      <c r="N77" s="36"/>
    </row>
    <row r="78" ht="15.75" hidden="1" customHeight="1">
      <c r="B78" s="36" t="s">
        <v>35</v>
      </c>
      <c r="C78" s="36" t="s">
        <v>35</v>
      </c>
      <c r="D78" s="36">
        <v>30.0</v>
      </c>
      <c r="E78" s="38">
        <v>80.0</v>
      </c>
      <c r="F78" s="38">
        <f t="shared" si="1"/>
        <v>2400</v>
      </c>
      <c r="G78" s="36" t="s">
        <v>4841</v>
      </c>
      <c r="H78" s="36" t="s">
        <v>4842</v>
      </c>
      <c r="I78" s="36" t="s">
        <v>46</v>
      </c>
      <c r="J78" s="36" t="s">
        <v>35</v>
      </c>
      <c r="K78" s="36" t="s">
        <v>35</v>
      </c>
      <c r="L78" s="36" t="s">
        <v>221</v>
      </c>
      <c r="M78" s="45">
        <v>46094.0</v>
      </c>
      <c r="N78" s="36"/>
    </row>
    <row r="79" ht="15.75" hidden="1" customHeight="1">
      <c r="B79" s="36" t="s">
        <v>35</v>
      </c>
      <c r="C79" s="36" t="s">
        <v>35</v>
      </c>
      <c r="D79" s="36">
        <v>30.0</v>
      </c>
      <c r="E79" s="38">
        <v>50.0</v>
      </c>
      <c r="F79" s="38">
        <f t="shared" si="1"/>
        <v>1500</v>
      </c>
      <c r="G79" s="36" t="s">
        <v>4839</v>
      </c>
      <c r="H79" s="36" t="s">
        <v>4843</v>
      </c>
      <c r="I79" s="36" t="s">
        <v>46</v>
      </c>
      <c r="J79" s="36" t="s">
        <v>35</v>
      </c>
      <c r="K79" s="36" t="s">
        <v>35</v>
      </c>
      <c r="L79" s="36" t="s">
        <v>221</v>
      </c>
      <c r="M79" s="45">
        <v>46094.0</v>
      </c>
      <c r="N79" s="36"/>
    </row>
    <row r="80" ht="15.75" hidden="1" customHeight="1">
      <c r="B80" s="36" t="s">
        <v>35</v>
      </c>
      <c r="C80" s="36" t="s">
        <v>35</v>
      </c>
      <c r="D80" s="36">
        <v>24.0</v>
      </c>
      <c r="E80" s="38">
        <v>80.0</v>
      </c>
      <c r="F80" s="38">
        <f t="shared" si="1"/>
        <v>1920</v>
      </c>
      <c r="G80" s="36" t="s">
        <v>4844</v>
      </c>
      <c r="H80" s="36" t="s">
        <v>4845</v>
      </c>
      <c r="I80" s="36" t="s">
        <v>46</v>
      </c>
      <c r="J80" s="36" t="s">
        <v>35</v>
      </c>
      <c r="K80" s="36" t="s">
        <v>35</v>
      </c>
      <c r="L80" s="36" t="s">
        <v>221</v>
      </c>
      <c r="M80" s="45">
        <v>46094.0</v>
      </c>
      <c r="N80" s="36"/>
    </row>
    <row r="81" ht="15.75" hidden="1" customHeight="1">
      <c r="B81" s="36" t="s">
        <v>35</v>
      </c>
      <c r="C81" s="36" t="s">
        <v>35</v>
      </c>
      <c r="D81" s="36">
        <v>100.0</v>
      </c>
      <c r="E81" s="38">
        <v>40.0</v>
      </c>
      <c r="F81" s="38">
        <f t="shared" si="1"/>
        <v>4000</v>
      </c>
      <c r="G81" s="36" t="s">
        <v>4846</v>
      </c>
      <c r="H81" s="36" t="s">
        <v>4847</v>
      </c>
      <c r="I81" s="36" t="s">
        <v>241</v>
      </c>
      <c r="J81" s="36" t="s">
        <v>35</v>
      </c>
      <c r="K81" s="36" t="s">
        <v>35</v>
      </c>
      <c r="L81" s="36" t="s">
        <v>221</v>
      </c>
      <c r="M81" s="45">
        <v>46094.0</v>
      </c>
      <c r="N81" s="36"/>
    </row>
    <row r="82" ht="15.75" hidden="1" customHeight="1">
      <c r="B82" s="36" t="s">
        <v>35</v>
      </c>
      <c r="C82" s="36" t="s">
        <v>35</v>
      </c>
      <c r="D82" s="36">
        <v>100.0</v>
      </c>
      <c r="E82" s="38">
        <v>40.0</v>
      </c>
      <c r="F82" s="38">
        <f t="shared" si="1"/>
        <v>4000</v>
      </c>
      <c r="G82" s="36" t="s">
        <v>4833</v>
      </c>
      <c r="H82" s="36" t="s">
        <v>4848</v>
      </c>
      <c r="I82" s="36" t="s">
        <v>241</v>
      </c>
      <c r="J82" s="36" t="s">
        <v>35</v>
      </c>
      <c r="K82" s="36" t="s">
        <v>35</v>
      </c>
      <c r="L82" s="36" t="s">
        <v>221</v>
      </c>
      <c r="M82" s="45">
        <v>46094.0</v>
      </c>
      <c r="N82" s="36"/>
    </row>
    <row r="83" ht="15.75" hidden="1" customHeight="1">
      <c r="B83" s="36" t="s">
        <v>35</v>
      </c>
      <c r="C83" s="36" t="s">
        <v>35</v>
      </c>
      <c r="D83" s="36">
        <v>100.0</v>
      </c>
      <c r="E83" s="38">
        <v>30.0</v>
      </c>
      <c r="F83" s="38">
        <f t="shared" si="1"/>
        <v>3000</v>
      </c>
      <c r="G83" s="36" t="s">
        <v>4849</v>
      </c>
      <c r="H83" s="36" t="s">
        <v>4850</v>
      </c>
      <c r="I83" s="36" t="s">
        <v>241</v>
      </c>
      <c r="J83" s="36" t="s">
        <v>35</v>
      </c>
      <c r="K83" s="36" t="s">
        <v>35</v>
      </c>
      <c r="L83" s="36" t="s">
        <v>221</v>
      </c>
      <c r="M83" s="45">
        <v>46094.0</v>
      </c>
      <c r="N83" s="36"/>
    </row>
    <row r="84" ht="15.75" hidden="1" customHeight="1">
      <c r="B84" s="36" t="s">
        <v>35</v>
      </c>
      <c r="C84" s="36" t="s">
        <v>35</v>
      </c>
      <c r="D84" s="36">
        <v>30.0</v>
      </c>
      <c r="E84" s="38">
        <v>29.0</v>
      </c>
      <c r="F84" s="38">
        <f t="shared" si="1"/>
        <v>870</v>
      </c>
      <c r="G84" s="36" t="s">
        <v>2353</v>
      </c>
      <c r="H84" s="36" t="s">
        <v>4851</v>
      </c>
      <c r="I84" s="36" t="s">
        <v>87</v>
      </c>
      <c r="J84" s="36" t="s">
        <v>35</v>
      </c>
      <c r="K84" s="36" t="s">
        <v>35</v>
      </c>
      <c r="L84" s="36" t="s">
        <v>221</v>
      </c>
      <c r="M84" s="45">
        <v>46094.0</v>
      </c>
      <c r="N84" s="36"/>
    </row>
    <row r="85" ht="15.75" hidden="1" customHeight="1">
      <c r="B85" s="36" t="s">
        <v>35</v>
      </c>
      <c r="C85" s="36" t="s">
        <v>35</v>
      </c>
      <c r="D85" s="36">
        <v>40.0</v>
      </c>
      <c r="E85" s="38">
        <v>20.0</v>
      </c>
      <c r="F85" s="38">
        <f t="shared" si="1"/>
        <v>800</v>
      </c>
      <c r="G85" s="36" t="s">
        <v>2353</v>
      </c>
      <c r="H85" s="36" t="s">
        <v>4852</v>
      </c>
      <c r="I85" s="36" t="s">
        <v>87</v>
      </c>
      <c r="J85" s="36" t="s">
        <v>35</v>
      </c>
      <c r="K85" s="36" t="s">
        <v>35</v>
      </c>
      <c r="L85" s="36" t="s">
        <v>221</v>
      </c>
      <c r="M85" s="45">
        <v>46094.0</v>
      </c>
      <c r="N85" s="36"/>
    </row>
    <row r="86" ht="15.75" hidden="1" customHeight="1">
      <c r="B86" s="36" t="s">
        <v>35</v>
      </c>
      <c r="C86" s="36" t="s">
        <v>35</v>
      </c>
      <c r="D86" s="36">
        <v>40.0</v>
      </c>
      <c r="E86" s="38">
        <v>11.0</v>
      </c>
      <c r="F86" s="38">
        <f t="shared" si="1"/>
        <v>440</v>
      </c>
      <c r="G86" s="36" t="s">
        <v>2353</v>
      </c>
      <c r="H86" s="36" t="s">
        <v>4853</v>
      </c>
      <c r="I86" s="36" t="s">
        <v>87</v>
      </c>
      <c r="J86" s="36" t="s">
        <v>35</v>
      </c>
      <c r="K86" s="36" t="s">
        <v>35</v>
      </c>
      <c r="L86" s="36" t="s">
        <v>221</v>
      </c>
      <c r="M86" s="45">
        <v>46094.0</v>
      </c>
      <c r="N86" s="36"/>
    </row>
    <row r="87" ht="15.75" hidden="1" customHeight="1">
      <c r="B87" s="36" t="s">
        <v>35</v>
      </c>
      <c r="C87" s="36" t="s">
        <v>35</v>
      </c>
      <c r="D87" s="36">
        <v>20.0</v>
      </c>
      <c r="E87" s="38">
        <v>48.0</v>
      </c>
      <c r="F87" s="38">
        <f t="shared" si="1"/>
        <v>960</v>
      </c>
      <c r="G87" s="36" t="s">
        <v>4854</v>
      </c>
      <c r="H87" s="36" t="s">
        <v>4855</v>
      </c>
      <c r="I87" s="36" t="s">
        <v>87</v>
      </c>
      <c r="J87" s="36" t="s">
        <v>35</v>
      </c>
      <c r="K87" s="36" t="s">
        <v>35</v>
      </c>
      <c r="L87" s="36" t="s">
        <v>221</v>
      </c>
      <c r="M87" s="45">
        <v>46094.0</v>
      </c>
      <c r="N87" s="36"/>
    </row>
    <row r="88" ht="15.75" hidden="1" customHeight="1">
      <c r="B88" s="36" t="s">
        <v>35</v>
      </c>
      <c r="C88" s="36" t="s">
        <v>35</v>
      </c>
      <c r="D88" s="36">
        <v>30.0</v>
      </c>
      <c r="E88" s="38">
        <v>38.0</v>
      </c>
      <c r="F88" s="38">
        <f t="shared" si="1"/>
        <v>1140</v>
      </c>
      <c r="G88" s="36" t="s">
        <v>3156</v>
      </c>
      <c r="H88" s="36" t="s">
        <v>4856</v>
      </c>
      <c r="I88" s="36" t="s">
        <v>87</v>
      </c>
      <c r="J88" s="36" t="s">
        <v>35</v>
      </c>
      <c r="K88" s="36" t="s">
        <v>35</v>
      </c>
      <c r="L88" s="36" t="s">
        <v>221</v>
      </c>
      <c r="M88" s="45">
        <v>46094.0</v>
      </c>
      <c r="N88" s="36"/>
    </row>
    <row r="89" ht="15.75" hidden="1" customHeight="1">
      <c r="B89" s="36" t="s">
        <v>35</v>
      </c>
      <c r="C89" s="36" t="s">
        <v>35</v>
      </c>
      <c r="D89" s="36">
        <v>20.0</v>
      </c>
      <c r="E89" s="38">
        <v>98.0</v>
      </c>
      <c r="F89" s="38">
        <f t="shared" si="1"/>
        <v>1960</v>
      </c>
      <c r="G89" s="36" t="s">
        <v>4857</v>
      </c>
      <c r="H89" s="36" t="s">
        <v>4858</v>
      </c>
      <c r="I89" s="36" t="s">
        <v>87</v>
      </c>
      <c r="J89" s="36" t="s">
        <v>35</v>
      </c>
      <c r="K89" s="36" t="s">
        <v>35</v>
      </c>
      <c r="L89" s="36" t="s">
        <v>221</v>
      </c>
      <c r="M89" s="45">
        <v>46094.0</v>
      </c>
      <c r="N89" s="36"/>
    </row>
    <row r="90" ht="15.75" hidden="1" customHeight="1">
      <c r="B90" s="36" t="s">
        <v>35</v>
      </c>
      <c r="C90" s="36" t="s">
        <v>35</v>
      </c>
      <c r="D90" s="36">
        <v>50.0</v>
      </c>
      <c r="E90" s="38">
        <v>50.0</v>
      </c>
      <c r="F90" s="38">
        <f t="shared" si="1"/>
        <v>2500</v>
      </c>
      <c r="G90" s="36" t="s">
        <v>4859</v>
      </c>
      <c r="H90" s="36" t="s">
        <v>4860</v>
      </c>
      <c r="I90" s="36" t="s">
        <v>87</v>
      </c>
      <c r="J90" s="36" t="s">
        <v>35</v>
      </c>
      <c r="K90" s="36" t="s">
        <v>35</v>
      </c>
      <c r="L90" s="36" t="s">
        <v>221</v>
      </c>
      <c r="M90" s="45">
        <v>46094.0</v>
      </c>
      <c r="N90" s="36"/>
    </row>
    <row r="91" ht="15.75" hidden="1" customHeight="1">
      <c r="B91" s="36" t="s">
        <v>35</v>
      </c>
      <c r="C91" s="36" t="s">
        <v>35</v>
      </c>
      <c r="D91" s="36">
        <v>100.0</v>
      </c>
      <c r="E91" s="38">
        <v>59.0</v>
      </c>
      <c r="F91" s="38">
        <f t="shared" si="1"/>
        <v>5900</v>
      </c>
      <c r="G91" s="36" t="s">
        <v>4783</v>
      </c>
      <c r="H91" s="36" t="s">
        <v>4861</v>
      </c>
      <c r="I91" s="36" t="s">
        <v>241</v>
      </c>
      <c r="J91" s="36" t="s">
        <v>35</v>
      </c>
      <c r="K91" s="36" t="s">
        <v>4788</v>
      </c>
      <c r="L91" s="36" t="s">
        <v>32</v>
      </c>
      <c r="M91" s="45">
        <v>46094.0</v>
      </c>
      <c r="N91" s="36"/>
    </row>
    <row r="92" ht="15.75" hidden="1" customHeight="1">
      <c r="B92" s="36" t="s">
        <v>35</v>
      </c>
      <c r="C92" s="36" t="s">
        <v>35</v>
      </c>
      <c r="D92" s="36">
        <v>32.0</v>
      </c>
      <c r="E92" s="38">
        <v>128.0</v>
      </c>
      <c r="F92" s="38">
        <f t="shared" si="1"/>
        <v>4096</v>
      </c>
      <c r="G92" s="36" t="s">
        <v>4862</v>
      </c>
      <c r="H92" s="36" t="s">
        <v>4863</v>
      </c>
      <c r="I92" s="36" t="s">
        <v>210</v>
      </c>
      <c r="J92" s="36" t="s">
        <v>35</v>
      </c>
      <c r="K92" s="36" t="s">
        <v>35</v>
      </c>
      <c r="L92" s="36" t="s">
        <v>300</v>
      </c>
      <c r="M92" s="45">
        <v>46094.0</v>
      </c>
      <c r="N92" s="36"/>
    </row>
    <row r="93" ht="15.75" hidden="1" customHeight="1">
      <c r="B93" s="36" t="s">
        <v>35</v>
      </c>
      <c r="C93" s="36" t="s">
        <v>35</v>
      </c>
      <c r="D93" s="36">
        <v>80.0</v>
      </c>
      <c r="E93" s="38">
        <v>46.0</v>
      </c>
      <c r="F93" s="38">
        <f t="shared" si="1"/>
        <v>3680</v>
      </c>
      <c r="G93" s="36" t="s">
        <v>4864</v>
      </c>
      <c r="H93" s="36" t="s">
        <v>4865</v>
      </c>
      <c r="I93" s="36" t="s">
        <v>151</v>
      </c>
      <c r="J93" s="36" t="s">
        <v>35</v>
      </c>
      <c r="K93" s="36" t="s">
        <v>4788</v>
      </c>
      <c r="L93" s="36" t="s">
        <v>240</v>
      </c>
      <c r="M93" s="45">
        <v>46097.0</v>
      </c>
      <c r="N93" s="36"/>
    </row>
    <row r="94" ht="15.75" hidden="1" customHeight="1">
      <c r="B94" s="36" t="s">
        <v>35</v>
      </c>
      <c r="C94" s="36" t="s">
        <v>35</v>
      </c>
      <c r="D94" s="36">
        <v>30.0</v>
      </c>
      <c r="E94" s="38">
        <v>26.0</v>
      </c>
      <c r="F94" s="38">
        <f t="shared" si="1"/>
        <v>780</v>
      </c>
      <c r="G94" s="36" t="s">
        <v>4866</v>
      </c>
      <c r="H94" s="36" t="s">
        <v>4867</v>
      </c>
      <c r="I94" s="36" t="s">
        <v>87</v>
      </c>
      <c r="J94" s="36" t="s">
        <v>35</v>
      </c>
      <c r="K94" s="36" t="s">
        <v>35</v>
      </c>
      <c r="L94" s="36" t="s">
        <v>240</v>
      </c>
      <c r="M94" s="45">
        <v>46097.0</v>
      </c>
      <c r="N94" s="36"/>
    </row>
    <row r="95" ht="15.75" hidden="1" customHeight="1">
      <c r="B95" s="36" t="s">
        <v>35</v>
      </c>
      <c r="C95" s="36" t="s">
        <v>35</v>
      </c>
      <c r="D95" s="36">
        <v>72.0</v>
      </c>
      <c r="E95" s="38">
        <v>10.9</v>
      </c>
      <c r="F95" s="38">
        <f t="shared" si="1"/>
        <v>784.8</v>
      </c>
      <c r="G95" s="36" t="s">
        <v>4868</v>
      </c>
      <c r="H95" s="36" t="s">
        <v>3228</v>
      </c>
      <c r="I95" s="36" t="s">
        <v>96</v>
      </c>
      <c r="J95" s="36" t="s">
        <v>35</v>
      </c>
      <c r="K95" s="36" t="s">
        <v>35</v>
      </c>
      <c r="L95" s="36" t="s">
        <v>240</v>
      </c>
      <c r="M95" s="45">
        <v>46097.0</v>
      </c>
      <c r="N95" s="36"/>
    </row>
    <row r="96" ht="15.75" hidden="1" customHeight="1">
      <c r="B96" s="36" t="s">
        <v>35</v>
      </c>
      <c r="C96" s="36" t="s">
        <v>35</v>
      </c>
      <c r="D96" s="36">
        <v>200.0</v>
      </c>
      <c r="E96" s="38">
        <v>5.8</v>
      </c>
      <c r="F96" s="38">
        <f t="shared" si="1"/>
        <v>1160</v>
      </c>
      <c r="G96" s="36" t="s">
        <v>4869</v>
      </c>
      <c r="H96" s="36" t="s">
        <v>1400</v>
      </c>
      <c r="I96" s="36" t="s">
        <v>96</v>
      </c>
      <c r="J96" s="36" t="s">
        <v>35</v>
      </c>
      <c r="K96" s="36" t="s">
        <v>35</v>
      </c>
      <c r="L96" s="36" t="s">
        <v>240</v>
      </c>
      <c r="M96" s="45">
        <v>46097.0</v>
      </c>
      <c r="N96" s="36"/>
    </row>
    <row r="97" ht="15.75" customHeight="1">
      <c r="B97" s="36" t="s">
        <v>35</v>
      </c>
      <c r="C97" s="36" t="s">
        <v>35</v>
      </c>
      <c r="D97" s="36">
        <v>5.0</v>
      </c>
      <c r="E97" s="38">
        <v>395.0</v>
      </c>
      <c r="F97" s="38">
        <f t="shared" si="1"/>
        <v>1975</v>
      </c>
      <c r="G97" s="36" t="s">
        <v>4870</v>
      </c>
      <c r="H97" s="36" t="s">
        <v>4871</v>
      </c>
      <c r="I97" s="36" t="s">
        <v>279</v>
      </c>
      <c r="J97" s="36" t="s">
        <v>35</v>
      </c>
      <c r="K97" s="36" t="s">
        <v>35</v>
      </c>
      <c r="L97" s="36" t="s">
        <v>240</v>
      </c>
      <c r="M97" s="45">
        <v>46094.0</v>
      </c>
      <c r="N97" s="36"/>
    </row>
    <row r="98" ht="15.75" hidden="1" customHeight="1">
      <c r="B98" s="36" t="s">
        <v>35</v>
      </c>
      <c r="C98" s="36" t="s">
        <v>35</v>
      </c>
      <c r="D98" s="36">
        <v>30.0</v>
      </c>
      <c r="E98" s="38">
        <v>37.0</v>
      </c>
      <c r="F98" s="38">
        <f t="shared" si="1"/>
        <v>1110</v>
      </c>
      <c r="G98" s="36" t="s">
        <v>4872</v>
      </c>
      <c r="H98" s="36" t="s">
        <v>4873</v>
      </c>
      <c r="I98" s="36" t="s">
        <v>87</v>
      </c>
      <c r="J98" s="36" t="s">
        <v>35</v>
      </c>
      <c r="K98" s="36" t="s">
        <v>35</v>
      </c>
      <c r="L98" s="36" t="s">
        <v>221</v>
      </c>
      <c r="M98" s="45">
        <v>46100.0</v>
      </c>
      <c r="N98" s="36"/>
    </row>
    <row r="99" ht="15.75" hidden="1" customHeight="1">
      <c r="B99" s="36" t="s">
        <v>35</v>
      </c>
      <c r="C99" s="36" t="s">
        <v>35</v>
      </c>
      <c r="D99" s="36">
        <v>100.0</v>
      </c>
      <c r="E99" s="38">
        <v>21.0</v>
      </c>
      <c r="F99" s="38">
        <f t="shared" si="1"/>
        <v>2100</v>
      </c>
      <c r="G99" s="36" t="s">
        <v>4874</v>
      </c>
      <c r="H99" s="36" t="s">
        <v>4875</v>
      </c>
      <c r="I99" s="36" t="s">
        <v>87</v>
      </c>
      <c r="J99" s="36" t="s">
        <v>35</v>
      </c>
      <c r="K99" s="36" t="s">
        <v>35</v>
      </c>
      <c r="L99" s="36" t="s">
        <v>221</v>
      </c>
      <c r="M99" s="45">
        <v>46100.0</v>
      </c>
      <c r="N99" s="36"/>
    </row>
    <row r="100" ht="15.75" hidden="1" customHeight="1">
      <c r="B100" s="36" t="s">
        <v>35</v>
      </c>
      <c r="C100" s="36" t="s">
        <v>35</v>
      </c>
      <c r="D100" s="36">
        <v>50.0</v>
      </c>
      <c r="E100" s="38">
        <v>24.9</v>
      </c>
      <c r="F100" s="38">
        <f t="shared" si="1"/>
        <v>1245</v>
      </c>
      <c r="G100" s="36" t="s">
        <v>4876</v>
      </c>
      <c r="H100" s="36" t="s">
        <v>4877</v>
      </c>
      <c r="I100" s="36" t="s">
        <v>96</v>
      </c>
      <c r="J100" s="36" t="s">
        <v>35</v>
      </c>
      <c r="K100" s="36" t="s">
        <v>35</v>
      </c>
      <c r="L100" s="36" t="s">
        <v>240</v>
      </c>
      <c r="M100" s="45">
        <v>46100.0</v>
      </c>
      <c r="N100" s="36"/>
    </row>
    <row r="101" ht="15.75" hidden="1" customHeight="1">
      <c r="B101" s="36" t="s">
        <v>35</v>
      </c>
      <c r="C101" s="36" t="s">
        <v>35</v>
      </c>
      <c r="D101" s="36">
        <v>80.0</v>
      </c>
      <c r="E101" s="38">
        <v>46.0</v>
      </c>
      <c r="F101" s="38">
        <f t="shared" si="1"/>
        <v>3680</v>
      </c>
      <c r="G101" s="36" t="s">
        <v>4864</v>
      </c>
      <c r="H101" s="36" t="s">
        <v>4865</v>
      </c>
      <c r="I101" s="36" t="s">
        <v>151</v>
      </c>
      <c r="J101" s="36" t="s">
        <v>35</v>
      </c>
      <c r="K101" s="36" t="s">
        <v>35</v>
      </c>
      <c r="L101" s="36" t="s">
        <v>240</v>
      </c>
      <c r="M101" s="45">
        <v>46100.0</v>
      </c>
      <c r="N101" s="36"/>
    </row>
    <row r="102" ht="15.75" hidden="1" customHeight="1">
      <c r="B102" s="36" t="s">
        <v>35</v>
      </c>
      <c r="C102" s="36" t="s">
        <v>35</v>
      </c>
      <c r="D102" s="36">
        <v>12.0</v>
      </c>
      <c r="E102" s="38">
        <v>50.0</v>
      </c>
      <c r="F102" s="38">
        <f t="shared" si="1"/>
        <v>600</v>
      </c>
      <c r="G102" s="36" t="s">
        <v>4878</v>
      </c>
      <c r="H102" s="36" t="s">
        <v>4879</v>
      </c>
      <c r="I102" s="36" t="s">
        <v>241</v>
      </c>
      <c r="J102" s="36" t="s">
        <v>35</v>
      </c>
      <c r="K102" s="36" t="s">
        <v>35</v>
      </c>
      <c r="L102" s="36" t="s">
        <v>240</v>
      </c>
      <c r="M102" s="45">
        <v>46100.0</v>
      </c>
      <c r="N102" s="36"/>
    </row>
    <row r="103" ht="15.75" hidden="1" customHeight="1">
      <c r="B103" s="36" t="s">
        <v>35</v>
      </c>
      <c r="C103" s="36" t="s">
        <v>35</v>
      </c>
      <c r="D103" s="36">
        <v>9.0</v>
      </c>
      <c r="E103" s="38">
        <v>58.0</v>
      </c>
      <c r="F103" s="38">
        <f t="shared" si="1"/>
        <v>522</v>
      </c>
      <c r="G103" s="36" t="s">
        <v>4880</v>
      </c>
      <c r="H103" s="36" t="s">
        <v>4881</v>
      </c>
      <c r="I103" s="36" t="s">
        <v>241</v>
      </c>
      <c r="J103" s="36" t="s">
        <v>35</v>
      </c>
      <c r="K103" s="36" t="s">
        <v>35</v>
      </c>
      <c r="L103" s="36" t="s">
        <v>240</v>
      </c>
      <c r="M103" s="45">
        <v>46100.0</v>
      </c>
      <c r="N103" s="36"/>
    </row>
    <row r="104" ht="15.75" hidden="1" customHeight="1">
      <c r="B104" s="36" t="s">
        <v>35</v>
      </c>
      <c r="C104" s="36" t="s">
        <v>35</v>
      </c>
      <c r="D104" s="36">
        <v>200.0</v>
      </c>
      <c r="E104" s="38">
        <v>6.9</v>
      </c>
      <c r="F104" s="38">
        <f t="shared" si="1"/>
        <v>1380</v>
      </c>
      <c r="G104" s="36" t="s">
        <v>4882</v>
      </c>
      <c r="H104" s="36" t="s">
        <v>1435</v>
      </c>
      <c r="I104" s="36" t="s">
        <v>96</v>
      </c>
      <c r="J104" s="36" t="s">
        <v>35</v>
      </c>
      <c r="K104" s="36" t="s">
        <v>35</v>
      </c>
      <c r="L104" s="36" t="s">
        <v>240</v>
      </c>
      <c r="M104" s="45">
        <v>46100.0</v>
      </c>
      <c r="N104" s="36"/>
    </row>
    <row r="105" ht="15.75" hidden="1" customHeight="1">
      <c r="B105" s="36" t="s">
        <v>35</v>
      </c>
      <c r="C105" s="36" t="s">
        <v>35</v>
      </c>
      <c r="D105" s="36">
        <v>80.0</v>
      </c>
      <c r="E105" s="38">
        <v>17.99</v>
      </c>
      <c r="F105" s="38">
        <f t="shared" si="1"/>
        <v>1439.2</v>
      </c>
      <c r="G105" s="36" t="s">
        <v>3028</v>
      </c>
      <c r="H105" s="36" t="s">
        <v>1624</v>
      </c>
      <c r="I105" s="36" t="s">
        <v>96</v>
      </c>
      <c r="J105" s="36" t="s">
        <v>35</v>
      </c>
      <c r="K105" s="36" t="s">
        <v>35</v>
      </c>
      <c r="L105" s="36" t="s">
        <v>240</v>
      </c>
      <c r="M105" s="45">
        <v>46100.0</v>
      </c>
      <c r="N105" s="36"/>
    </row>
    <row r="106" ht="15.75" hidden="1" customHeight="1">
      <c r="B106" s="36" t="s">
        <v>35</v>
      </c>
      <c r="C106" s="36" t="s">
        <v>35</v>
      </c>
      <c r="D106" s="36">
        <v>72.0</v>
      </c>
      <c r="E106" s="38">
        <v>17.9</v>
      </c>
      <c r="F106" s="38">
        <f t="shared" si="1"/>
        <v>1288.8</v>
      </c>
      <c r="G106" s="36" t="s">
        <v>4883</v>
      </c>
      <c r="H106" s="36" t="s">
        <v>4884</v>
      </c>
      <c r="I106" s="36" t="s">
        <v>96</v>
      </c>
      <c r="J106" s="36" t="s">
        <v>35</v>
      </c>
      <c r="K106" s="36" t="s">
        <v>35</v>
      </c>
      <c r="L106" s="36" t="s">
        <v>240</v>
      </c>
      <c r="M106" s="45">
        <v>46100.0</v>
      </c>
      <c r="N106" s="36"/>
    </row>
    <row r="107" ht="15.75" hidden="1" customHeight="1">
      <c r="B107" s="36" t="s">
        <v>35</v>
      </c>
      <c r="C107" s="36" t="s">
        <v>35</v>
      </c>
      <c r="D107" s="36">
        <v>8.0</v>
      </c>
      <c r="E107" s="38">
        <v>106.0</v>
      </c>
      <c r="F107" s="38">
        <f t="shared" si="1"/>
        <v>848</v>
      </c>
      <c r="G107" s="36" t="s">
        <v>919</v>
      </c>
      <c r="H107" s="36" t="s">
        <v>4885</v>
      </c>
      <c r="I107" s="36" t="s">
        <v>210</v>
      </c>
      <c r="J107" s="36" t="s">
        <v>35</v>
      </c>
      <c r="K107" s="36" t="s">
        <v>35</v>
      </c>
      <c r="L107" s="36" t="s">
        <v>240</v>
      </c>
      <c r="M107" s="45">
        <v>46100.0</v>
      </c>
      <c r="N107" s="36"/>
    </row>
    <row r="108" ht="15.75" hidden="1" customHeight="1">
      <c r="B108" s="36" t="s">
        <v>35</v>
      </c>
      <c r="C108" s="36" t="s">
        <v>35</v>
      </c>
      <c r="D108" s="36">
        <v>5.0</v>
      </c>
      <c r="E108" s="38">
        <v>490.0</v>
      </c>
      <c r="F108" s="38">
        <f t="shared" si="1"/>
        <v>2450</v>
      </c>
      <c r="G108" s="36" t="s">
        <v>4886</v>
      </c>
      <c r="H108" s="36" t="s">
        <v>4887</v>
      </c>
      <c r="I108" s="36" t="s">
        <v>46</v>
      </c>
      <c r="J108" s="36" t="s">
        <v>35</v>
      </c>
      <c r="K108" s="36" t="s">
        <v>35</v>
      </c>
      <c r="L108" s="36" t="s">
        <v>240</v>
      </c>
      <c r="M108" s="45">
        <v>46100.0</v>
      </c>
      <c r="N108" s="36"/>
    </row>
    <row r="109" ht="15.75" hidden="1" customHeight="1">
      <c r="B109" s="36" t="s">
        <v>35</v>
      </c>
      <c r="C109" s="36" t="s">
        <v>35</v>
      </c>
      <c r="D109" s="36">
        <v>12.0</v>
      </c>
      <c r="E109" s="38">
        <v>40.0</v>
      </c>
      <c r="F109" s="38">
        <f t="shared" si="1"/>
        <v>480</v>
      </c>
      <c r="G109" s="36" t="s">
        <v>4890</v>
      </c>
      <c r="H109" s="36" t="s">
        <v>4891</v>
      </c>
      <c r="I109" s="36" t="s">
        <v>241</v>
      </c>
      <c r="J109" s="36" t="s">
        <v>35</v>
      </c>
      <c r="K109" s="36" t="s">
        <v>35</v>
      </c>
      <c r="L109" s="36" t="s">
        <v>240</v>
      </c>
      <c r="M109" s="45">
        <v>46100.0</v>
      </c>
      <c r="N109" s="36"/>
    </row>
    <row r="110" ht="15.75" hidden="1" customHeight="1">
      <c r="B110" s="36" t="s">
        <v>35</v>
      </c>
      <c r="C110" s="36" t="s">
        <v>35</v>
      </c>
      <c r="D110" s="36">
        <v>30.0</v>
      </c>
      <c r="E110" s="38">
        <v>68.0</v>
      </c>
      <c r="F110" s="38">
        <f t="shared" si="1"/>
        <v>2040</v>
      </c>
      <c r="G110" s="36" t="s">
        <v>4894</v>
      </c>
      <c r="H110" s="36" t="s">
        <v>4895</v>
      </c>
      <c r="I110" s="36" t="s">
        <v>241</v>
      </c>
      <c r="J110" s="36" t="s">
        <v>35</v>
      </c>
      <c r="K110" s="36" t="s">
        <v>35</v>
      </c>
      <c r="L110" s="36" t="s">
        <v>240</v>
      </c>
      <c r="M110" s="45">
        <v>46100.0</v>
      </c>
      <c r="N110" s="36"/>
    </row>
    <row r="111" ht="15.75" hidden="1" customHeight="1">
      <c r="B111" s="36" t="s">
        <v>35</v>
      </c>
      <c r="C111" s="36" t="s">
        <v>35</v>
      </c>
      <c r="D111" s="36">
        <v>40.0</v>
      </c>
      <c r="E111" s="38">
        <v>27.0</v>
      </c>
      <c r="F111" s="38">
        <f t="shared" si="1"/>
        <v>1080</v>
      </c>
      <c r="G111" s="36" t="s">
        <v>4898</v>
      </c>
      <c r="H111" s="36" t="s">
        <v>4900</v>
      </c>
      <c r="I111" s="36" t="s">
        <v>279</v>
      </c>
      <c r="J111" s="36" t="s">
        <v>35</v>
      </c>
      <c r="K111" s="36" t="s">
        <v>35</v>
      </c>
      <c r="L111" s="36" t="s">
        <v>240</v>
      </c>
      <c r="M111" s="45">
        <v>46100.0</v>
      </c>
      <c r="N111" s="36"/>
    </row>
    <row r="112" ht="15.75" hidden="1" customHeight="1">
      <c r="B112" s="36" t="s">
        <v>35</v>
      </c>
      <c r="C112" s="36" t="s">
        <v>35</v>
      </c>
      <c r="D112" s="36">
        <v>200.0</v>
      </c>
      <c r="E112" s="38">
        <v>4.2</v>
      </c>
      <c r="F112" s="38">
        <f t="shared" si="1"/>
        <v>840</v>
      </c>
      <c r="G112" s="36" t="s">
        <v>4903</v>
      </c>
      <c r="H112" s="36" t="s">
        <v>4904</v>
      </c>
      <c r="I112" s="36" t="s">
        <v>241</v>
      </c>
      <c r="J112" s="36" t="s">
        <v>35</v>
      </c>
      <c r="K112" s="36" t="s">
        <v>35</v>
      </c>
      <c r="L112" s="36" t="s">
        <v>240</v>
      </c>
      <c r="M112" s="45">
        <v>46100.0</v>
      </c>
      <c r="N112" s="36"/>
    </row>
    <row r="113" ht="15.75" hidden="1" customHeight="1">
      <c r="B113" s="36" t="s">
        <v>35</v>
      </c>
      <c r="C113" s="36" t="s">
        <v>35</v>
      </c>
      <c r="D113" s="36">
        <v>60.0</v>
      </c>
      <c r="E113" s="38">
        <v>66.0</v>
      </c>
      <c r="F113" s="38">
        <f t="shared" si="1"/>
        <v>3960</v>
      </c>
      <c r="G113" s="36" t="s">
        <v>4864</v>
      </c>
      <c r="H113" s="36" t="s">
        <v>4906</v>
      </c>
      <c r="I113" s="36" t="s">
        <v>151</v>
      </c>
      <c r="J113" s="36" t="s">
        <v>35</v>
      </c>
      <c r="K113" s="36" t="s">
        <v>35</v>
      </c>
      <c r="L113" s="36" t="s">
        <v>240</v>
      </c>
      <c r="M113" s="45">
        <v>46100.0</v>
      </c>
      <c r="N113" s="36"/>
    </row>
    <row r="114" ht="15.75" hidden="1" customHeight="1">
      <c r="B114" s="36" t="s">
        <v>35</v>
      </c>
      <c r="C114" s="36" t="s">
        <v>35</v>
      </c>
      <c r="D114" s="36">
        <v>80.0</v>
      </c>
      <c r="E114" s="38">
        <v>8.9</v>
      </c>
      <c r="F114" s="38">
        <f t="shared" si="1"/>
        <v>712</v>
      </c>
      <c r="G114" s="36" t="s">
        <v>4908</v>
      </c>
      <c r="H114" s="36" t="s">
        <v>4909</v>
      </c>
      <c r="I114" s="36" t="s">
        <v>96</v>
      </c>
      <c r="J114" s="36" t="s">
        <v>35</v>
      </c>
      <c r="K114" s="36" t="s">
        <v>35</v>
      </c>
      <c r="L114" s="36" t="s">
        <v>240</v>
      </c>
      <c r="M114" s="45">
        <v>46100.0</v>
      </c>
      <c r="N114" s="36"/>
    </row>
    <row r="115" ht="15.75" hidden="1" customHeight="1">
      <c r="B115" s="36" t="s">
        <v>35</v>
      </c>
      <c r="C115" s="36" t="s">
        <v>35</v>
      </c>
      <c r="D115" s="36">
        <v>72.0</v>
      </c>
      <c r="E115" s="38">
        <v>13.8</v>
      </c>
      <c r="F115" s="38">
        <f t="shared" si="1"/>
        <v>993.6</v>
      </c>
      <c r="G115" s="36" t="s">
        <v>4910</v>
      </c>
      <c r="H115" s="36" t="s">
        <v>4911</v>
      </c>
      <c r="I115" s="36" t="s">
        <v>96</v>
      </c>
      <c r="J115" s="36" t="s">
        <v>35</v>
      </c>
      <c r="K115" s="36" t="s">
        <v>35</v>
      </c>
      <c r="L115" s="36" t="s">
        <v>240</v>
      </c>
      <c r="M115" s="45">
        <v>46100.0</v>
      </c>
      <c r="N115" s="36"/>
    </row>
    <row r="116" ht="15.75" hidden="1" customHeight="1">
      <c r="B116" s="36" t="s">
        <v>35</v>
      </c>
      <c r="C116" s="36" t="s">
        <v>35</v>
      </c>
      <c r="D116" s="36">
        <v>20.0</v>
      </c>
      <c r="E116" s="38">
        <v>228.0</v>
      </c>
      <c r="F116" s="38">
        <f t="shared" si="1"/>
        <v>4560</v>
      </c>
      <c r="G116" s="36" t="s">
        <v>4912</v>
      </c>
      <c r="H116" s="36" t="s">
        <v>4913</v>
      </c>
      <c r="I116" s="36" t="s">
        <v>698</v>
      </c>
      <c r="J116" s="36" t="s">
        <v>35</v>
      </c>
      <c r="K116" s="36" t="s">
        <v>35</v>
      </c>
      <c r="L116" s="36" t="s">
        <v>240</v>
      </c>
      <c r="M116" s="45">
        <v>46100.0</v>
      </c>
      <c r="N116" s="36"/>
    </row>
    <row r="117" ht="15.75" hidden="1" customHeight="1">
      <c r="B117" s="36" t="s">
        <v>35</v>
      </c>
      <c r="C117" s="36" t="s">
        <v>35</v>
      </c>
      <c r="D117" s="36">
        <v>3.0</v>
      </c>
      <c r="E117" s="38">
        <v>2070.0</v>
      </c>
      <c r="F117" s="38">
        <f t="shared" si="1"/>
        <v>6210</v>
      </c>
      <c r="G117" s="36" t="s">
        <v>4915</v>
      </c>
      <c r="H117" s="36" t="s">
        <v>4916</v>
      </c>
      <c r="I117" s="36" t="s">
        <v>279</v>
      </c>
      <c r="J117" s="36" t="s">
        <v>35</v>
      </c>
      <c r="K117" s="36" t="s">
        <v>35</v>
      </c>
      <c r="L117" s="36" t="s">
        <v>240</v>
      </c>
      <c r="M117" s="45">
        <v>46101.0</v>
      </c>
      <c r="N117" s="36"/>
    </row>
    <row r="118" ht="15.75" hidden="1" customHeight="1">
      <c r="B118" s="36" t="s">
        <v>35</v>
      </c>
      <c r="C118" s="36" t="s">
        <v>35</v>
      </c>
      <c r="D118" s="36">
        <v>100.0</v>
      </c>
      <c r="E118" s="38">
        <v>75.0</v>
      </c>
      <c r="F118" s="38">
        <f t="shared" si="1"/>
        <v>7500</v>
      </c>
      <c r="G118" s="36" t="s">
        <v>4919</v>
      </c>
      <c r="H118" s="36" t="s">
        <v>985</v>
      </c>
      <c r="I118" s="36" t="s">
        <v>87</v>
      </c>
      <c r="J118" s="36" t="s">
        <v>35</v>
      </c>
      <c r="K118" s="36" t="s">
        <v>35</v>
      </c>
      <c r="L118" s="36" t="s">
        <v>240</v>
      </c>
      <c r="M118" s="45">
        <v>46101.0</v>
      </c>
      <c r="N118" s="36"/>
    </row>
    <row r="119" ht="15.75" hidden="1" customHeight="1">
      <c r="B119" s="36" t="s">
        <v>35</v>
      </c>
      <c r="C119" s="36" t="s">
        <v>35</v>
      </c>
      <c r="D119" s="36">
        <v>120.0</v>
      </c>
      <c r="E119" s="38">
        <v>17.9</v>
      </c>
      <c r="F119" s="38">
        <f t="shared" si="1"/>
        <v>2148</v>
      </c>
      <c r="G119" s="36" t="s">
        <v>4921</v>
      </c>
      <c r="H119" s="36" t="s">
        <v>1470</v>
      </c>
      <c r="I119" s="36" t="s">
        <v>96</v>
      </c>
      <c r="J119" s="36" t="s">
        <v>35</v>
      </c>
      <c r="K119" s="36" t="s">
        <v>35</v>
      </c>
      <c r="L119" s="36" t="s">
        <v>240</v>
      </c>
      <c r="M119" s="45">
        <v>46101.0</v>
      </c>
      <c r="N119" s="36"/>
    </row>
    <row r="120" ht="15.75" hidden="1" customHeight="1">
      <c r="B120" s="36" t="s">
        <v>35</v>
      </c>
      <c r="C120" s="36" t="s">
        <v>35</v>
      </c>
      <c r="D120" s="36">
        <v>20.0</v>
      </c>
      <c r="E120" s="38">
        <v>25.9</v>
      </c>
      <c r="F120" s="38">
        <f t="shared" si="1"/>
        <v>518</v>
      </c>
      <c r="G120" s="36" t="s">
        <v>4925</v>
      </c>
      <c r="H120" s="36" t="s">
        <v>4927</v>
      </c>
      <c r="I120" s="36" t="s">
        <v>96</v>
      </c>
      <c r="J120" s="36" t="s">
        <v>35</v>
      </c>
      <c r="K120" s="36" t="s">
        <v>35</v>
      </c>
      <c r="L120" s="36" t="s">
        <v>240</v>
      </c>
      <c r="M120" s="45">
        <v>46101.0</v>
      </c>
      <c r="N120" s="36"/>
    </row>
    <row r="121" ht="15.75" hidden="1" customHeight="1">
      <c r="B121" s="36" t="s">
        <v>35</v>
      </c>
      <c r="C121" s="36" t="s">
        <v>35</v>
      </c>
      <c r="D121" s="36">
        <v>20.0</v>
      </c>
      <c r="E121" s="38">
        <v>105.0</v>
      </c>
      <c r="F121" s="38">
        <f t="shared" si="1"/>
        <v>2100</v>
      </c>
      <c r="G121" s="36" t="s">
        <v>4929</v>
      </c>
      <c r="H121" s="36" t="s">
        <v>4930</v>
      </c>
      <c r="I121" s="36" t="s">
        <v>62</v>
      </c>
      <c r="J121" s="36" t="s">
        <v>35</v>
      </c>
      <c r="K121" s="36" t="s">
        <v>35</v>
      </c>
      <c r="L121" s="36" t="s">
        <v>240</v>
      </c>
      <c r="M121" s="45">
        <v>46101.0</v>
      </c>
      <c r="N121" s="36"/>
    </row>
    <row r="122" ht="15.75" hidden="1" customHeight="1">
      <c r="B122" s="36" t="s">
        <v>35</v>
      </c>
      <c r="C122" s="36" t="s">
        <v>35</v>
      </c>
      <c r="D122" s="36">
        <v>100.0</v>
      </c>
      <c r="E122" s="38">
        <v>23.9</v>
      </c>
      <c r="F122" s="38">
        <f t="shared" si="1"/>
        <v>2390</v>
      </c>
      <c r="G122" s="36" t="s">
        <v>4934</v>
      </c>
      <c r="H122" s="36" t="s">
        <v>4935</v>
      </c>
      <c r="I122" s="36" t="s">
        <v>96</v>
      </c>
      <c r="J122" s="36" t="s">
        <v>35</v>
      </c>
      <c r="K122" s="36" t="s">
        <v>35</v>
      </c>
      <c r="L122" s="36" t="s">
        <v>240</v>
      </c>
      <c r="M122" s="45">
        <v>46101.0</v>
      </c>
      <c r="N122" s="36"/>
    </row>
    <row r="123" ht="15.75" hidden="1" customHeight="1">
      <c r="B123" s="36" t="s">
        <v>35</v>
      </c>
      <c r="C123" s="36" t="s">
        <v>35</v>
      </c>
      <c r="D123" s="36">
        <v>2.0</v>
      </c>
      <c r="E123" s="38">
        <v>5400.0</v>
      </c>
      <c r="F123" s="38">
        <f t="shared" si="1"/>
        <v>10800</v>
      </c>
      <c r="G123" s="36" t="s">
        <v>4937</v>
      </c>
      <c r="H123" s="36" t="s">
        <v>4938</v>
      </c>
      <c r="I123" s="36" t="s">
        <v>279</v>
      </c>
      <c r="J123" s="36" t="s">
        <v>35</v>
      </c>
      <c r="K123" s="36" t="s">
        <v>35</v>
      </c>
      <c r="L123" s="36" t="s">
        <v>221</v>
      </c>
      <c r="M123" s="45">
        <v>46102.0</v>
      </c>
      <c r="N123" s="36"/>
    </row>
    <row r="124" ht="15.75" hidden="1" customHeight="1">
      <c r="B124" s="36" t="s">
        <v>35</v>
      </c>
      <c r="C124" s="36" t="s">
        <v>35</v>
      </c>
      <c r="D124" s="36">
        <v>40.0</v>
      </c>
      <c r="E124" s="38">
        <v>27.0</v>
      </c>
      <c r="F124" s="38">
        <f t="shared" si="1"/>
        <v>1080</v>
      </c>
      <c r="G124" s="36" t="s">
        <v>4941</v>
      </c>
      <c r="H124" s="36" t="s">
        <v>4943</v>
      </c>
      <c r="I124" s="36" t="s">
        <v>2094</v>
      </c>
      <c r="J124" s="36" t="s">
        <v>35</v>
      </c>
      <c r="K124" s="36" t="s">
        <v>35</v>
      </c>
      <c r="L124" s="36" t="s">
        <v>221</v>
      </c>
      <c r="M124" s="45">
        <v>46102.0</v>
      </c>
      <c r="N124" s="36"/>
    </row>
    <row r="125" ht="15.75" hidden="1" customHeight="1">
      <c r="B125" s="36" t="s">
        <v>35</v>
      </c>
      <c r="C125" s="36" t="s">
        <v>35</v>
      </c>
      <c r="D125" s="36">
        <v>200.0</v>
      </c>
      <c r="E125" s="38">
        <v>15.99</v>
      </c>
      <c r="F125" s="38">
        <f t="shared" si="1"/>
        <v>3198</v>
      </c>
      <c r="G125" s="36" t="s">
        <v>4807</v>
      </c>
      <c r="H125" s="36" t="s">
        <v>1571</v>
      </c>
      <c r="I125" s="36" t="s">
        <v>96</v>
      </c>
      <c r="J125" s="36" t="s">
        <v>35</v>
      </c>
      <c r="K125" s="36" t="s">
        <v>35</v>
      </c>
      <c r="L125" s="36" t="s">
        <v>221</v>
      </c>
      <c r="M125" s="45">
        <v>46102.0</v>
      </c>
      <c r="N125" s="36"/>
    </row>
    <row r="126" ht="15.75" hidden="1" customHeight="1">
      <c r="B126" s="36" t="s">
        <v>35</v>
      </c>
      <c r="C126" s="36" t="s">
        <v>35</v>
      </c>
      <c r="D126" s="36">
        <v>100.0</v>
      </c>
      <c r="E126" s="38">
        <v>7.99</v>
      </c>
      <c r="F126" s="38">
        <f t="shared" si="1"/>
        <v>799</v>
      </c>
      <c r="G126" s="36" t="s">
        <v>1102</v>
      </c>
      <c r="H126" s="36" t="s">
        <v>1103</v>
      </c>
      <c r="I126" s="36" t="s">
        <v>96</v>
      </c>
      <c r="J126" s="36" t="s">
        <v>35</v>
      </c>
      <c r="K126" s="36" t="s">
        <v>35</v>
      </c>
      <c r="L126" s="36" t="s">
        <v>221</v>
      </c>
      <c r="M126" s="45">
        <v>46102.0</v>
      </c>
      <c r="N126" s="36"/>
    </row>
    <row r="127" ht="15.75" hidden="1" customHeight="1">
      <c r="B127" s="36" t="s">
        <v>35</v>
      </c>
      <c r="C127" s="36" t="s">
        <v>35</v>
      </c>
      <c r="D127" s="36">
        <v>20.0</v>
      </c>
      <c r="E127" s="38">
        <v>169.9</v>
      </c>
      <c r="F127" s="38">
        <f t="shared" si="1"/>
        <v>3398</v>
      </c>
      <c r="G127" s="36" t="s">
        <v>4954</v>
      </c>
      <c r="H127" s="36" t="s">
        <v>4955</v>
      </c>
      <c r="I127" s="36" t="s">
        <v>96</v>
      </c>
      <c r="J127" s="36" t="s">
        <v>35</v>
      </c>
      <c r="K127" s="36" t="s">
        <v>35</v>
      </c>
      <c r="L127" s="36" t="s">
        <v>221</v>
      </c>
      <c r="M127" s="45">
        <v>46102.0</v>
      </c>
      <c r="N127" s="36"/>
    </row>
    <row r="128" ht="15.75" hidden="1" customHeight="1">
      <c r="B128" s="36" t="s">
        <v>35</v>
      </c>
      <c r="C128" s="36" t="s">
        <v>35</v>
      </c>
      <c r="D128" s="36">
        <v>80.0</v>
      </c>
      <c r="E128" s="38">
        <v>69.9</v>
      </c>
      <c r="F128" s="38">
        <f t="shared" si="1"/>
        <v>5592</v>
      </c>
      <c r="G128" s="36" t="s">
        <v>2945</v>
      </c>
      <c r="H128" s="36" t="s">
        <v>2946</v>
      </c>
      <c r="I128" s="36" t="s">
        <v>96</v>
      </c>
      <c r="J128" s="36" t="s">
        <v>35</v>
      </c>
      <c r="K128" s="36" t="s">
        <v>35</v>
      </c>
      <c r="L128" s="36" t="s">
        <v>221</v>
      </c>
      <c r="M128" s="45">
        <v>46102.0</v>
      </c>
      <c r="N128" s="36"/>
    </row>
    <row r="129" ht="15.75" hidden="1" customHeight="1">
      <c r="B129" s="36" t="s">
        <v>35</v>
      </c>
      <c r="C129" s="36" t="s">
        <v>35</v>
      </c>
      <c r="D129" s="36">
        <v>50.0</v>
      </c>
      <c r="E129" s="38">
        <v>79.99</v>
      </c>
      <c r="F129" s="38">
        <f t="shared" si="1"/>
        <v>3999.5</v>
      </c>
      <c r="G129" s="36" t="s">
        <v>986</v>
      </c>
      <c r="H129" s="36" t="s">
        <v>4962</v>
      </c>
      <c r="I129" s="36" t="s">
        <v>96</v>
      </c>
      <c r="J129" s="36" t="s">
        <v>35</v>
      </c>
      <c r="K129" s="36" t="s">
        <v>35</v>
      </c>
      <c r="L129" s="36" t="s">
        <v>221</v>
      </c>
      <c r="M129" s="45">
        <v>46102.0</v>
      </c>
      <c r="N129" s="36"/>
    </row>
    <row r="130" ht="15.75" hidden="1" customHeight="1">
      <c r="B130" s="36" t="s">
        <v>35</v>
      </c>
      <c r="C130" s="36" t="s">
        <v>35</v>
      </c>
      <c r="D130" s="36">
        <v>100.0</v>
      </c>
      <c r="E130" s="38">
        <v>23.99</v>
      </c>
      <c r="F130" s="38">
        <f t="shared" si="1"/>
        <v>2399</v>
      </c>
      <c r="G130" s="36" t="s">
        <v>4965</v>
      </c>
      <c r="H130" s="36" t="s">
        <v>4967</v>
      </c>
      <c r="I130" s="36" t="s">
        <v>96</v>
      </c>
      <c r="J130" s="36" t="s">
        <v>35</v>
      </c>
      <c r="K130" s="36" t="s">
        <v>35</v>
      </c>
      <c r="L130" s="36" t="s">
        <v>221</v>
      </c>
      <c r="M130" s="45">
        <v>46102.0</v>
      </c>
      <c r="N130" s="36"/>
    </row>
    <row r="131" ht="15.75" hidden="1" customHeight="1">
      <c r="B131" s="36" t="s">
        <v>35</v>
      </c>
      <c r="C131" s="36" t="s">
        <v>35</v>
      </c>
      <c r="D131" s="36">
        <v>0.0</v>
      </c>
      <c r="E131" s="38">
        <v>0.0</v>
      </c>
      <c r="F131" s="38">
        <f t="shared" si="1"/>
        <v>0</v>
      </c>
      <c r="G131" s="36" t="s">
        <v>4969</v>
      </c>
      <c r="H131" s="36" t="s">
        <v>4970</v>
      </c>
      <c r="I131" s="36" t="s">
        <v>96</v>
      </c>
      <c r="J131" s="36" t="s">
        <v>35</v>
      </c>
      <c r="K131" s="36" t="s">
        <v>35</v>
      </c>
      <c r="L131" s="36" t="s">
        <v>221</v>
      </c>
      <c r="M131" s="45">
        <v>46102.0</v>
      </c>
      <c r="N131" s="36"/>
    </row>
    <row r="132" ht="15.75" hidden="1" customHeight="1">
      <c r="B132" s="36" t="s">
        <v>35</v>
      </c>
      <c r="C132" s="36" t="s">
        <v>35</v>
      </c>
      <c r="D132" s="36">
        <v>24.0</v>
      </c>
      <c r="E132" s="38">
        <v>27.9</v>
      </c>
      <c r="F132" s="38">
        <f t="shared" si="1"/>
        <v>669.6</v>
      </c>
      <c r="G132" s="36" t="s">
        <v>4974</v>
      </c>
      <c r="H132" s="36" t="s">
        <v>4975</v>
      </c>
      <c r="I132" s="36" t="s">
        <v>96</v>
      </c>
      <c r="J132" s="36" t="s">
        <v>35</v>
      </c>
      <c r="K132" s="36" t="s">
        <v>35</v>
      </c>
      <c r="L132" s="36" t="s">
        <v>221</v>
      </c>
      <c r="M132" s="45">
        <v>46102.0</v>
      </c>
      <c r="N132" s="36"/>
    </row>
    <row r="133" ht="15.75" hidden="1" customHeight="1">
      <c r="B133" s="36" t="s">
        <v>35</v>
      </c>
      <c r="C133" s="36" t="s">
        <v>35</v>
      </c>
      <c r="D133" s="36">
        <v>200.0</v>
      </c>
      <c r="E133" s="38">
        <v>3.0</v>
      </c>
      <c r="F133" s="38">
        <f t="shared" si="1"/>
        <v>600</v>
      </c>
      <c r="G133" s="36" t="s">
        <v>4721</v>
      </c>
      <c r="H133" s="36" t="s">
        <v>4982</v>
      </c>
      <c r="I133" s="36" t="s">
        <v>241</v>
      </c>
      <c r="J133" s="36" t="s">
        <v>35</v>
      </c>
      <c r="K133" s="36" t="s">
        <v>35</v>
      </c>
      <c r="L133" s="36" t="s">
        <v>221</v>
      </c>
      <c r="M133" s="45">
        <v>46102.0</v>
      </c>
      <c r="N133" s="36"/>
    </row>
    <row r="134" ht="15.75" hidden="1" customHeight="1">
      <c r="B134" s="36" t="s">
        <v>35</v>
      </c>
      <c r="C134" s="36" t="s">
        <v>35</v>
      </c>
      <c r="D134" s="36">
        <v>240.0</v>
      </c>
      <c r="E134" s="38">
        <v>6.0</v>
      </c>
      <c r="F134" s="38">
        <f t="shared" si="1"/>
        <v>1440</v>
      </c>
      <c r="G134" s="36" t="s">
        <v>4721</v>
      </c>
      <c r="H134" s="36" t="s">
        <v>4990</v>
      </c>
      <c r="I134" s="36" t="s">
        <v>241</v>
      </c>
      <c r="J134" s="36" t="s">
        <v>35</v>
      </c>
      <c r="K134" s="36" t="s">
        <v>35</v>
      </c>
      <c r="L134" s="36" t="s">
        <v>221</v>
      </c>
      <c r="M134" s="45">
        <v>46102.0</v>
      </c>
      <c r="N134" s="36"/>
    </row>
    <row r="135" ht="15.75" hidden="1" customHeight="1">
      <c r="B135" s="36" t="s">
        <v>35</v>
      </c>
      <c r="C135" s="36" t="s">
        <v>35</v>
      </c>
      <c r="D135" s="36">
        <v>100.0</v>
      </c>
      <c r="E135" s="38">
        <v>18.8</v>
      </c>
      <c r="F135" s="38">
        <f t="shared" si="1"/>
        <v>1880</v>
      </c>
      <c r="G135" s="36" t="s">
        <v>4994</v>
      </c>
      <c r="H135" s="36" t="s">
        <v>4996</v>
      </c>
      <c r="I135" s="36" t="s">
        <v>241</v>
      </c>
      <c r="J135" s="36" t="s">
        <v>35</v>
      </c>
      <c r="K135" s="36" t="s">
        <v>35</v>
      </c>
      <c r="L135" s="36" t="s">
        <v>221</v>
      </c>
      <c r="M135" s="45">
        <v>46102.0</v>
      </c>
      <c r="N135" s="36"/>
    </row>
    <row r="136" ht="15.75" hidden="1" customHeight="1">
      <c r="B136" s="36" t="s">
        <v>35</v>
      </c>
      <c r="C136" s="36" t="s">
        <v>35</v>
      </c>
      <c r="D136" s="36">
        <v>16.0</v>
      </c>
      <c r="E136" s="38">
        <v>38.4</v>
      </c>
      <c r="F136" s="38">
        <f t="shared" si="1"/>
        <v>614.4</v>
      </c>
      <c r="G136" s="36" t="s">
        <v>5002</v>
      </c>
      <c r="H136" s="36" t="s">
        <v>5003</v>
      </c>
      <c r="I136" s="36" t="s">
        <v>698</v>
      </c>
      <c r="J136" s="36" t="s">
        <v>35</v>
      </c>
      <c r="K136" s="36" t="s">
        <v>35</v>
      </c>
      <c r="L136" s="36" t="s">
        <v>221</v>
      </c>
      <c r="M136" s="45">
        <v>46102.0</v>
      </c>
      <c r="N136" s="36"/>
    </row>
    <row r="137" ht="15.75" hidden="1" customHeight="1">
      <c r="B137" s="36" t="s">
        <v>35</v>
      </c>
      <c r="C137" s="36" t="s">
        <v>35</v>
      </c>
      <c r="D137" s="36">
        <v>50.0</v>
      </c>
      <c r="E137" s="38">
        <v>70.0</v>
      </c>
      <c r="F137" s="38">
        <f t="shared" si="1"/>
        <v>3500</v>
      </c>
      <c r="G137" s="36" t="s">
        <v>5006</v>
      </c>
      <c r="H137" s="36" t="s">
        <v>5007</v>
      </c>
      <c r="I137" s="36" t="s">
        <v>210</v>
      </c>
      <c r="J137" s="36" t="s">
        <v>35</v>
      </c>
      <c r="K137" s="36" t="s">
        <v>35</v>
      </c>
      <c r="L137" s="36" t="s">
        <v>221</v>
      </c>
      <c r="M137" s="45">
        <v>46102.0</v>
      </c>
      <c r="N137" s="36"/>
    </row>
    <row r="138" ht="15.75" hidden="1" customHeight="1">
      <c r="B138" s="36" t="s">
        <v>35</v>
      </c>
      <c r="C138" s="36" t="s">
        <v>35</v>
      </c>
      <c r="D138" s="36">
        <v>30.0</v>
      </c>
      <c r="E138" s="38">
        <v>33.0</v>
      </c>
      <c r="F138" s="38">
        <f t="shared" si="1"/>
        <v>990</v>
      </c>
      <c r="G138" s="36" t="s">
        <v>5010</v>
      </c>
      <c r="H138" s="36" t="s">
        <v>5011</v>
      </c>
      <c r="I138" s="36" t="s">
        <v>241</v>
      </c>
      <c r="J138" s="36" t="s">
        <v>35</v>
      </c>
      <c r="K138" s="36" t="s">
        <v>35</v>
      </c>
      <c r="L138" s="36" t="s">
        <v>41</v>
      </c>
      <c r="M138" s="45">
        <v>46104.0</v>
      </c>
      <c r="N138" s="36"/>
    </row>
    <row r="139" ht="15.75" hidden="1" customHeight="1">
      <c r="B139" s="36" t="s">
        <v>35</v>
      </c>
      <c r="C139" s="36" t="s">
        <v>35</v>
      </c>
      <c r="D139" s="36">
        <v>24.0</v>
      </c>
      <c r="E139" s="38">
        <v>65.0</v>
      </c>
      <c r="F139" s="38">
        <f t="shared" si="1"/>
        <v>1560</v>
      </c>
      <c r="G139" s="36" t="s">
        <v>5012</v>
      </c>
      <c r="H139" s="36" t="s">
        <v>5013</v>
      </c>
      <c r="I139" s="36" t="s">
        <v>241</v>
      </c>
      <c r="J139" s="36" t="s">
        <v>35</v>
      </c>
      <c r="K139" s="36" t="s">
        <v>35</v>
      </c>
      <c r="L139" s="36" t="s">
        <v>41</v>
      </c>
      <c r="M139" s="45">
        <v>46104.0</v>
      </c>
      <c r="N139" s="36"/>
    </row>
    <row r="140" ht="15.75" hidden="1" customHeight="1">
      <c r="B140" s="36" t="s">
        <v>35</v>
      </c>
      <c r="C140" s="36" t="s">
        <v>35</v>
      </c>
      <c r="D140" s="36">
        <v>72.0</v>
      </c>
      <c r="E140" s="38">
        <v>22.99</v>
      </c>
      <c r="F140" s="38">
        <f t="shared" si="1"/>
        <v>1655.28</v>
      </c>
      <c r="G140" s="36" t="s">
        <v>5014</v>
      </c>
      <c r="H140" s="36" t="s">
        <v>5015</v>
      </c>
      <c r="I140" s="36" t="s">
        <v>96</v>
      </c>
      <c r="J140" s="36" t="s">
        <v>35</v>
      </c>
      <c r="K140" s="36" t="s">
        <v>35</v>
      </c>
      <c r="L140" s="36" t="s">
        <v>300</v>
      </c>
      <c r="M140" s="45">
        <v>46105.0</v>
      </c>
      <c r="N140" s="36"/>
    </row>
    <row r="141" ht="15.75" hidden="1" customHeight="1">
      <c r="B141" s="36" t="s">
        <v>35</v>
      </c>
      <c r="C141" s="36" t="s">
        <v>35</v>
      </c>
      <c r="D141" s="36">
        <v>40.0</v>
      </c>
      <c r="E141" s="38">
        <v>73.99</v>
      </c>
      <c r="F141" s="38">
        <f t="shared" si="1"/>
        <v>2959.6</v>
      </c>
      <c r="G141" s="36" t="s">
        <v>5016</v>
      </c>
      <c r="H141" s="36" t="s">
        <v>5017</v>
      </c>
      <c r="I141" s="36" t="s">
        <v>96</v>
      </c>
      <c r="J141" s="36" t="s">
        <v>35</v>
      </c>
      <c r="K141" s="36" t="s">
        <v>35</v>
      </c>
      <c r="L141" s="36" t="s">
        <v>300</v>
      </c>
      <c r="M141" s="45">
        <v>46105.0</v>
      </c>
      <c r="N141" s="36"/>
    </row>
    <row r="142" ht="15.75" hidden="1" customHeight="1">
      <c r="B142" s="36" t="s">
        <v>35</v>
      </c>
      <c r="C142" s="36" t="s">
        <v>35</v>
      </c>
      <c r="D142" s="36">
        <v>40.0</v>
      </c>
      <c r="E142" s="38">
        <v>46.9</v>
      </c>
      <c r="F142" s="38">
        <f t="shared" si="1"/>
        <v>1876</v>
      </c>
      <c r="G142" s="36" t="s">
        <v>4969</v>
      </c>
      <c r="H142" s="36" t="s">
        <v>4970</v>
      </c>
      <c r="I142" s="36" t="s">
        <v>96</v>
      </c>
      <c r="J142" s="36" t="s">
        <v>35</v>
      </c>
      <c r="K142" s="36" t="s">
        <v>35</v>
      </c>
      <c r="L142" s="36" t="s">
        <v>300</v>
      </c>
      <c r="M142" s="45">
        <v>46105.0</v>
      </c>
      <c r="N142" s="36"/>
    </row>
    <row r="143" ht="15.75" hidden="1" customHeight="1">
      <c r="B143" s="36" t="s">
        <v>35</v>
      </c>
      <c r="C143" s="36" t="s">
        <v>35</v>
      </c>
      <c r="D143" s="36">
        <v>60.0</v>
      </c>
      <c r="E143" s="38">
        <v>7.9</v>
      </c>
      <c r="F143" s="38">
        <f t="shared" si="1"/>
        <v>474</v>
      </c>
      <c r="G143" s="36" t="s">
        <v>5018</v>
      </c>
      <c r="H143" s="36" t="s">
        <v>5019</v>
      </c>
      <c r="I143" s="36" t="s">
        <v>96</v>
      </c>
      <c r="J143" s="36" t="s">
        <v>35</v>
      </c>
      <c r="K143" s="36" t="s">
        <v>35</v>
      </c>
      <c r="L143" s="36" t="s">
        <v>32</v>
      </c>
      <c r="M143" s="45">
        <v>46105.0</v>
      </c>
      <c r="N143" s="36"/>
    </row>
    <row r="144" ht="15.75" hidden="1" customHeight="1">
      <c r="B144" s="36" t="s">
        <v>35</v>
      </c>
      <c r="C144" s="36" t="s">
        <v>35</v>
      </c>
      <c r="D144" s="36">
        <v>200.0</v>
      </c>
      <c r="E144" s="38">
        <v>9.0</v>
      </c>
      <c r="F144" s="38">
        <f t="shared" si="1"/>
        <v>1800</v>
      </c>
      <c r="G144" s="36" t="s">
        <v>5020</v>
      </c>
      <c r="H144" s="36" t="s">
        <v>5021</v>
      </c>
      <c r="I144" s="36" t="s">
        <v>62</v>
      </c>
      <c r="J144" s="36" t="s">
        <v>35</v>
      </c>
      <c r="K144" s="36" t="s">
        <v>35</v>
      </c>
      <c r="L144" s="36" t="s">
        <v>41</v>
      </c>
      <c r="M144" s="45">
        <v>46105.0</v>
      </c>
      <c r="N144" s="36"/>
    </row>
    <row r="145" ht="15.75" hidden="1" customHeight="1">
      <c r="B145" s="36" t="s">
        <v>35</v>
      </c>
      <c r="C145" s="36" t="s">
        <v>35</v>
      </c>
      <c r="D145" s="36">
        <v>12.0</v>
      </c>
      <c r="E145" s="38">
        <v>60.0</v>
      </c>
      <c r="F145" s="38">
        <f t="shared" si="1"/>
        <v>720</v>
      </c>
      <c r="G145" s="36" t="s">
        <v>5022</v>
      </c>
      <c r="H145" s="36" t="s">
        <v>5023</v>
      </c>
      <c r="I145" s="36" t="s">
        <v>46</v>
      </c>
      <c r="J145" s="36" t="s">
        <v>35</v>
      </c>
      <c r="K145" s="36" t="s">
        <v>35</v>
      </c>
      <c r="L145" s="36" t="s">
        <v>41</v>
      </c>
      <c r="M145" s="45">
        <v>46105.0</v>
      </c>
      <c r="N145" s="36"/>
    </row>
    <row r="146" ht="15.75" hidden="1" customHeight="1">
      <c r="B146" s="36" t="s">
        <v>35</v>
      </c>
      <c r="C146" s="36" t="s">
        <v>35</v>
      </c>
      <c r="D146" s="36">
        <v>100.0</v>
      </c>
      <c r="E146" s="38">
        <v>31.0</v>
      </c>
      <c r="F146" s="38">
        <f t="shared" si="1"/>
        <v>3100</v>
      </c>
      <c r="G146" s="36" t="s">
        <v>5024</v>
      </c>
      <c r="H146" s="36" t="s">
        <v>735</v>
      </c>
      <c r="I146" s="36" t="s">
        <v>698</v>
      </c>
      <c r="J146" s="36" t="s">
        <v>35</v>
      </c>
      <c r="K146" s="36" t="s">
        <v>35</v>
      </c>
      <c r="L146" s="36" t="s">
        <v>41</v>
      </c>
      <c r="M146" s="45">
        <v>46105.0</v>
      </c>
      <c r="N146" s="36"/>
    </row>
    <row r="147" ht="15.75" hidden="1" customHeight="1">
      <c r="B147" s="36" t="s">
        <v>35</v>
      </c>
      <c r="C147" s="36" t="s">
        <v>35</v>
      </c>
      <c r="D147" s="36">
        <v>80.0</v>
      </c>
      <c r="E147" s="38">
        <v>46.0</v>
      </c>
      <c r="F147" s="38">
        <f t="shared" si="1"/>
        <v>3680</v>
      </c>
      <c r="G147" s="36" t="s">
        <v>4864</v>
      </c>
      <c r="H147" s="36" t="s">
        <v>4865</v>
      </c>
      <c r="I147" s="36" t="s">
        <v>151</v>
      </c>
      <c r="J147" s="36" t="s">
        <v>35</v>
      </c>
      <c r="K147" s="36" t="s">
        <v>35</v>
      </c>
      <c r="L147" s="36" t="s">
        <v>240</v>
      </c>
      <c r="M147" s="45">
        <v>46121.0</v>
      </c>
      <c r="N147" s="36"/>
    </row>
    <row r="148" ht="15.75" hidden="1" customHeight="1">
      <c r="B148" s="36" t="s">
        <v>35</v>
      </c>
      <c r="C148" s="36" t="s">
        <v>35</v>
      </c>
      <c r="D148" s="36">
        <v>100.0</v>
      </c>
      <c r="E148" s="38">
        <v>48.0</v>
      </c>
      <c r="F148" s="38">
        <f t="shared" si="1"/>
        <v>4800</v>
      </c>
      <c r="G148" s="36" t="s">
        <v>4864</v>
      </c>
      <c r="H148" s="36" t="s">
        <v>5025</v>
      </c>
      <c r="I148" s="36" t="s">
        <v>151</v>
      </c>
      <c r="J148" s="36" t="s">
        <v>35</v>
      </c>
      <c r="K148" s="36" t="s">
        <v>35</v>
      </c>
      <c r="L148" s="36" t="s">
        <v>240</v>
      </c>
      <c r="M148" s="45">
        <v>46121.0</v>
      </c>
      <c r="N148" s="36"/>
    </row>
    <row r="149" ht="15.75" hidden="1" customHeight="1">
      <c r="B149" s="36" t="s">
        <v>35</v>
      </c>
      <c r="C149" s="36" t="s">
        <v>35</v>
      </c>
      <c r="D149" s="36">
        <v>24.0</v>
      </c>
      <c r="E149" s="38">
        <v>32.0</v>
      </c>
      <c r="F149" s="38">
        <f t="shared" si="1"/>
        <v>768</v>
      </c>
      <c r="G149" s="36" t="s">
        <v>5026</v>
      </c>
      <c r="H149" s="36" t="s">
        <v>5027</v>
      </c>
      <c r="I149" s="36" t="s">
        <v>241</v>
      </c>
      <c r="J149" s="36" t="s">
        <v>35</v>
      </c>
      <c r="K149" s="36" t="s">
        <v>35</v>
      </c>
      <c r="L149" s="36" t="s">
        <v>240</v>
      </c>
      <c r="M149" s="45">
        <v>46121.0</v>
      </c>
      <c r="N149" s="36"/>
    </row>
    <row r="150" ht="15.75" hidden="1" customHeight="1">
      <c r="B150" s="36" t="s">
        <v>35</v>
      </c>
      <c r="C150" s="36" t="s">
        <v>35</v>
      </c>
      <c r="D150" s="36">
        <v>12.0</v>
      </c>
      <c r="E150" s="38">
        <v>42.0</v>
      </c>
      <c r="F150" s="38">
        <f t="shared" si="1"/>
        <v>504</v>
      </c>
      <c r="G150" s="36" t="s">
        <v>5028</v>
      </c>
      <c r="H150" s="36" t="s">
        <v>5029</v>
      </c>
      <c r="I150" s="36" t="s">
        <v>241</v>
      </c>
      <c r="J150" s="36" t="s">
        <v>35</v>
      </c>
      <c r="K150" s="36" t="s">
        <v>35</v>
      </c>
      <c r="L150" s="36" t="s">
        <v>240</v>
      </c>
      <c r="M150" s="45">
        <v>46121.0</v>
      </c>
      <c r="N150" s="36"/>
    </row>
    <row r="151" ht="15.75" hidden="1" customHeight="1">
      <c r="B151" s="36" t="s">
        <v>35</v>
      </c>
      <c r="C151" s="36" t="s">
        <v>35</v>
      </c>
      <c r="D151" s="36">
        <v>12.0</v>
      </c>
      <c r="E151" s="38">
        <v>40.0</v>
      </c>
      <c r="F151" s="38">
        <f t="shared" si="1"/>
        <v>480</v>
      </c>
      <c r="G151" s="36" t="s">
        <v>5028</v>
      </c>
      <c r="H151" s="36" t="s">
        <v>2028</v>
      </c>
      <c r="I151" s="36" t="s">
        <v>241</v>
      </c>
      <c r="J151" s="36" t="s">
        <v>35</v>
      </c>
      <c r="K151" s="36" t="s">
        <v>35</v>
      </c>
      <c r="L151" s="36" t="s">
        <v>240</v>
      </c>
      <c r="M151" s="45">
        <v>46121.0</v>
      </c>
      <c r="N151" s="36"/>
    </row>
    <row r="152" ht="15.75" hidden="1" customHeight="1">
      <c r="B152" s="36" t="s">
        <v>35</v>
      </c>
      <c r="C152" s="36" t="s">
        <v>35</v>
      </c>
      <c r="D152" s="36">
        <v>4.0</v>
      </c>
      <c r="E152" s="38">
        <v>887.0</v>
      </c>
      <c r="F152" s="38">
        <f t="shared" si="1"/>
        <v>3548</v>
      </c>
      <c r="G152" s="36" t="s">
        <v>4864</v>
      </c>
      <c r="H152" s="36" t="s">
        <v>5030</v>
      </c>
      <c r="I152" s="36" t="s">
        <v>151</v>
      </c>
      <c r="J152" s="36" t="s">
        <v>35</v>
      </c>
      <c r="K152" s="36" t="s">
        <v>35</v>
      </c>
      <c r="L152" s="36" t="s">
        <v>240</v>
      </c>
      <c r="M152" s="45">
        <v>46121.0</v>
      </c>
      <c r="N152" s="36"/>
    </row>
    <row r="153" ht="15.75" hidden="1" customHeight="1">
      <c r="B153" s="36" t="s">
        <v>35</v>
      </c>
      <c r="C153" s="36" t="s">
        <v>35</v>
      </c>
      <c r="D153" s="36">
        <v>100.0</v>
      </c>
      <c r="E153" s="38">
        <v>25.0</v>
      </c>
      <c r="F153" s="38">
        <f t="shared" si="1"/>
        <v>2500</v>
      </c>
      <c r="G153" s="36" t="s">
        <v>5031</v>
      </c>
      <c r="H153" s="36" t="s">
        <v>5032</v>
      </c>
      <c r="I153" s="36" t="s">
        <v>241</v>
      </c>
      <c r="J153" s="36" t="s">
        <v>35</v>
      </c>
      <c r="K153" s="36" t="s">
        <v>35</v>
      </c>
      <c r="L153" s="36" t="s">
        <v>240</v>
      </c>
      <c r="M153" s="45">
        <v>46121.0</v>
      </c>
      <c r="N153" s="36"/>
    </row>
    <row r="154" ht="15.75" hidden="1" customHeight="1">
      <c r="B154" s="36" t="s">
        <v>35</v>
      </c>
      <c r="C154" s="36" t="s">
        <v>35</v>
      </c>
      <c r="D154" s="36">
        <v>20.0</v>
      </c>
      <c r="E154" s="38">
        <v>80.0</v>
      </c>
      <c r="F154" s="38">
        <f t="shared" si="1"/>
        <v>1600</v>
      </c>
      <c r="G154" s="36" t="s">
        <v>5033</v>
      </c>
      <c r="H154" s="36" t="s">
        <v>5034</v>
      </c>
      <c r="I154" s="36" t="s">
        <v>46</v>
      </c>
      <c r="J154" s="36" t="s">
        <v>35</v>
      </c>
      <c r="K154" s="36" t="s">
        <v>35</v>
      </c>
      <c r="L154" s="36" t="s">
        <v>240</v>
      </c>
      <c r="M154" s="45">
        <v>46121.0</v>
      </c>
      <c r="N154" s="36"/>
    </row>
    <row r="155" ht="15.75" hidden="1" customHeight="1">
      <c r="B155" s="36" t="s">
        <v>35</v>
      </c>
      <c r="C155" s="36" t="s">
        <v>35</v>
      </c>
      <c r="D155" s="36">
        <v>20.0</v>
      </c>
      <c r="E155" s="38">
        <v>80.0</v>
      </c>
      <c r="F155" s="38">
        <f t="shared" si="1"/>
        <v>1600</v>
      </c>
      <c r="G155" s="36" t="s">
        <v>4864</v>
      </c>
      <c r="H155" s="36" t="s">
        <v>5035</v>
      </c>
      <c r="I155" s="36" t="s">
        <v>151</v>
      </c>
      <c r="J155" s="36" t="s">
        <v>35</v>
      </c>
      <c r="K155" s="36" t="s">
        <v>35</v>
      </c>
      <c r="L155" s="36" t="s">
        <v>240</v>
      </c>
      <c r="M155" s="45">
        <v>46121.0</v>
      </c>
      <c r="N155" s="36"/>
    </row>
    <row r="156" ht="15.75" hidden="1" customHeight="1">
      <c r="B156" s="36" t="s">
        <v>35</v>
      </c>
      <c r="C156" s="36" t="s">
        <v>35</v>
      </c>
      <c r="D156" s="36">
        <v>3.0</v>
      </c>
      <c r="E156" s="38">
        <v>2100.0</v>
      </c>
      <c r="F156" s="38">
        <f t="shared" si="1"/>
        <v>6300</v>
      </c>
      <c r="G156" s="36" t="s">
        <v>4915</v>
      </c>
      <c r="H156" s="36" t="s">
        <v>5036</v>
      </c>
      <c r="I156" s="36" t="s">
        <v>279</v>
      </c>
      <c r="J156" s="36" t="s">
        <v>35</v>
      </c>
      <c r="K156" s="36" t="s">
        <v>35</v>
      </c>
      <c r="L156" s="36" t="s">
        <v>240</v>
      </c>
      <c r="M156" s="45">
        <v>46121.0</v>
      </c>
      <c r="N156" s="36"/>
    </row>
    <row r="157" ht="15.75" hidden="1" customHeight="1">
      <c r="B157" s="36" t="s">
        <v>35</v>
      </c>
      <c r="C157" s="36" t="s">
        <v>35</v>
      </c>
      <c r="D157" s="36">
        <v>200.0</v>
      </c>
      <c r="E157" s="38">
        <v>3.2</v>
      </c>
      <c r="F157" s="38">
        <f t="shared" si="1"/>
        <v>640</v>
      </c>
      <c r="G157" s="36" t="s">
        <v>4721</v>
      </c>
      <c r="H157" s="36" t="s">
        <v>5037</v>
      </c>
      <c r="I157" s="36" t="s">
        <v>241</v>
      </c>
      <c r="J157" s="36" t="s">
        <v>35</v>
      </c>
      <c r="K157" s="36" t="s">
        <v>35</v>
      </c>
      <c r="L157" s="36" t="s">
        <v>240</v>
      </c>
      <c r="M157" s="45">
        <v>46121.0</v>
      </c>
      <c r="N157" s="36"/>
    </row>
    <row r="158" ht="15.75" hidden="1" customHeight="1">
      <c r="B158" s="36" t="s">
        <v>35</v>
      </c>
      <c r="C158" s="36" t="s">
        <v>35</v>
      </c>
      <c r="D158" s="36">
        <v>200.0</v>
      </c>
      <c r="E158" s="38">
        <v>3.0</v>
      </c>
      <c r="F158" s="38">
        <f t="shared" si="1"/>
        <v>600</v>
      </c>
      <c r="G158" s="36" t="s">
        <v>4721</v>
      </c>
      <c r="H158" s="144" t="s">
        <v>4722</v>
      </c>
      <c r="I158" s="36" t="s">
        <v>241</v>
      </c>
      <c r="J158" s="36" t="s">
        <v>35</v>
      </c>
      <c r="K158" s="36" t="s">
        <v>35</v>
      </c>
      <c r="L158" s="36" t="s">
        <v>240</v>
      </c>
      <c r="M158" s="45">
        <v>46121.0</v>
      </c>
      <c r="N158" s="36"/>
    </row>
    <row r="159" ht="15.75" hidden="1" customHeight="1">
      <c r="B159" s="36" t="s">
        <v>35</v>
      </c>
      <c r="C159" s="36" t="s">
        <v>35</v>
      </c>
      <c r="D159" s="36">
        <v>50.0</v>
      </c>
      <c r="E159" s="38">
        <v>25.0</v>
      </c>
      <c r="F159" s="38">
        <f t="shared" si="1"/>
        <v>1250</v>
      </c>
      <c r="G159" s="36" t="s">
        <v>5038</v>
      </c>
      <c r="H159" s="36" t="s">
        <v>5039</v>
      </c>
      <c r="I159" s="36" t="s">
        <v>2094</v>
      </c>
      <c r="J159" s="36" t="s">
        <v>35</v>
      </c>
      <c r="K159" s="36" t="s">
        <v>35</v>
      </c>
      <c r="L159" s="36" t="s">
        <v>240</v>
      </c>
      <c r="M159" s="45">
        <v>46121.0</v>
      </c>
      <c r="N159" s="36"/>
    </row>
    <row r="160" ht="15.75" hidden="1" customHeight="1">
      <c r="B160" s="36" t="s">
        <v>35</v>
      </c>
      <c r="C160" s="36" t="s">
        <v>35</v>
      </c>
      <c r="D160" s="36"/>
      <c r="E160" s="38"/>
      <c r="F160" s="38">
        <f t="shared" si="1"/>
        <v>0</v>
      </c>
      <c r="G160" s="36"/>
      <c r="H160" s="36"/>
      <c r="I160" s="36"/>
      <c r="J160" s="36" t="s">
        <v>35</v>
      </c>
      <c r="K160" s="36" t="s">
        <v>35</v>
      </c>
      <c r="L160" s="36"/>
      <c r="M160" s="45"/>
      <c r="N160" s="36"/>
    </row>
    <row r="161" ht="15.75" hidden="1" customHeight="1">
      <c r="B161" s="36" t="s">
        <v>35</v>
      </c>
      <c r="C161" s="36" t="s">
        <v>35</v>
      </c>
      <c r="D161" s="36"/>
      <c r="E161" s="38"/>
      <c r="F161" s="38">
        <f t="shared" si="1"/>
        <v>0</v>
      </c>
      <c r="G161" s="36"/>
      <c r="H161" s="36"/>
      <c r="I161" s="36"/>
      <c r="J161" s="36" t="s">
        <v>35</v>
      </c>
      <c r="K161" s="36" t="s">
        <v>35</v>
      </c>
      <c r="L161" s="36"/>
      <c r="M161" s="45"/>
      <c r="N161" s="36"/>
    </row>
    <row r="162" ht="15.75" hidden="1" customHeight="1">
      <c r="B162" s="36" t="s">
        <v>35</v>
      </c>
      <c r="C162" s="36" t="s">
        <v>35</v>
      </c>
      <c r="D162" s="36"/>
      <c r="E162" s="38"/>
      <c r="F162" s="38">
        <f t="shared" si="1"/>
        <v>0</v>
      </c>
      <c r="G162" s="36"/>
      <c r="H162" s="36"/>
      <c r="I162" s="36"/>
      <c r="J162" s="36" t="s">
        <v>35</v>
      </c>
      <c r="K162" s="36" t="s">
        <v>35</v>
      </c>
      <c r="L162" s="36"/>
      <c r="M162" s="45"/>
      <c r="N162" s="36"/>
    </row>
    <row r="163" ht="15.75" hidden="1" customHeight="1">
      <c r="B163" s="36" t="s">
        <v>35</v>
      </c>
      <c r="C163" s="36" t="s">
        <v>35</v>
      </c>
      <c r="D163" s="36"/>
      <c r="E163" s="38"/>
      <c r="F163" s="38">
        <f t="shared" si="1"/>
        <v>0</v>
      </c>
      <c r="G163" s="36"/>
      <c r="H163" s="36"/>
      <c r="I163" s="36"/>
      <c r="J163" s="36" t="s">
        <v>35</v>
      </c>
      <c r="K163" s="36" t="s">
        <v>35</v>
      </c>
      <c r="L163" s="36"/>
      <c r="M163" s="45"/>
      <c r="N163" s="36"/>
    </row>
    <row r="164" ht="15.75" hidden="1" customHeight="1">
      <c r="B164" s="36" t="s">
        <v>35</v>
      </c>
      <c r="C164" s="36" t="s">
        <v>35</v>
      </c>
      <c r="D164" s="36"/>
      <c r="E164" s="38"/>
      <c r="F164" s="38">
        <f t="shared" si="1"/>
        <v>0</v>
      </c>
      <c r="G164" s="36"/>
      <c r="H164" s="36"/>
      <c r="I164" s="36"/>
      <c r="J164" s="36" t="s">
        <v>35</v>
      </c>
      <c r="K164" s="36" t="s">
        <v>35</v>
      </c>
      <c r="L164" s="36"/>
      <c r="M164" s="45"/>
      <c r="N164" s="36"/>
    </row>
    <row r="165" ht="15.75" hidden="1" customHeight="1">
      <c r="B165" s="36" t="s">
        <v>35</v>
      </c>
      <c r="C165" s="36" t="s">
        <v>35</v>
      </c>
      <c r="D165" s="36"/>
      <c r="E165" s="38"/>
      <c r="F165" s="38">
        <f t="shared" si="1"/>
        <v>0</v>
      </c>
      <c r="G165" s="36"/>
      <c r="H165" s="36"/>
      <c r="I165" s="36"/>
      <c r="J165" s="36" t="s">
        <v>35</v>
      </c>
      <c r="K165" s="36" t="s">
        <v>35</v>
      </c>
      <c r="L165" s="36"/>
      <c r="M165" s="45"/>
      <c r="N165" s="36"/>
    </row>
    <row r="166" ht="15.75" hidden="1" customHeight="1">
      <c r="B166" s="36" t="s">
        <v>35</v>
      </c>
      <c r="C166" s="36" t="s">
        <v>35</v>
      </c>
      <c r="D166" s="36"/>
      <c r="E166" s="38"/>
      <c r="F166" s="38">
        <f t="shared" si="1"/>
        <v>0</v>
      </c>
      <c r="G166" s="36"/>
      <c r="H166" s="36"/>
      <c r="I166" s="36"/>
      <c r="J166" s="36" t="s">
        <v>35</v>
      </c>
      <c r="K166" s="36" t="s">
        <v>35</v>
      </c>
      <c r="L166" s="36"/>
      <c r="M166" s="45"/>
      <c r="N166" s="36"/>
    </row>
    <row r="167" ht="15.75" hidden="1" customHeight="1">
      <c r="B167" s="36" t="s">
        <v>35</v>
      </c>
      <c r="C167" s="36" t="s">
        <v>35</v>
      </c>
      <c r="D167" s="36"/>
      <c r="E167" s="38"/>
      <c r="F167" s="38">
        <f t="shared" si="1"/>
        <v>0</v>
      </c>
      <c r="G167" s="36"/>
      <c r="H167" s="36"/>
      <c r="I167" s="36"/>
      <c r="J167" s="36" t="s">
        <v>35</v>
      </c>
      <c r="K167" s="36" t="s">
        <v>35</v>
      </c>
      <c r="L167" s="36"/>
      <c r="M167" s="45"/>
      <c r="N167" s="36"/>
    </row>
    <row r="168" ht="15.75" hidden="1" customHeight="1">
      <c r="B168" s="36" t="s">
        <v>35</v>
      </c>
      <c r="C168" s="36" t="s">
        <v>35</v>
      </c>
      <c r="D168" s="36"/>
      <c r="E168" s="38"/>
      <c r="F168" s="38">
        <f t="shared" si="1"/>
        <v>0</v>
      </c>
      <c r="G168" s="36"/>
      <c r="H168" s="36"/>
      <c r="I168" s="36"/>
      <c r="J168" s="36" t="s">
        <v>35</v>
      </c>
      <c r="K168" s="36" t="s">
        <v>35</v>
      </c>
      <c r="L168" s="36"/>
      <c r="M168" s="45"/>
      <c r="N168" s="36"/>
    </row>
    <row r="169" ht="15.75" hidden="1" customHeight="1">
      <c r="B169" s="36" t="s">
        <v>35</v>
      </c>
      <c r="C169" s="36" t="s">
        <v>35</v>
      </c>
      <c r="D169" s="36"/>
      <c r="E169" s="38"/>
      <c r="F169" s="38">
        <f t="shared" si="1"/>
        <v>0</v>
      </c>
      <c r="G169" s="36"/>
      <c r="H169" s="36"/>
      <c r="I169" s="36"/>
      <c r="J169" s="36" t="s">
        <v>35</v>
      </c>
      <c r="K169" s="36" t="s">
        <v>35</v>
      </c>
      <c r="L169" s="36"/>
      <c r="M169" s="45"/>
      <c r="N169" s="36"/>
    </row>
    <row r="170" ht="15.75" hidden="1" customHeight="1">
      <c r="B170" s="36" t="s">
        <v>35</v>
      </c>
      <c r="C170" s="36" t="s">
        <v>35</v>
      </c>
      <c r="D170" s="36"/>
      <c r="E170" s="38"/>
      <c r="F170" s="38">
        <f t="shared" si="1"/>
        <v>0</v>
      </c>
      <c r="G170" s="36"/>
      <c r="H170" s="36"/>
      <c r="I170" s="36"/>
      <c r="J170" s="36" t="s">
        <v>35</v>
      </c>
      <c r="K170" s="36" t="s">
        <v>35</v>
      </c>
      <c r="L170" s="36"/>
      <c r="M170" s="45"/>
      <c r="N170" s="36"/>
    </row>
    <row r="171" ht="15.75" hidden="1" customHeight="1">
      <c r="B171" s="36" t="s">
        <v>35</v>
      </c>
      <c r="C171" s="36" t="s">
        <v>35</v>
      </c>
      <c r="D171" s="36"/>
      <c r="E171" s="38"/>
      <c r="F171" s="38">
        <f t="shared" si="1"/>
        <v>0</v>
      </c>
      <c r="G171" s="36"/>
      <c r="H171" s="36"/>
      <c r="I171" s="36"/>
      <c r="J171" s="36" t="s">
        <v>35</v>
      </c>
      <c r="K171" s="36" t="s">
        <v>35</v>
      </c>
      <c r="L171" s="36"/>
      <c r="M171" s="45"/>
      <c r="N171" s="36"/>
    </row>
    <row r="172" ht="15.75" hidden="1" customHeight="1">
      <c r="B172" s="36" t="s">
        <v>35</v>
      </c>
      <c r="C172" s="36" t="s">
        <v>35</v>
      </c>
      <c r="D172" s="36"/>
      <c r="E172" s="38"/>
      <c r="F172" s="38">
        <f t="shared" si="1"/>
        <v>0</v>
      </c>
      <c r="G172" s="36"/>
      <c r="H172" s="36"/>
      <c r="I172" s="36"/>
      <c r="J172" s="36" t="s">
        <v>35</v>
      </c>
      <c r="K172" s="36" t="s">
        <v>35</v>
      </c>
      <c r="L172" s="36"/>
      <c r="M172" s="45"/>
      <c r="N172" s="36"/>
    </row>
    <row r="173" ht="15.75" hidden="1" customHeight="1">
      <c r="B173" s="36" t="s">
        <v>35</v>
      </c>
      <c r="C173" s="36" t="s">
        <v>35</v>
      </c>
      <c r="D173" s="36"/>
      <c r="E173" s="38"/>
      <c r="F173" s="38">
        <f t="shared" si="1"/>
        <v>0</v>
      </c>
      <c r="G173" s="36"/>
      <c r="H173" s="36"/>
      <c r="I173" s="36"/>
      <c r="J173" s="36" t="s">
        <v>35</v>
      </c>
      <c r="K173" s="36" t="s">
        <v>35</v>
      </c>
      <c r="L173" s="36"/>
      <c r="M173" s="45"/>
      <c r="N173" s="36"/>
    </row>
    <row r="174" ht="15.75" hidden="1" customHeight="1">
      <c r="B174" s="36" t="s">
        <v>35</v>
      </c>
      <c r="C174" s="36" t="s">
        <v>35</v>
      </c>
      <c r="D174" s="36"/>
      <c r="E174" s="38"/>
      <c r="F174" s="38">
        <f t="shared" si="1"/>
        <v>0</v>
      </c>
      <c r="G174" s="36"/>
      <c r="H174" s="36"/>
      <c r="I174" s="36"/>
      <c r="J174" s="36" t="s">
        <v>35</v>
      </c>
      <c r="K174" s="36" t="s">
        <v>35</v>
      </c>
      <c r="L174" s="36"/>
      <c r="M174" s="45"/>
      <c r="N174" s="36"/>
    </row>
    <row r="175" ht="15.75" hidden="1" customHeight="1">
      <c r="B175" s="36" t="s">
        <v>35</v>
      </c>
      <c r="C175" s="36" t="s">
        <v>35</v>
      </c>
      <c r="D175" s="36"/>
      <c r="E175" s="38"/>
      <c r="F175" s="38">
        <f t="shared" si="1"/>
        <v>0</v>
      </c>
      <c r="G175" s="36"/>
      <c r="H175" s="36"/>
      <c r="I175" s="36"/>
      <c r="J175" s="36" t="s">
        <v>35</v>
      </c>
      <c r="K175" s="36" t="s">
        <v>35</v>
      </c>
      <c r="L175" s="36"/>
      <c r="M175" s="45"/>
      <c r="N175" s="36"/>
    </row>
    <row r="176" ht="15.75" hidden="1" customHeight="1">
      <c r="B176" s="36" t="s">
        <v>35</v>
      </c>
      <c r="C176" s="36" t="s">
        <v>35</v>
      </c>
      <c r="D176" s="36"/>
      <c r="E176" s="38"/>
      <c r="F176" s="38">
        <f t="shared" si="1"/>
        <v>0</v>
      </c>
      <c r="G176" s="36"/>
      <c r="H176" s="36"/>
      <c r="I176" s="36"/>
      <c r="J176" s="36" t="s">
        <v>35</v>
      </c>
      <c r="K176" s="36" t="s">
        <v>35</v>
      </c>
      <c r="L176" s="36"/>
      <c r="M176" s="45"/>
      <c r="N176" s="36"/>
    </row>
    <row r="177" ht="15.75" hidden="1" customHeight="1">
      <c r="B177" s="36" t="s">
        <v>35</v>
      </c>
      <c r="C177" s="36" t="s">
        <v>35</v>
      </c>
      <c r="D177" s="36"/>
      <c r="E177" s="38"/>
      <c r="F177" s="38">
        <f t="shared" si="1"/>
        <v>0</v>
      </c>
      <c r="G177" s="36"/>
      <c r="H177" s="36"/>
      <c r="I177" s="36"/>
      <c r="J177" s="36" t="s">
        <v>35</v>
      </c>
      <c r="K177" s="36" t="s">
        <v>35</v>
      </c>
      <c r="L177" s="36"/>
      <c r="M177" s="45"/>
      <c r="N177" s="36"/>
    </row>
    <row r="178" ht="15.75" hidden="1" customHeight="1">
      <c r="B178" s="36" t="s">
        <v>35</v>
      </c>
      <c r="C178" s="36" t="s">
        <v>35</v>
      </c>
      <c r="D178" s="36"/>
      <c r="E178" s="38"/>
      <c r="F178" s="38">
        <f t="shared" si="1"/>
        <v>0</v>
      </c>
      <c r="G178" s="36"/>
      <c r="H178" s="36"/>
      <c r="I178" s="36"/>
      <c r="J178" s="36" t="s">
        <v>35</v>
      </c>
      <c r="K178" s="36" t="s">
        <v>35</v>
      </c>
      <c r="L178" s="36"/>
      <c r="M178" s="45"/>
      <c r="N178" s="36"/>
    </row>
    <row r="179" ht="15.75" hidden="1" customHeight="1">
      <c r="B179" s="36" t="s">
        <v>35</v>
      </c>
      <c r="C179" s="36" t="s">
        <v>35</v>
      </c>
      <c r="D179" s="36"/>
      <c r="E179" s="38"/>
      <c r="F179" s="38">
        <f t="shared" si="1"/>
        <v>0</v>
      </c>
      <c r="G179" s="36"/>
      <c r="H179" s="36"/>
      <c r="I179" s="36"/>
      <c r="J179" s="36" t="s">
        <v>35</v>
      </c>
      <c r="K179" s="36" t="s">
        <v>35</v>
      </c>
      <c r="L179" s="36"/>
      <c r="M179" s="45"/>
      <c r="N179" s="36"/>
    </row>
    <row r="180" ht="15.75" hidden="1" customHeight="1">
      <c r="B180" s="36" t="s">
        <v>35</v>
      </c>
      <c r="C180" s="36" t="s">
        <v>35</v>
      </c>
      <c r="D180" s="36"/>
      <c r="E180" s="38"/>
      <c r="F180" s="38">
        <f t="shared" si="1"/>
        <v>0</v>
      </c>
      <c r="G180" s="36"/>
      <c r="H180" s="36"/>
      <c r="I180" s="36"/>
      <c r="J180" s="36" t="s">
        <v>35</v>
      </c>
      <c r="K180" s="36" t="s">
        <v>35</v>
      </c>
      <c r="L180" s="36"/>
      <c r="M180" s="45"/>
      <c r="N180" s="36"/>
    </row>
    <row r="181" ht="15.75" hidden="1" customHeight="1">
      <c r="B181" s="36" t="s">
        <v>35</v>
      </c>
      <c r="C181" s="36" t="s">
        <v>35</v>
      </c>
      <c r="D181" s="36"/>
      <c r="E181" s="38"/>
      <c r="F181" s="38">
        <f t="shared" si="1"/>
        <v>0</v>
      </c>
      <c r="G181" s="36"/>
      <c r="H181" s="36"/>
      <c r="I181" s="36"/>
      <c r="J181" s="36" t="s">
        <v>35</v>
      </c>
      <c r="K181" s="36" t="s">
        <v>35</v>
      </c>
      <c r="L181" s="36"/>
      <c r="M181" s="45"/>
      <c r="N181" s="36"/>
    </row>
    <row r="182" ht="15.75" hidden="1" customHeight="1">
      <c r="B182" s="36" t="s">
        <v>35</v>
      </c>
      <c r="C182" s="36" t="s">
        <v>35</v>
      </c>
      <c r="D182" s="36"/>
      <c r="E182" s="38"/>
      <c r="F182" s="38">
        <f t="shared" si="1"/>
        <v>0</v>
      </c>
      <c r="G182" s="36"/>
      <c r="H182" s="36"/>
      <c r="I182" s="36"/>
      <c r="J182" s="36" t="s">
        <v>35</v>
      </c>
      <c r="K182" s="36" t="s">
        <v>35</v>
      </c>
      <c r="L182" s="36"/>
      <c r="M182" s="45"/>
      <c r="N182" s="36"/>
    </row>
    <row r="183" ht="15.75" hidden="1" customHeight="1">
      <c r="B183" s="36" t="s">
        <v>35</v>
      </c>
      <c r="C183" s="36" t="s">
        <v>35</v>
      </c>
      <c r="D183" s="36"/>
      <c r="E183" s="38"/>
      <c r="F183" s="38">
        <f t="shared" si="1"/>
        <v>0</v>
      </c>
      <c r="G183" s="36"/>
      <c r="H183" s="36"/>
      <c r="I183" s="36"/>
      <c r="J183" s="36" t="s">
        <v>35</v>
      </c>
      <c r="K183" s="36" t="s">
        <v>35</v>
      </c>
      <c r="L183" s="36"/>
      <c r="M183" s="45"/>
      <c r="N183" s="36"/>
    </row>
    <row r="184" ht="15.75" hidden="1" customHeight="1">
      <c r="B184" s="36" t="s">
        <v>35</v>
      </c>
      <c r="C184" s="36" t="s">
        <v>35</v>
      </c>
      <c r="D184" s="36"/>
      <c r="E184" s="38"/>
      <c r="F184" s="38">
        <f t="shared" si="1"/>
        <v>0</v>
      </c>
      <c r="G184" s="36"/>
      <c r="H184" s="36"/>
      <c r="I184" s="36"/>
      <c r="J184" s="36" t="s">
        <v>35</v>
      </c>
      <c r="K184" s="36" t="s">
        <v>35</v>
      </c>
      <c r="L184" s="36"/>
      <c r="M184" s="45"/>
      <c r="N184" s="36"/>
    </row>
    <row r="185" ht="15.75" hidden="1" customHeight="1">
      <c r="B185" s="36" t="s">
        <v>35</v>
      </c>
      <c r="C185" s="36" t="s">
        <v>35</v>
      </c>
      <c r="D185" s="36"/>
      <c r="E185" s="38"/>
      <c r="F185" s="38">
        <f t="shared" si="1"/>
        <v>0</v>
      </c>
      <c r="G185" s="36"/>
      <c r="H185" s="36"/>
      <c r="I185" s="36"/>
      <c r="J185" s="36" t="s">
        <v>35</v>
      </c>
      <c r="K185" s="36" t="s">
        <v>35</v>
      </c>
      <c r="L185" s="36"/>
      <c r="M185" s="45"/>
      <c r="N185" s="36"/>
    </row>
    <row r="186" ht="15.75" hidden="1" customHeight="1">
      <c r="B186" s="36" t="s">
        <v>35</v>
      </c>
      <c r="C186" s="36" t="s">
        <v>35</v>
      </c>
      <c r="D186" s="36"/>
      <c r="E186" s="38"/>
      <c r="F186" s="38">
        <f t="shared" si="1"/>
        <v>0</v>
      </c>
      <c r="G186" s="36"/>
      <c r="H186" s="36"/>
      <c r="I186" s="36"/>
      <c r="J186" s="36" t="s">
        <v>35</v>
      </c>
      <c r="K186" s="36" t="s">
        <v>35</v>
      </c>
      <c r="L186" s="36"/>
      <c r="M186" s="45"/>
      <c r="N186" s="36"/>
    </row>
    <row r="187" ht="15.75" hidden="1" customHeight="1">
      <c r="B187" s="36" t="s">
        <v>35</v>
      </c>
      <c r="C187" s="36" t="s">
        <v>35</v>
      </c>
      <c r="D187" s="36"/>
      <c r="E187" s="38"/>
      <c r="F187" s="38">
        <f t="shared" si="1"/>
        <v>0</v>
      </c>
      <c r="G187" s="36"/>
      <c r="H187" s="36"/>
      <c r="I187" s="36"/>
      <c r="J187" s="36" t="s">
        <v>35</v>
      </c>
      <c r="K187" s="36" t="s">
        <v>35</v>
      </c>
      <c r="L187" s="36"/>
      <c r="M187" s="45"/>
      <c r="N187" s="36"/>
    </row>
    <row r="188" ht="15.75" hidden="1" customHeight="1">
      <c r="B188" s="36" t="s">
        <v>35</v>
      </c>
      <c r="C188" s="36" t="s">
        <v>35</v>
      </c>
      <c r="D188" s="36"/>
      <c r="E188" s="38"/>
      <c r="F188" s="38">
        <f t="shared" si="1"/>
        <v>0</v>
      </c>
      <c r="G188" s="36"/>
      <c r="H188" s="36"/>
      <c r="I188" s="36"/>
      <c r="J188" s="36" t="s">
        <v>35</v>
      </c>
      <c r="K188" s="36" t="s">
        <v>35</v>
      </c>
      <c r="L188" s="36"/>
      <c r="M188" s="45"/>
      <c r="N188" s="36"/>
    </row>
    <row r="189" ht="15.75" hidden="1" customHeight="1">
      <c r="B189" s="36" t="s">
        <v>35</v>
      </c>
      <c r="C189" s="36" t="s">
        <v>35</v>
      </c>
      <c r="D189" s="36"/>
      <c r="E189" s="38"/>
      <c r="F189" s="38">
        <f t="shared" si="1"/>
        <v>0</v>
      </c>
      <c r="G189" s="36"/>
      <c r="H189" s="36"/>
      <c r="I189" s="36"/>
      <c r="J189" s="36" t="s">
        <v>35</v>
      </c>
      <c r="K189" s="36" t="s">
        <v>35</v>
      </c>
      <c r="L189" s="36"/>
      <c r="M189" s="45"/>
      <c r="N189" s="36"/>
    </row>
    <row r="190" ht="15.75" hidden="1" customHeight="1">
      <c r="B190" s="36" t="s">
        <v>35</v>
      </c>
      <c r="C190" s="36" t="s">
        <v>35</v>
      </c>
      <c r="D190" s="36"/>
      <c r="E190" s="38"/>
      <c r="F190" s="38">
        <f t="shared" si="1"/>
        <v>0</v>
      </c>
      <c r="G190" s="36"/>
      <c r="H190" s="36"/>
      <c r="I190" s="36"/>
      <c r="J190" s="36" t="s">
        <v>35</v>
      </c>
      <c r="K190" s="36" t="s">
        <v>35</v>
      </c>
      <c r="L190" s="36"/>
      <c r="M190" s="45"/>
      <c r="N190" s="36"/>
    </row>
    <row r="191" ht="15.75" hidden="1" customHeight="1">
      <c r="B191" s="36" t="s">
        <v>35</v>
      </c>
      <c r="C191" s="36" t="s">
        <v>35</v>
      </c>
      <c r="D191" s="36"/>
      <c r="E191" s="38"/>
      <c r="F191" s="38">
        <f t="shared" si="1"/>
        <v>0</v>
      </c>
      <c r="G191" s="36"/>
      <c r="H191" s="36"/>
      <c r="I191" s="36"/>
      <c r="J191" s="36" t="s">
        <v>35</v>
      </c>
      <c r="K191" s="36" t="s">
        <v>35</v>
      </c>
      <c r="L191" s="36"/>
      <c r="M191" s="45"/>
      <c r="N191" s="36"/>
    </row>
    <row r="192" ht="15.75" hidden="1" customHeight="1">
      <c r="B192" s="36" t="s">
        <v>35</v>
      </c>
      <c r="C192" s="36" t="s">
        <v>35</v>
      </c>
      <c r="D192" s="36"/>
      <c r="E192" s="38"/>
      <c r="F192" s="38">
        <f t="shared" si="1"/>
        <v>0</v>
      </c>
      <c r="G192" s="36"/>
      <c r="H192" s="36"/>
      <c r="I192" s="36"/>
      <c r="J192" s="36" t="s">
        <v>35</v>
      </c>
      <c r="K192" s="36" t="s">
        <v>35</v>
      </c>
      <c r="L192" s="36"/>
      <c r="M192" s="45"/>
      <c r="N192" s="36"/>
    </row>
    <row r="193" ht="15.75" hidden="1" customHeight="1">
      <c r="B193" s="36" t="s">
        <v>35</v>
      </c>
      <c r="C193" s="36" t="s">
        <v>35</v>
      </c>
      <c r="D193" s="36"/>
      <c r="E193" s="38"/>
      <c r="F193" s="38">
        <f t="shared" si="1"/>
        <v>0</v>
      </c>
      <c r="G193" s="36"/>
      <c r="H193" s="36"/>
      <c r="I193" s="36"/>
      <c r="J193" s="36" t="s">
        <v>35</v>
      </c>
      <c r="K193" s="36" t="s">
        <v>35</v>
      </c>
      <c r="L193" s="36"/>
      <c r="M193" s="45"/>
      <c r="N193" s="36"/>
    </row>
    <row r="194" ht="15.75" hidden="1" customHeight="1">
      <c r="B194" s="36" t="s">
        <v>35</v>
      </c>
      <c r="C194" s="36" t="s">
        <v>35</v>
      </c>
      <c r="D194" s="36"/>
      <c r="E194" s="38"/>
      <c r="F194" s="38">
        <f t="shared" si="1"/>
        <v>0</v>
      </c>
      <c r="G194" s="36"/>
      <c r="H194" s="36"/>
      <c r="I194" s="36"/>
      <c r="J194" s="36" t="s">
        <v>35</v>
      </c>
      <c r="K194" s="36" t="s">
        <v>35</v>
      </c>
      <c r="L194" s="36"/>
      <c r="M194" s="45"/>
      <c r="N194" s="36"/>
    </row>
    <row r="195" ht="15.75" hidden="1" customHeight="1">
      <c r="B195" s="36" t="s">
        <v>35</v>
      </c>
      <c r="C195" s="36" t="s">
        <v>35</v>
      </c>
      <c r="D195" s="36"/>
      <c r="E195" s="38"/>
      <c r="F195" s="38">
        <f t="shared" si="1"/>
        <v>0</v>
      </c>
      <c r="G195" s="36"/>
      <c r="H195" s="36"/>
      <c r="I195" s="36"/>
      <c r="J195" s="36" t="s">
        <v>35</v>
      </c>
      <c r="K195" s="36" t="s">
        <v>35</v>
      </c>
      <c r="L195" s="36"/>
      <c r="M195" s="45"/>
      <c r="N195" s="36"/>
    </row>
    <row r="196" ht="15.75" hidden="1" customHeight="1">
      <c r="B196" s="36" t="s">
        <v>35</v>
      </c>
      <c r="C196" s="36" t="s">
        <v>35</v>
      </c>
      <c r="D196" s="36"/>
      <c r="E196" s="38"/>
      <c r="F196" s="38">
        <f t="shared" si="1"/>
        <v>0</v>
      </c>
      <c r="G196" s="36"/>
      <c r="H196" s="36"/>
      <c r="I196" s="36"/>
      <c r="J196" s="36" t="s">
        <v>35</v>
      </c>
      <c r="K196" s="36" t="s">
        <v>35</v>
      </c>
      <c r="L196" s="36"/>
      <c r="M196" s="45"/>
      <c r="N196" s="36"/>
    </row>
    <row r="197" ht="15.75" hidden="1" customHeight="1">
      <c r="B197" s="36" t="s">
        <v>35</v>
      </c>
      <c r="C197" s="36" t="s">
        <v>35</v>
      </c>
      <c r="D197" s="36"/>
      <c r="E197" s="38"/>
      <c r="F197" s="38">
        <f t="shared" si="1"/>
        <v>0</v>
      </c>
      <c r="G197" s="36"/>
      <c r="H197" s="36"/>
      <c r="I197" s="36"/>
      <c r="J197" s="36" t="s">
        <v>35</v>
      </c>
      <c r="K197" s="36" t="s">
        <v>35</v>
      </c>
      <c r="L197" s="36"/>
      <c r="M197" s="45"/>
      <c r="N197" s="36"/>
    </row>
    <row r="198" ht="15.75" hidden="1" customHeight="1">
      <c r="B198" s="36" t="s">
        <v>35</v>
      </c>
      <c r="C198" s="36" t="s">
        <v>35</v>
      </c>
      <c r="D198" s="36"/>
      <c r="E198" s="38"/>
      <c r="F198" s="38">
        <f t="shared" si="1"/>
        <v>0</v>
      </c>
      <c r="G198" s="36"/>
      <c r="H198" s="36"/>
      <c r="I198" s="36"/>
      <c r="J198" s="36" t="s">
        <v>35</v>
      </c>
      <c r="K198" s="36" t="s">
        <v>35</v>
      </c>
      <c r="L198" s="36"/>
      <c r="M198" s="45"/>
      <c r="N198" s="36"/>
    </row>
    <row r="199" ht="15.75" hidden="1" customHeight="1">
      <c r="B199" s="36" t="s">
        <v>35</v>
      </c>
      <c r="C199" s="36" t="s">
        <v>35</v>
      </c>
      <c r="D199" s="36"/>
      <c r="E199" s="38"/>
      <c r="F199" s="38">
        <f t="shared" si="1"/>
        <v>0</v>
      </c>
      <c r="G199" s="36"/>
      <c r="H199" s="36"/>
      <c r="I199" s="36"/>
      <c r="J199" s="36" t="s">
        <v>35</v>
      </c>
      <c r="K199" s="36" t="s">
        <v>35</v>
      </c>
      <c r="L199" s="36"/>
      <c r="M199" s="45"/>
      <c r="N199" s="36"/>
    </row>
    <row r="200" ht="15.75" hidden="1" customHeight="1">
      <c r="B200" s="36" t="s">
        <v>35</v>
      </c>
      <c r="C200" s="36" t="s">
        <v>35</v>
      </c>
      <c r="D200" s="36"/>
      <c r="E200" s="38"/>
      <c r="F200" s="38">
        <f t="shared" si="1"/>
        <v>0</v>
      </c>
      <c r="G200" s="36"/>
      <c r="H200" s="36"/>
      <c r="I200" s="36"/>
      <c r="J200" s="36" t="s">
        <v>35</v>
      </c>
      <c r="K200" s="36" t="s">
        <v>35</v>
      </c>
      <c r="L200" s="36"/>
      <c r="M200" s="45"/>
      <c r="N200" s="36"/>
    </row>
    <row r="201" ht="15.75" hidden="1" customHeight="1">
      <c r="B201" s="36" t="s">
        <v>35</v>
      </c>
      <c r="C201" s="36" t="s">
        <v>35</v>
      </c>
      <c r="D201" s="36"/>
      <c r="E201" s="38"/>
      <c r="F201" s="38">
        <f t="shared" si="1"/>
        <v>0</v>
      </c>
      <c r="G201" s="36"/>
      <c r="H201" s="36"/>
      <c r="I201" s="36"/>
      <c r="J201" s="36" t="s">
        <v>35</v>
      </c>
      <c r="K201" s="36" t="s">
        <v>35</v>
      </c>
      <c r="L201" s="36"/>
      <c r="M201" s="45"/>
      <c r="N201" s="36"/>
    </row>
    <row r="202" ht="15.75" hidden="1" customHeight="1">
      <c r="B202" s="36" t="s">
        <v>35</v>
      </c>
      <c r="C202" s="36" t="s">
        <v>35</v>
      </c>
      <c r="D202" s="36"/>
      <c r="E202" s="38"/>
      <c r="F202" s="38">
        <f t="shared" si="1"/>
        <v>0</v>
      </c>
      <c r="G202" s="36"/>
      <c r="H202" s="36"/>
      <c r="I202" s="36"/>
      <c r="J202" s="36" t="s">
        <v>35</v>
      </c>
      <c r="K202" s="36" t="s">
        <v>35</v>
      </c>
      <c r="L202" s="36"/>
      <c r="M202" s="45"/>
      <c r="N202" s="36"/>
    </row>
    <row r="203" ht="15.75" customHeight="1">
      <c r="B203" s="36" t="s">
        <v>35</v>
      </c>
      <c r="C203" s="36" t="s">
        <v>35</v>
      </c>
      <c r="D203" s="36"/>
      <c r="E203" s="38"/>
      <c r="F203" s="38">
        <f t="shared" si="1"/>
        <v>0</v>
      </c>
      <c r="G203" s="36"/>
      <c r="H203" s="36"/>
      <c r="I203" s="36"/>
      <c r="J203" s="36" t="s">
        <v>35</v>
      </c>
      <c r="K203" s="36" t="s">
        <v>35</v>
      </c>
      <c r="L203" s="36"/>
      <c r="M203" s="45"/>
      <c r="N203" s="36"/>
    </row>
    <row r="204" ht="15.75" customHeight="1">
      <c r="B204" s="36" t="s">
        <v>35</v>
      </c>
      <c r="C204" s="36" t="s">
        <v>35</v>
      </c>
      <c r="D204" s="36"/>
      <c r="E204" s="38"/>
      <c r="F204" s="38">
        <f t="shared" si="1"/>
        <v>0</v>
      </c>
      <c r="G204" s="36"/>
      <c r="H204" s="36"/>
      <c r="I204" s="36"/>
      <c r="J204" s="36" t="s">
        <v>35</v>
      </c>
      <c r="K204" s="36" t="s">
        <v>35</v>
      </c>
      <c r="L204" s="36"/>
      <c r="M204" s="45"/>
      <c r="N204" s="36"/>
    </row>
    <row r="205" ht="15.75" customHeight="1">
      <c r="B205" s="36" t="s">
        <v>35</v>
      </c>
      <c r="C205" s="36" t="s">
        <v>35</v>
      </c>
      <c r="D205" s="36"/>
      <c r="E205" s="38"/>
      <c r="F205" s="38">
        <f t="shared" si="1"/>
        <v>0</v>
      </c>
      <c r="G205" s="36"/>
      <c r="H205" s="36"/>
      <c r="I205" s="36"/>
      <c r="J205" s="36" t="s">
        <v>35</v>
      </c>
      <c r="K205" s="36" t="s">
        <v>35</v>
      </c>
      <c r="L205" s="36"/>
      <c r="M205" s="45"/>
      <c r="N205" s="36"/>
    </row>
    <row r="206" ht="15.75" customHeight="1">
      <c r="B206" s="36" t="s">
        <v>35</v>
      </c>
      <c r="C206" s="36" t="s">
        <v>35</v>
      </c>
      <c r="D206" s="36"/>
      <c r="E206" s="38"/>
      <c r="F206" s="38">
        <f t="shared" si="1"/>
        <v>0</v>
      </c>
      <c r="G206" s="36"/>
      <c r="H206" s="36"/>
      <c r="I206" s="36"/>
      <c r="J206" s="36" t="s">
        <v>35</v>
      </c>
      <c r="K206" s="36" t="s">
        <v>35</v>
      </c>
      <c r="L206" s="36"/>
      <c r="M206" s="45"/>
      <c r="N206" s="36"/>
    </row>
    <row r="207" ht="15.75" customHeight="1">
      <c r="B207" s="36" t="s">
        <v>35</v>
      </c>
      <c r="C207" s="36" t="s">
        <v>35</v>
      </c>
      <c r="D207" s="36"/>
      <c r="E207" s="38"/>
      <c r="F207" s="38">
        <f t="shared" si="1"/>
        <v>0</v>
      </c>
      <c r="G207" s="36"/>
      <c r="H207" s="36"/>
      <c r="I207" s="36"/>
      <c r="J207" s="36" t="s">
        <v>35</v>
      </c>
      <c r="K207" s="36" t="s">
        <v>35</v>
      </c>
      <c r="L207" s="36"/>
      <c r="M207" s="45"/>
      <c r="N207" s="36"/>
    </row>
    <row r="208" ht="15.75" customHeight="1">
      <c r="B208" s="36" t="s">
        <v>35</v>
      </c>
      <c r="C208" s="36" t="s">
        <v>35</v>
      </c>
      <c r="D208" s="36"/>
      <c r="E208" s="38"/>
      <c r="F208" s="38">
        <f t="shared" si="1"/>
        <v>0</v>
      </c>
      <c r="G208" s="36"/>
      <c r="H208" s="36"/>
      <c r="I208" s="36"/>
      <c r="J208" s="36" t="s">
        <v>35</v>
      </c>
      <c r="K208" s="36" t="s">
        <v>35</v>
      </c>
      <c r="L208" s="36"/>
      <c r="M208" s="45"/>
      <c r="N208" s="36"/>
    </row>
    <row r="209" ht="15.75" customHeight="1">
      <c r="E209" s="151"/>
      <c r="F209" s="151"/>
    </row>
    <row r="210" ht="15.75" customHeight="1">
      <c r="E210" s="151"/>
      <c r="F210" s="151"/>
    </row>
    <row r="211" ht="15.75" customHeight="1">
      <c r="E211" s="151"/>
      <c r="F211" s="151"/>
    </row>
    <row r="212" ht="15.75" customHeight="1">
      <c r="E212" s="151"/>
      <c r="F212" s="151"/>
    </row>
    <row r="213" ht="15.75" customHeight="1">
      <c r="E213" s="151"/>
      <c r="F213" s="151"/>
    </row>
    <row r="214" ht="15.75" customHeight="1">
      <c r="E214" s="151"/>
      <c r="F214" s="151"/>
    </row>
    <row r="215" ht="15.75" customHeight="1">
      <c r="E215" s="151"/>
      <c r="F215" s="151"/>
    </row>
    <row r="216" ht="15.75" customHeight="1">
      <c r="E216" s="151"/>
      <c r="F216" s="151"/>
    </row>
    <row r="217" ht="15.75" customHeight="1">
      <c r="E217" s="151"/>
      <c r="F217" s="151"/>
    </row>
    <row r="218" ht="15.75" customHeight="1">
      <c r="E218" s="151"/>
      <c r="F218" s="151"/>
    </row>
    <row r="219" ht="15.75" customHeight="1">
      <c r="E219" s="151"/>
      <c r="F219" s="151"/>
    </row>
    <row r="220" ht="15.75" customHeight="1">
      <c r="E220" s="151"/>
      <c r="F220" s="151"/>
    </row>
    <row r="221" ht="15.75" customHeight="1">
      <c r="E221" s="151"/>
      <c r="F221" s="151"/>
    </row>
    <row r="222" ht="15.75" customHeight="1">
      <c r="E222" s="151"/>
      <c r="F222" s="151"/>
    </row>
    <row r="223" ht="15.75" customHeight="1">
      <c r="E223" s="151"/>
      <c r="F223" s="151"/>
    </row>
    <row r="224" ht="15.75" customHeight="1">
      <c r="E224" s="151"/>
      <c r="F224" s="151"/>
    </row>
    <row r="225" ht="15.75" customHeight="1">
      <c r="E225" s="151"/>
      <c r="F225" s="151"/>
    </row>
    <row r="226" ht="15.75" customHeight="1">
      <c r="E226" s="151"/>
      <c r="F226" s="151"/>
    </row>
    <row r="227" ht="15.75" customHeight="1">
      <c r="E227" s="151"/>
      <c r="F227" s="151"/>
    </row>
    <row r="228" ht="15.75" customHeight="1">
      <c r="E228" s="151"/>
      <c r="F228" s="151"/>
    </row>
    <row r="229" ht="15.75" customHeight="1">
      <c r="E229" s="151"/>
      <c r="F229" s="151"/>
    </row>
    <row r="230" ht="15.75" customHeight="1">
      <c r="E230" s="151"/>
      <c r="F230" s="151"/>
    </row>
    <row r="231" ht="15.75" customHeight="1">
      <c r="E231" s="151"/>
      <c r="F231" s="151"/>
    </row>
    <row r="232" ht="15.75" customHeight="1">
      <c r="E232" s="151"/>
      <c r="F232" s="151"/>
    </row>
    <row r="233" ht="15.75" customHeight="1">
      <c r="E233" s="151"/>
      <c r="F233" s="151"/>
    </row>
    <row r="234" ht="15.75" customHeight="1">
      <c r="E234" s="151"/>
      <c r="F234" s="151"/>
    </row>
    <row r="235" ht="15.75" customHeight="1">
      <c r="E235" s="151"/>
      <c r="F235" s="151"/>
    </row>
    <row r="236" ht="15.75" customHeight="1">
      <c r="E236" s="151"/>
      <c r="F236" s="151"/>
    </row>
    <row r="237" ht="15.75" customHeight="1">
      <c r="E237" s="151"/>
      <c r="F237" s="151"/>
    </row>
    <row r="238" ht="15.75" customHeight="1">
      <c r="E238" s="151"/>
      <c r="F238" s="151"/>
    </row>
    <row r="239" ht="15.75" customHeight="1">
      <c r="E239" s="151"/>
      <c r="F239" s="151"/>
    </row>
    <row r="240" ht="15.75" customHeight="1">
      <c r="E240" s="151"/>
      <c r="F240" s="151"/>
    </row>
    <row r="241" ht="15.75" customHeight="1">
      <c r="E241" s="151"/>
      <c r="F241" s="151"/>
    </row>
    <row r="242" ht="15.75" customHeight="1">
      <c r="E242" s="151"/>
      <c r="F242" s="151"/>
    </row>
    <row r="243" ht="15.75" customHeight="1">
      <c r="E243" s="151"/>
      <c r="F243" s="151"/>
    </row>
    <row r="244" ht="15.75" customHeight="1">
      <c r="E244" s="151"/>
      <c r="F244" s="151"/>
    </row>
    <row r="245" ht="15.75" customHeight="1">
      <c r="E245" s="151"/>
      <c r="F245" s="151"/>
    </row>
    <row r="246" ht="15.75" customHeight="1">
      <c r="E246" s="151"/>
      <c r="F246" s="151"/>
    </row>
    <row r="247" ht="15.75" customHeight="1">
      <c r="E247" s="151"/>
      <c r="F247" s="151"/>
    </row>
    <row r="248" ht="15.75" customHeight="1">
      <c r="E248" s="151"/>
      <c r="F248" s="151"/>
    </row>
    <row r="249" ht="15.75" customHeight="1">
      <c r="E249" s="151"/>
      <c r="F249" s="151"/>
    </row>
    <row r="250" ht="15.75" customHeight="1">
      <c r="E250" s="151"/>
      <c r="F250" s="151"/>
    </row>
    <row r="251" ht="15.75" customHeight="1">
      <c r="E251" s="151"/>
      <c r="F251" s="151"/>
    </row>
    <row r="252" ht="15.75" customHeight="1">
      <c r="E252" s="151"/>
      <c r="F252" s="151"/>
    </row>
    <row r="253" ht="15.75" customHeight="1">
      <c r="E253" s="151"/>
      <c r="F253" s="151"/>
    </row>
    <row r="254" ht="15.75" customHeight="1">
      <c r="E254" s="151"/>
      <c r="F254" s="151"/>
    </row>
    <row r="255" ht="15.75" customHeight="1">
      <c r="E255" s="151"/>
      <c r="F255" s="151"/>
    </row>
    <row r="256" ht="15.75" customHeight="1">
      <c r="E256" s="151"/>
      <c r="F256" s="151"/>
    </row>
    <row r="257" ht="15.75" customHeight="1">
      <c r="E257" s="151"/>
      <c r="F257" s="151"/>
    </row>
    <row r="258" ht="15.75" customHeight="1">
      <c r="E258" s="151"/>
      <c r="F258" s="151"/>
    </row>
    <row r="259" ht="15.75" customHeight="1">
      <c r="E259" s="151"/>
      <c r="F259" s="151"/>
    </row>
    <row r="260" ht="15.75" customHeight="1">
      <c r="E260" s="151"/>
      <c r="F260" s="151"/>
    </row>
    <row r="261" ht="15.75" customHeight="1">
      <c r="E261" s="151"/>
      <c r="F261" s="151"/>
    </row>
    <row r="262" ht="15.75" customHeight="1">
      <c r="E262" s="151"/>
      <c r="F262" s="151"/>
    </row>
    <row r="263" ht="15.75" customHeight="1">
      <c r="E263" s="151"/>
      <c r="F263" s="151"/>
    </row>
    <row r="264" ht="15.75" customHeight="1">
      <c r="E264" s="151"/>
      <c r="F264" s="151"/>
    </row>
    <row r="265" ht="15.75" customHeight="1">
      <c r="E265" s="151"/>
      <c r="F265" s="151"/>
    </row>
    <row r="266" ht="15.75" customHeight="1">
      <c r="E266" s="151"/>
      <c r="F266" s="151"/>
    </row>
    <row r="267" ht="15.75" customHeight="1">
      <c r="E267" s="151"/>
      <c r="F267" s="151"/>
    </row>
    <row r="268" ht="15.75" customHeight="1">
      <c r="E268" s="151"/>
      <c r="F268" s="151"/>
    </row>
    <row r="269" ht="15.75" customHeight="1">
      <c r="E269" s="151"/>
      <c r="F269" s="151"/>
    </row>
    <row r="270" ht="15.75" customHeight="1">
      <c r="E270" s="151"/>
      <c r="F270" s="151"/>
    </row>
    <row r="271" ht="15.75" customHeight="1">
      <c r="E271" s="151"/>
      <c r="F271" s="151"/>
    </row>
    <row r="272" ht="15.75" customHeight="1">
      <c r="E272" s="151"/>
      <c r="F272" s="151"/>
    </row>
    <row r="273" ht="15.75" customHeight="1">
      <c r="E273" s="151"/>
      <c r="F273" s="151"/>
    </row>
    <row r="274" ht="15.75" customHeight="1">
      <c r="E274" s="151"/>
      <c r="F274" s="151"/>
    </row>
    <row r="275" ht="15.75" customHeight="1">
      <c r="E275" s="151"/>
      <c r="F275" s="151"/>
    </row>
    <row r="276" ht="15.75" customHeight="1">
      <c r="E276" s="151"/>
      <c r="F276" s="151"/>
    </row>
    <row r="277" ht="15.75" customHeight="1">
      <c r="E277" s="151"/>
      <c r="F277" s="151"/>
    </row>
    <row r="278" ht="15.75" customHeight="1">
      <c r="E278" s="151"/>
      <c r="F278" s="151"/>
    </row>
    <row r="279" ht="15.75" customHeight="1">
      <c r="E279" s="151"/>
      <c r="F279" s="151"/>
    </row>
    <row r="280" ht="15.75" customHeight="1">
      <c r="E280" s="151"/>
      <c r="F280" s="151"/>
    </row>
    <row r="281" ht="15.75" customHeight="1">
      <c r="E281" s="151"/>
      <c r="F281" s="151"/>
    </row>
    <row r="282" ht="15.75" customHeight="1">
      <c r="E282" s="151"/>
      <c r="F282" s="151"/>
    </row>
    <row r="283" ht="15.75" customHeight="1">
      <c r="E283" s="151"/>
      <c r="F283" s="151"/>
    </row>
    <row r="284" ht="15.75" customHeight="1">
      <c r="E284" s="151"/>
      <c r="F284" s="151"/>
    </row>
    <row r="285" ht="15.75" customHeight="1">
      <c r="E285" s="151"/>
      <c r="F285" s="151"/>
    </row>
    <row r="286" ht="15.75" customHeight="1">
      <c r="E286" s="151"/>
      <c r="F286" s="151"/>
    </row>
    <row r="287" ht="15.75" customHeight="1">
      <c r="E287" s="151"/>
      <c r="F287" s="151"/>
    </row>
    <row r="288" ht="15.75" customHeight="1">
      <c r="E288" s="151"/>
      <c r="F288" s="151"/>
    </row>
    <row r="289" ht="15.75" customHeight="1">
      <c r="E289" s="151"/>
      <c r="F289" s="151"/>
    </row>
    <row r="290" ht="15.75" customHeight="1">
      <c r="E290" s="151"/>
      <c r="F290" s="151"/>
    </row>
    <row r="291" ht="15.75" customHeight="1">
      <c r="E291" s="151"/>
      <c r="F291" s="151"/>
    </row>
    <row r="292" ht="15.75" customHeight="1">
      <c r="E292" s="151"/>
      <c r="F292" s="151"/>
    </row>
    <row r="293" ht="15.75" customHeight="1">
      <c r="E293" s="151"/>
      <c r="F293" s="151"/>
    </row>
    <row r="294" ht="15.75" customHeight="1">
      <c r="E294" s="151"/>
      <c r="F294" s="151"/>
    </row>
    <row r="295" ht="15.75" customHeight="1">
      <c r="E295" s="151"/>
      <c r="F295" s="151"/>
    </row>
    <row r="296" ht="15.75" customHeight="1">
      <c r="E296" s="151"/>
      <c r="F296" s="151"/>
    </row>
    <row r="297" ht="15.75" customHeight="1">
      <c r="E297" s="151"/>
      <c r="F297" s="151"/>
    </row>
    <row r="298" ht="15.75" customHeight="1">
      <c r="E298" s="151"/>
      <c r="F298" s="151"/>
    </row>
    <row r="299" ht="15.75" customHeight="1">
      <c r="E299" s="151"/>
      <c r="F299" s="151"/>
    </row>
    <row r="300" ht="15.75" customHeight="1">
      <c r="E300" s="151"/>
      <c r="F300" s="151"/>
    </row>
    <row r="301" ht="15.75" customHeight="1">
      <c r="E301" s="151"/>
      <c r="F301" s="151"/>
    </row>
    <row r="302" ht="15.75" customHeight="1">
      <c r="E302" s="151"/>
      <c r="F302" s="151"/>
    </row>
    <row r="303" ht="15.75" customHeight="1">
      <c r="E303" s="151"/>
      <c r="F303" s="151"/>
    </row>
    <row r="304" ht="15.75" customHeight="1">
      <c r="E304" s="151"/>
      <c r="F304" s="151"/>
    </row>
    <row r="305" ht="15.75" customHeight="1">
      <c r="E305" s="151"/>
      <c r="F305" s="151"/>
    </row>
    <row r="306" ht="15.75" customHeight="1">
      <c r="E306" s="151"/>
      <c r="F306" s="151"/>
    </row>
    <row r="307" ht="15.75" customHeight="1">
      <c r="E307" s="151"/>
      <c r="F307" s="151"/>
    </row>
    <row r="308" ht="15.75" customHeight="1">
      <c r="E308" s="151"/>
      <c r="F308" s="151"/>
    </row>
    <row r="309" ht="15.75" customHeight="1">
      <c r="E309" s="151"/>
      <c r="F309" s="151"/>
    </row>
    <row r="310" ht="15.75" customHeight="1">
      <c r="E310" s="151"/>
      <c r="F310" s="151"/>
    </row>
    <row r="311" ht="15.75" customHeight="1">
      <c r="E311" s="151"/>
      <c r="F311" s="151"/>
    </row>
    <row r="312" ht="15.75" customHeight="1">
      <c r="E312" s="151"/>
      <c r="F312" s="151"/>
    </row>
    <row r="313" ht="15.75" customHeight="1">
      <c r="E313" s="151"/>
      <c r="F313" s="151"/>
    </row>
    <row r="314" ht="15.75" customHeight="1">
      <c r="E314" s="151"/>
      <c r="F314" s="151"/>
    </row>
    <row r="315" ht="15.75" customHeight="1">
      <c r="E315" s="151"/>
      <c r="F315" s="151"/>
    </row>
    <row r="316" ht="15.75" customHeight="1">
      <c r="E316" s="151"/>
      <c r="F316" s="151"/>
    </row>
    <row r="317" ht="15.75" customHeight="1">
      <c r="E317" s="151"/>
      <c r="F317" s="151"/>
    </row>
    <row r="318" ht="15.75" customHeight="1">
      <c r="E318" s="151"/>
      <c r="F318" s="151"/>
    </row>
    <row r="319" ht="15.75" customHeight="1">
      <c r="E319" s="151"/>
      <c r="F319" s="151"/>
    </row>
    <row r="320" ht="15.75" customHeight="1">
      <c r="E320" s="151"/>
      <c r="F320" s="151"/>
    </row>
    <row r="321" ht="15.75" customHeight="1">
      <c r="E321" s="151"/>
      <c r="F321" s="151"/>
    </row>
    <row r="322" ht="15.75" customHeight="1">
      <c r="E322" s="151"/>
      <c r="F322" s="151"/>
    </row>
    <row r="323" ht="15.75" customHeight="1">
      <c r="E323" s="151"/>
      <c r="F323" s="151"/>
    </row>
    <row r="324" ht="15.75" customHeight="1">
      <c r="E324" s="151"/>
      <c r="F324" s="151"/>
    </row>
    <row r="325" ht="15.75" customHeight="1">
      <c r="E325" s="151"/>
      <c r="F325" s="151"/>
    </row>
    <row r="326" ht="15.75" customHeight="1">
      <c r="E326" s="151"/>
      <c r="F326" s="151"/>
    </row>
    <row r="327" ht="15.75" customHeight="1">
      <c r="E327" s="151"/>
      <c r="F327" s="151"/>
    </row>
    <row r="328" ht="15.75" customHeight="1">
      <c r="E328" s="151"/>
      <c r="F328" s="151"/>
    </row>
    <row r="329" ht="15.75" customHeight="1">
      <c r="E329" s="151"/>
      <c r="F329" s="151"/>
    </row>
    <row r="330" ht="15.75" customHeight="1">
      <c r="E330" s="151"/>
      <c r="F330" s="151"/>
    </row>
    <row r="331" ht="15.75" customHeight="1">
      <c r="E331" s="151"/>
      <c r="F331" s="151"/>
    </row>
    <row r="332" ht="15.75" customHeight="1">
      <c r="E332" s="151"/>
      <c r="F332" s="151"/>
    </row>
    <row r="333" ht="15.75" customHeight="1">
      <c r="E333" s="151"/>
      <c r="F333" s="151"/>
    </row>
    <row r="334" ht="15.75" customHeight="1">
      <c r="E334" s="151"/>
      <c r="F334" s="151"/>
    </row>
    <row r="335" ht="15.75" customHeight="1">
      <c r="E335" s="151"/>
      <c r="F335" s="151"/>
    </row>
    <row r="336" ht="15.75" customHeight="1">
      <c r="E336" s="151"/>
      <c r="F336" s="151"/>
    </row>
    <row r="337" ht="15.75" customHeight="1">
      <c r="E337" s="151"/>
      <c r="F337" s="151"/>
    </row>
    <row r="338" ht="15.75" customHeight="1">
      <c r="E338" s="151"/>
      <c r="F338" s="151"/>
    </row>
    <row r="339" ht="15.75" customHeight="1">
      <c r="E339" s="151"/>
      <c r="F339" s="151"/>
    </row>
    <row r="340" ht="15.75" customHeight="1">
      <c r="E340" s="151"/>
      <c r="F340" s="151"/>
    </row>
    <row r="341" ht="15.75" customHeight="1">
      <c r="E341" s="151"/>
      <c r="F341" s="151"/>
    </row>
    <row r="342" ht="15.75" customHeight="1">
      <c r="E342" s="151"/>
      <c r="F342" s="151"/>
    </row>
    <row r="343" ht="15.75" customHeight="1">
      <c r="E343" s="151"/>
      <c r="F343" s="151"/>
    </row>
    <row r="344" ht="15.75" customHeight="1">
      <c r="E344" s="151"/>
      <c r="F344" s="151"/>
    </row>
    <row r="345" ht="15.75" customHeight="1">
      <c r="E345" s="151"/>
      <c r="F345" s="151"/>
    </row>
    <row r="346" ht="15.75" customHeight="1">
      <c r="E346" s="151"/>
      <c r="F346" s="151"/>
    </row>
    <row r="347" ht="15.75" customHeight="1">
      <c r="E347" s="151"/>
      <c r="F347" s="151"/>
    </row>
    <row r="348" ht="15.75" customHeight="1">
      <c r="E348" s="151"/>
      <c r="F348" s="151"/>
    </row>
    <row r="349" ht="15.75" customHeight="1">
      <c r="E349" s="151"/>
      <c r="F349" s="151"/>
    </row>
    <row r="350" ht="15.75" customHeight="1">
      <c r="E350" s="151"/>
      <c r="F350" s="151"/>
    </row>
    <row r="351" ht="15.75" customHeight="1">
      <c r="E351" s="151"/>
      <c r="F351" s="151"/>
    </row>
    <row r="352" ht="15.75" customHeight="1">
      <c r="E352" s="151"/>
      <c r="F352" s="151"/>
    </row>
    <row r="353" ht="15.75" customHeight="1">
      <c r="E353" s="151"/>
      <c r="F353" s="151"/>
    </row>
    <row r="354" ht="15.75" customHeight="1">
      <c r="E354" s="151"/>
      <c r="F354" s="151"/>
    </row>
    <row r="355" ht="15.75" customHeight="1">
      <c r="E355" s="151"/>
      <c r="F355" s="151"/>
    </row>
    <row r="356" ht="15.75" customHeight="1">
      <c r="E356" s="151"/>
      <c r="F356" s="151"/>
    </row>
    <row r="357" ht="15.75" customHeight="1">
      <c r="E357" s="151"/>
      <c r="F357" s="151"/>
    </row>
    <row r="358" ht="15.75" customHeight="1">
      <c r="E358" s="151"/>
      <c r="F358" s="151"/>
    </row>
    <row r="359" ht="15.75" customHeight="1">
      <c r="E359" s="151"/>
      <c r="F359" s="151"/>
    </row>
    <row r="360" ht="15.75" customHeight="1">
      <c r="E360" s="151"/>
      <c r="F360" s="151"/>
    </row>
    <row r="361" ht="15.75" customHeight="1">
      <c r="E361" s="151"/>
      <c r="F361" s="151"/>
    </row>
    <row r="362" ht="15.75" customHeight="1">
      <c r="E362" s="151"/>
      <c r="F362" s="151"/>
    </row>
    <row r="363" ht="15.75" customHeight="1">
      <c r="E363" s="151"/>
      <c r="F363" s="151"/>
    </row>
    <row r="364" ht="15.75" customHeight="1">
      <c r="E364" s="151"/>
      <c r="F364" s="151"/>
    </row>
    <row r="365" ht="15.75" customHeight="1">
      <c r="E365" s="151"/>
      <c r="F365" s="151"/>
    </row>
    <row r="366" ht="15.75" customHeight="1">
      <c r="E366" s="151"/>
      <c r="F366" s="151"/>
    </row>
    <row r="367" ht="15.75" customHeight="1">
      <c r="E367" s="151"/>
      <c r="F367" s="151"/>
    </row>
    <row r="368" ht="15.75" customHeight="1">
      <c r="E368" s="151"/>
      <c r="F368" s="151"/>
    </row>
    <row r="369" ht="15.75" customHeight="1">
      <c r="E369" s="151"/>
      <c r="F369" s="151"/>
    </row>
    <row r="370" ht="15.75" customHeight="1">
      <c r="E370" s="151"/>
      <c r="F370" s="151"/>
    </row>
    <row r="371" ht="15.75" customHeight="1">
      <c r="E371" s="151"/>
      <c r="F371" s="151"/>
    </row>
    <row r="372" ht="15.75" customHeight="1">
      <c r="E372" s="151"/>
      <c r="F372" s="151"/>
    </row>
    <row r="373" ht="15.75" customHeight="1">
      <c r="E373" s="151"/>
      <c r="F373" s="151"/>
    </row>
    <row r="374" ht="15.75" customHeight="1">
      <c r="E374" s="151"/>
      <c r="F374" s="151"/>
    </row>
    <row r="375" ht="15.75" customHeight="1">
      <c r="E375" s="151"/>
      <c r="F375" s="151"/>
    </row>
    <row r="376" ht="15.75" customHeight="1">
      <c r="E376" s="151"/>
      <c r="F376" s="151"/>
    </row>
    <row r="377" ht="15.75" customHeight="1">
      <c r="E377" s="151"/>
      <c r="F377" s="151"/>
    </row>
    <row r="378" ht="15.75" customHeight="1">
      <c r="E378" s="151"/>
      <c r="F378" s="151"/>
    </row>
    <row r="379" ht="15.75" customHeight="1">
      <c r="E379" s="151"/>
      <c r="F379" s="151"/>
    </row>
    <row r="380" ht="15.75" customHeight="1">
      <c r="E380" s="151"/>
      <c r="F380" s="151"/>
    </row>
    <row r="381" ht="15.75" customHeight="1">
      <c r="E381" s="151"/>
      <c r="F381" s="151"/>
    </row>
    <row r="382" ht="15.75" customHeight="1">
      <c r="E382" s="151"/>
      <c r="F382" s="151"/>
    </row>
    <row r="383" ht="15.75" customHeight="1">
      <c r="E383" s="151"/>
      <c r="F383" s="151"/>
    </row>
    <row r="384" ht="15.75" customHeight="1">
      <c r="E384" s="151"/>
      <c r="F384" s="151"/>
    </row>
    <row r="385" ht="15.75" customHeight="1">
      <c r="E385" s="151"/>
      <c r="F385" s="151"/>
    </row>
    <row r="386" ht="15.75" customHeight="1">
      <c r="E386" s="151"/>
      <c r="F386" s="151"/>
    </row>
    <row r="387" ht="15.75" customHeight="1">
      <c r="E387" s="151"/>
      <c r="F387" s="151"/>
    </row>
    <row r="388" ht="15.75" customHeight="1">
      <c r="E388" s="151"/>
      <c r="F388" s="151"/>
    </row>
    <row r="389" ht="15.75" customHeight="1">
      <c r="E389" s="151"/>
      <c r="F389" s="151"/>
    </row>
    <row r="390" ht="15.75" customHeight="1">
      <c r="E390" s="151"/>
      <c r="F390" s="151"/>
    </row>
    <row r="391" ht="15.75" customHeight="1">
      <c r="E391" s="151"/>
      <c r="F391" s="151"/>
    </row>
    <row r="392" ht="15.75" customHeight="1">
      <c r="E392" s="151"/>
      <c r="F392" s="151"/>
    </row>
    <row r="393" ht="15.75" customHeight="1">
      <c r="E393" s="151"/>
      <c r="F393" s="151"/>
    </row>
    <row r="394" ht="15.75" customHeight="1">
      <c r="E394" s="151"/>
      <c r="F394" s="151"/>
    </row>
    <row r="395" ht="15.75" customHeight="1">
      <c r="E395" s="151"/>
      <c r="F395" s="151"/>
    </row>
    <row r="396" ht="15.75" customHeight="1">
      <c r="E396" s="151"/>
      <c r="F396" s="151"/>
    </row>
    <row r="397" ht="15.75" customHeight="1">
      <c r="E397" s="151"/>
      <c r="F397" s="151"/>
    </row>
    <row r="398" ht="15.75" customHeight="1">
      <c r="E398" s="151"/>
      <c r="F398" s="151"/>
    </row>
    <row r="399" ht="15.75" customHeight="1">
      <c r="E399" s="151"/>
      <c r="F399" s="151"/>
    </row>
    <row r="400" ht="15.75" customHeight="1">
      <c r="E400" s="151"/>
      <c r="F400" s="151"/>
    </row>
    <row r="401" ht="15.75" customHeight="1">
      <c r="E401" s="151"/>
      <c r="F401" s="151"/>
    </row>
    <row r="402" ht="15.75" customHeight="1">
      <c r="E402" s="151"/>
      <c r="F402" s="151"/>
    </row>
    <row r="403" ht="15.75" customHeight="1">
      <c r="E403" s="151"/>
      <c r="F403" s="151"/>
    </row>
    <row r="404" ht="15.75" customHeight="1">
      <c r="E404" s="151"/>
      <c r="F404" s="151"/>
    </row>
    <row r="405" ht="15.75" customHeight="1">
      <c r="E405" s="151"/>
      <c r="F405" s="151"/>
    </row>
    <row r="406" ht="15.75" customHeight="1">
      <c r="E406" s="151"/>
      <c r="F406" s="151"/>
    </row>
    <row r="407" ht="15.75" customHeight="1">
      <c r="E407" s="151"/>
      <c r="F407" s="151"/>
    </row>
    <row r="408" ht="15.75" customHeight="1">
      <c r="E408" s="151"/>
      <c r="F408" s="151"/>
    </row>
    <row r="409" ht="15.75" customHeight="1">
      <c r="E409" s="151"/>
      <c r="F409" s="151"/>
    </row>
    <row r="410" ht="15.75" customHeight="1">
      <c r="E410" s="151"/>
      <c r="F410" s="151"/>
    </row>
    <row r="411" ht="15.75" customHeight="1">
      <c r="E411" s="151"/>
      <c r="F411" s="151"/>
    </row>
    <row r="412" ht="15.75" customHeight="1">
      <c r="E412" s="151"/>
      <c r="F412" s="151"/>
    </row>
    <row r="413" ht="15.75" customHeight="1">
      <c r="E413" s="151"/>
      <c r="F413" s="151"/>
    </row>
    <row r="414" ht="15.75" customHeight="1">
      <c r="E414" s="151"/>
      <c r="F414" s="151"/>
    </row>
    <row r="415" ht="15.75" customHeight="1">
      <c r="E415" s="151"/>
      <c r="F415" s="151"/>
    </row>
    <row r="416" ht="15.75" customHeight="1">
      <c r="E416" s="151"/>
      <c r="F416" s="151"/>
    </row>
    <row r="417" ht="15.75" customHeight="1">
      <c r="E417" s="151"/>
      <c r="F417" s="151"/>
    </row>
    <row r="418" ht="15.75" customHeight="1">
      <c r="E418" s="151"/>
      <c r="F418" s="151"/>
    </row>
    <row r="419" ht="15.75" customHeight="1">
      <c r="E419" s="151"/>
      <c r="F419" s="151"/>
    </row>
    <row r="420" ht="15.75" customHeight="1">
      <c r="E420" s="151"/>
      <c r="F420" s="151"/>
    </row>
    <row r="421" ht="15.75" customHeight="1">
      <c r="E421" s="151"/>
      <c r="F421" s="151"/>
    </row>
    <row r="422" ht="15.75" customHeight="1">
      <c r="E422" s="151"/>
      <c r="F422" s="151"/>
    </row>
    <row r="423" ht="15.75" customHeight="1">
      <c r="E423" s="151"/>
      <c r="F423" s="151"/>
    </row>
    <row r="424" ht="15.75" customHeight="1">
      <c r="E424" s="151"/>
      <c r="F424" s="151"/>
    </row>
    <row r="425" ht="15.75" customHeight="1">
      <c r="E425" s="151"/>
      <c r="F425" s="151"/>
    </row>
    <row r="426" ht="15.75" customHeight="1">
      <c r="E426" s="151"/>
      <c r="F426" s="151"/>
    </row>
    <row r="427" ht="15.75" customHeight="1">
      <c r="E427" s="151"/>
      <c r="F427" s="151"/>
    </row>
    <row r="428" ht="15.75" customHeight="1">
      <c r="E428" s="151"/>
      <c r="F428" s="151"/>
    </row>
    <row r="429" ht="15.75" customHeight="1">
      <c r="E429" s="151"/>
      <c r="F429" s="151"/>
    </row>
    <row r="430" ht="15.75" customHeight="1">
      <c r="E430" s="151"/>
      <c r="F430" s="151"/>
    </row>
    <row r="431" ht="15.75" customHeight="1">
      <c r="E431" s="151"/>
      <c r="F431" s="151"/>
    </row>
    <row r="432" ht="15.75" customHeight="1">
      <c r="E432" s="151"/>
      <c r="F432" s="151"/>
    </row>
    <row r="433" ht="15.75" customHeight="1">
      <c r="E433" s="151"/>
      <c r="F433" s="151"/>
    </row>
    <row r="434" ht="15.75" customHeight="1">
      <c r="E434" s="151"/>
      <c r="F434" s="151"/>
    </row>
    <row r="435" ht="15.75" customHeight="1">
      <c r="E435" s="151"/>
      <c r="F435" s="151"/>
    </row>
    <row r="436" ht="15.75" customHeight="1">
      <c r="E436" s="151"/>
      <c r="F436" s="151"/>
    </row>
    <row r="437" ht="15.75" customHeight="1">
      <c r="E437" s="151"/>
      <c r="F437" s="151"/>
    </row>
    <row r="438" ht="15.75" customHeight="1">
      <c r="E438" s="151"/>
      <c r="F438" s="151"/>
    </row>
    <row r="439" ht="15.75" customHeight="1">
      <c r="E439" s="151"/>
      <c r="F439" s="151"/>
    </row>
    <row r="440" ht="15.75" customHeight="1">
      <c r="E440" s="151"/>
      <c r="F440" s="151"/>
    </row>
    <row r="441" ht="15.75" customHeight="1">
      <c r="E441" s="151"/>
      <c r="F441" s="151"/>
    </row>
    <row r="442" ht="15.75" customHeight="1">
      <c r="E442" s="151"/>
      <c r="F442" s="151"/>
    </row>
    <row r="443" ht="15.75" customHeight="1">
      <c r="E443" s="151"/>
      <c r="F443" s="151"/>
    </row>
    <row r="444" ht="15.75" customHeight="1">
      <c r="E444" s="151"/>
      <c r="F444" s="151"/>
    </row>
    <row r="445" ht="15.75" customHeight="1">
      <c r="E445" s="151"/>
      <c r="F445" s="151"/>
    </row>
    <row r="446" ht="15.75" customHeight="1">
      <c r="E446" s="151"/>
      <c r="F446" s="151"/>
    </row>
    <row r="447" ht="15.75" customHeight="1">
      <c r="E447" s="151"/>
      <c r="F447" s="151"/>
    </row>
    <row r="448" ht="15.75" customHeight="1">
      <c r="E448" s="151"/>
      <c r="F448" s="151"/>
    </row>
    <row r="449" ht="15.75" customHeight="1">
      <c r="E449" s="151"/>
      <c r="F449" s="151"/>
    </row>
    <row r="450" ht="15.75" customHeight="1">
      <c r="E450" s="151"/>
      <c r="F450" s="151"/>
    </row>
    <row r="451" ht="15.75" customHeight="1">
      <c r="E451" s="151"/>
      <c r="F451" s="151"/>
    </row>
    <row r="452" ht="15.75" customHeight="1">
      <c r="E452" s="151"/>
      <c r="F452" s="151"/>
    </row>
    <row r="453" ht="15.75" customHeight="1">
      <c r="E453" s="151"/>
      <c r="F453" s="151"/>
    </row>
    <row r="454" ht="15.75" customHeight="1">
      <c r="E454" s="151"/>
      <c r="F454" s="151"/>
    </row>
    <row r="455" ht="15.75" customHeight="1">
      <c r="E455" s="151"/>
      <c r="F455" s="151"/>
    </row>
    <row r="456" ht="15.75" customHeight="1">
      <c r="E456" s="151"/>
      <c r="F456" s="151"/>
    </row>
    <row r="457" ht="15.75" customHeight="1">
      <c r="E457" s="151"/>
      <c r="F457" s="151"/>
    </row>
    <row r="458" ht="15.75" customHeight="1">
      <c r="E458" s="151"/>
      <c r="F458" s="151"/>
    </row>
    <row r="459" ht="15.75" customHeight="1">
      <c r="E459" s="151"/>
      <c r="F459" s="151"/>
    </row>
    <row r="460" ht="15.75" customHeight="1">
      <c r="E460" s="151"/>
      <c r="F460" s="151"/>
    </row>
    <row r="461" ht="15.75" customHeight="1">
      <c r="E461" s="151"/>
      <c r="F461" s="151"/>
    </row>
    <row r="462" ht="15.75" customHeight="1">
      <c r="E462" s="151"/>
      <c r="F462" s="151"/>
    </row>
    <row r="463" ht="15.75" customHeight="1">
      <c r="E463" s="151"/>
      <c r="F463" s="151"/>
    </row>
    <row r="464" ht="15.75" customHeight="1">
      <c r="E464" s="151"/>
      <c r="F464" s="151"/>
    </row>
    <row r="465" ht="15.75" customHeight="1">
      <c r="E465" s="151"/>
      <c r="F465" s="151"/>
    </row>
    <row r="466" ht="15.75" customHeight="1">
      <c r="E466" s="151"/>
      <c r="F466" s="151"/>
    </row>
    <row r="467" ht="15.75" customHeight="1">
      <c r="E467" s="151"/>
      <c r="F467" s="151"/>
    </row>
    <row r="468" ht="15.75" customHeight="1">
      <c r="E468" s="151"/>
      <c r="F468" s="151"/>
    </row>
    <row r="469" ht="15.75" customHeight="1">
      <c r="E469" s="151"/>
      <c r="F469" s="151"/>
    </row>
    <row r="470" ht="15.75" customHeight="1">
      <c r="E470" s="151"/>
      <c r="F470" s="151"/>
    </row>
    <row r="471" ht="15.75" customHeight="1">
      <c r="E471" s="151"/>
      <c r="F471" s="151"/>
    </row>
    <row r="472" ht="15.75" customHeight="1">
      <c r="E472" s="151"/>
      <c r="F472" s="151"/>
    </row>
    <row r="473" ht="15.75" customHeight="1">
      <c r="E473" s="151"/>
      <c r="F473" s="151"/>
    </row>
    <row r="474" ht="15.75" customHeight="1">
      <c r="E474" s="151"/>
      <c r="F474" s="151"/>
    </row>
    <row r="475" ht="15.75" customHeight="1">
      <c r="E475" s="151"/>
      <c r="F475" s="151"/>
    </row>
    <row r="476" ht="15.75" customHeight="1">
      <c r="E476" s="151"/>
      <c r="F476" s="151"/>
    </row>
    <row r="477" ht="15.75" customHeight="1">
      <c r="E477" s="151"/>
      <c r="F477" s="151"/>
    </row>
    <row r="478" ht="15.75" customHeight="1">
      <c r="E478" s="151"/>
      <c r="F478" s="151"/>
    </row>
    <row r="479" ht="15.75" customHeight="1">
      <c r="E479" s="151"/>
      <c r="F479" s="151"/>
    </row>
    <row r="480" ht="15.75" customHeight="1">
      <c r="E480" s="151"/>
      <c r="F480" s="151"/>
    </row>
    <row r="481" ht="15.75" customHeight="1">
      <c r="E481" s="151"/>
      <c r="F481" s="151"/>
    </row>
    <row r="482" ht="15.75" customHeight="1">
      <c r="E482" s="151"/>
      <c r="F482" s="151"/>
    </row>
    <row r="483" ht="15.75" customHeight="1">
      <c r="E483" s="151"/>
      <c r="F483" s="151"/>
    </row>
    <row r="484" ht="15.75" customHeight="1">
      <c r="E484" s="151"/>
      <c r="F484" s="151"/>
    </row>
    <row r="485" ht="15.75" customHeight="1">
      <c r="E485" s="151"/>
      <c r="F485" s="151"/>
    </row>
    <row r="486" ht="15.75" customHeight="1">
      <c r="E486" s="151"/>
      <c r="F486" s="151"/>
    </row>
    <row r="487" ht="15.75" customHeight="1">
      <c r="E487" s="151"/>
      <c r="F487" s="151"/>
    </row>
    <row r="488" ht="15.75" customHeight="1">
      <c r="E488" s="151"/>
      <c r="F488" s="151"/>
    </row>
    <row r="489" ht="15.75" customHeight="1">
      <c r="E489" s="151"/>
      <c r="F489" s="151"/>
    </row>
    <row r="490" ht="15.75" customHeight="1">
      <c r="E490" s="151"/>
      <c r="F490" s="151"/>
    </row>
    <row r="491" ht="15.75" customHeight="1">
      <c r="E491" s="151"/>
      <c r="F491" s="151"/>
    </row>
    <row r="492" ht="15.75" customHeight="1">
      <c r="E492" s="151"/>
      <c r="F492" s="151"/>
    </row>
    <row r="493" ht="15.75" customHeight="1">
      <c r="E493" s="151"/>
      <c r="F493" s="151"/>
    </row>
    <row r="494" ht="15.75" customHeight="1">
      <c r="E494" s="151"/>
      <c r="F494" s="151"/>
    </row>
    <row r="495" ht="15.75" customHeight="1">
      <c r="E495" s="151"/>
      <c r="F495" s="151"/>
    </row>
    <row r="496" ht="15.75" customHeight="1">
      <c r="E496" s="151"/>
      <c r="F496" s="151"/>
    </row>
    <row r="497" ht="15.75" customHeight="1">
      <c r="E497" s="151"/>
      <c r="F497" s="151"/>
    </row>
    <row r="498" ht="15.75" customHeight="1">
      <c r="E498" s="151"/>
      <c r="F498" s="151"/>
    </row>
    <row r="499" ht="15.75" customHeight="1">
      <c r="E499" s="151"/>
      <c r="F499" s="151"/>
    </row>
    <row r="500" ht="15.75" customHeight="1">
      <c r="E500" s="151"/>
      <c r="F500" s="151"/>
    </row>
    <row r="501" ht="15.75" customHeight="1">
      <c r="E501" s="151"/>
      <c r="F501" s="151"/>
    </row>
    <row r="502" ht="15.75" customHeight="1">
      <c r="E502" s="151"/>
      <c r="F502" s="151"/>
    </row>
    <row r="503" ht="15.75" customHeight="1">
      <c r="E503" s="151"/>
      <c r="F503" s="151"/>
    </row>
    <row r="504" ht="15.75" customHeight="1">
      <c r="E504" s="151"/>
      <c r="F504" s="151"/>
    </row>
    <row r="505" ht="15.75" customHeight="1">
      <c r="E505" s="151"/>
      <c r="F505" s="151"/>
    </row>
    <row r="506" ht="15.75" customHeight="1">
      <c r="E506" s="151"/>
      <c r="F506" s="151"/>
    </row>
    <row r="507" ht="15.75" customHeight="1">
      <c r="E507" s="151"/>
      <c r="F507" s="151"/>
    </row>
    <row r="508" ht="15.75" customHeight="1">
      <c r="E508" s="151"/>
      <c r="F508" s="151"/>
    </row>
    <row r="509" ht="15.75" customHeight="1">
      <c r="E509" s="151"/>
      <c r="F509" s="151"/>
    </row>
    <row r="510" ht="15.75" customHeight="1">
      <c r="E510" s="151"/>
      <c r="F510" s="151"/>
    </row>
    <row r="511" ht="15.75" customHeight="1">
      <c r="E511" s="151"/>
      <c r="F511" s="151"/>
    </row>
    <row r="512" ht="15.75" customHeight="1">
      <c r="E512" s="151"/>
      <c r="F512" s="151"/>
    </row>
    <row r="513" ht="15.75" customHeight="1">
      <c r="E513" s="151"/>
      <c r="F513" s="151"/>
    </row>
    <row r="514" ht="15.75" customHeight="1">
      <c r="E514" s="151"/>
      <c r="F514" s="151"/>
    </row>
    <row r="515" ht="15.75" customHeight="1">
      <c r="E515" s="151"/>
      <c r="F515" s="151"/>
    </row>
    <row r="516" ht="15.75" customHeight="1">
      <c r="E516" s="151"/>
      <c r="F516" s="151"/>
    </row>
    <row r="517" ht="15.75" customHeight="1">
      <c r="E517" s="151"/>
      <c r="F517" s="151"/>
    </row>
    <row r="518" ht="15.75" customHeight="1">
      <c r="E518" s="151"/>
      <c r="F518" s="151"/>
    </row>
    <row r="519" ht="15.75" customHeight="1">
      <c r="E519" s="151"/>
      <c r="F519" s="151"/>
    </row>
    <row r="520" ht="15.75" customHeight="1">
      <c r="E520" s="151"/>
      <c r="F520" s="151"/>
    </row>
    <row r="521" ht="15.75" customHeight="1">
      <c r="E521" s="151"/>
      <c r="F521" s="151"/>
    </row>
    <row r="522" ht="15.75" customHeight="1">
      <c r="E522" s="151"/>
      <c r="F522" s="151"/>
    </row>
    <row r="523" ht="15.75" customHeight="1">
      <c r="E523" s="151"/>
      <c r="F523" s="151"/>
    </row>
    <row r="524" ht="15.75" customHeight="1">
      <c r="E524" s="151"/>
      <c r="F524" s="151"/>
    </row>
    <row r="525" ht="15.75" customHeight="1">
      <c r="E525" s="151"/>
      <c r="F525" s="151"/>
    </row>
    <row r="526" ht="15.75" customHeight="1">
      <c r="E526" s="151"/>
      <c r="F526" s="151"/>
    </row>
    <row r="527" ht="15.75" customHeight="1">
      <c r="E527" s="151"/>
      <c r="F527" s="151"/>
    </row>
    <row r="528" ht="15.75" customHeight="1">
      <c r="E528" s="151"/>
      <c r="F528" s="151"/>
    </row>
    <row r="529" ht="15.75" customHeight="1">
      <c r="E529" s="151"/>
      <c r="F529" s="151"/>
    </row>
    <row r="530" ht="15.75" customHeight="1">
      <c r="E530" s="151"/>
      <c r="F530" s="151"/>
    </row>
    <row r="531" ht="15.75" customHeight="1">
      <c r="E531" s="151"/>
      <c r="F531" s="151"/>
    </row>
    <row r="532" ht="15.75" customHeight="1">
      <c r="E532" s="151"/>
      <c r="F532" s="151"/>
    </row>
    <row r="533" ht="15.75" customHeight="1">
      <c r="E533" s="151"/>
      <c r="F533" s="151"/>
    </row>
    <row r="534" ht="15.75" customHeight="1">
      <c r="E534" s="151"/>
      <c r="F534" s="151"/>
    </row>
    <row r="535" ht="15.75" customHeight="1">
      <c r="E535" s="151"/>
      <c r="F535" s="151"/>
    </row>
    <row r="536" ht="15.75" customHeight="1">
      <c r="E536" s="151"/>
      <c r="F536" s="151"/>
    </row>
    <row r="537" ht="15.75" customHeight="1">
      <c r="E537" s="151"/>
      <c r="F537" s="151"/>
    </row>
    <row r="538" ht="15.75" customHeight="1">
      <c r="E538" s="151"/>
      <c r="F538" s="151"/>
    </row>
    <row r="539" ht="15.75" customHeight="1">
      <c r="E539" s="151"/>
      <c r="F539" s="151"/>
    </row>
    <row r="540" ht="15.75" customHeight="1">
      <c r="E540" s="151"/>
      <c r="F540" s="151"/>
    </row>
    <row r="541" ht="15.75" customHeight="1">
      <c r="E541" s="151"/>
      <c r="F541" s="151"/>
    </row>
    <row r="542" ht="15.75" customHeight="1">
      <c r="E542" s="151"/>
      <c r="F542" s="151"/>
    </row>
    <row r="543" ht="15.75" customHeight="1">
      <c r="E543" s="151"/>
      <c r="F543" s="151"/>
    </row>
    <row r="544" ht="15.75" customHeight="1">
      <c r="E544" s="151"/>
      <c r="F544" s="151"/>
    </row>
    <row r="545" ht="15.75" customHeight="1">
      <c r="E545" s="151"/>
      <c r="F545" s="151"/>
    </row>
    <row r="546" ht="15.75" customHeight="1">
      <c r="E546" s="151"/>
      <c r="F546" s="151"/>
    </row>
    <row r="547" ht="15.75" customHeight="1">
      <c r="E547" s="151"/>
      <c r="F547" s="151"/>
    </row>
    <row r="548" ht="15.75" customHeight="1">
      <c r="E548" s="151"/>
      <c r="F548" s="151"/>
    </row>
    <row r="549" ht="15.75" customHeight="1">
      <c r="E549" s="151"/>
      <c r="F549" s="151"/>
    </row>
    <row r="550" ht="15.75" customHeight="1">
      <c r="E550" s="151"/>
      <c r="F550" s="151"/>
    </row>
    <row r="551" ht="15.75" customHeight="1">
      <c r="E551" s="151"/>
      <c r="F551" s="151"/>
    </row>
    <row r="552" ht="15.75" customHeight="1">
      <c r="E552" s="151"/>
      <c r="F552" s="151"/>
    </row>
    <row r="553" ht="15.75" customHeight="1">
      <c r="E553" s="151"/>
      <c r="F553" s="151"/>
    </row>
    <row r="554" ht="15.75" customHeight="1">
      <c r="E554" s="151"/>
      <c r="F554" s="151"/>
    </row>
    <row r="555" ht="15.75" customHeight="1">
      <c r="E555" s="151"/>
      <c r="F555" s="151"/>
    </row>
    <row r="556" ht="15.75" customHeight="1">
      <c r="E556" s="151"/>
      <c r="F556" s="151"/>
    </row>
    <row r="557" ht="15.75" customHeight="1">
      <c r="E557" s="151"/>
      <c r="F557" s="151"/>
    </row>
    <row r="558" ht="15.75" customHeight="1">
      <c r="E558" s="151"/>
      <c r="F558" s="151"/>
    </row>
    <row r="559" ht="15.75" customHeight="1">
      <c r="E559" s="151"/>
      <c r="F559" s="151"/>
    </row>
    <row r="560" ht="15.75" customHeight="1">
      <c r="E560" s="151"/>
      <c r="F560" s="151"/>
    </row>
    <row r="561" ht="15.75" customHeight="1">
      <c r="E561" s="151"/>
      <c r="F561" s="151"/>
    </row>
    <row r="562" ht="15.75" customHeight="1">
      <c r="E562" s="151"/>
      <c r="F562" s="151"/>
    </row>
    <row r="563" ht="15.75" customHeight="1">
      <c r="E563" s="151"/>
      <c r="F563" s="151"/>
    </row>
    <row r="564" ht="15.75" customHeight="1">
      <c r="E564" s="151"/>
      <c r="F564" s="151"/>
    </row>
    <row r="565" ht="15.75" customHeight="1">
      <c r="E565" s="151"/>
      <c r="F565" s="151"/>
    </row>
    <row r="566" ht="15.75" customHeight="1">
      <c r="E566" s="151"/>
      <c r="F566" s="151"/>
    </row>
    <row r="567" ht="15.75" customHeight="1">
      <c r="E567" s="151"/>
      <c r="F567" s="151"/>
    </row>
    <row r="568" ht="15.75" customHeight="1">
      <c r="E568" s="151"/>
      <c r="F568" s="151"/>
    </row>
    <row r="569" ht="15.75" customHeight="1">
      <c r="E569" s="151"/>
      <c r="F569" s="151"/>
    </row>
    <row r="570" ht="15.75" customHeight="1">
      <c r="E570" s="151"/>
      <c r="F570" s="151"/>
    </row>
    <row r="571" ht="15.75" customHeight="1">
      <c r="E571" s="151"/>
      <c r="F571" s="151"/>
    </row>
    <row r="572" ht="15.75" customHeight="1">
      <c r="E572" s="151"/>
      <c r="F572" s="151"/>
    </row>
    <row r="573" ht="15.75" customHeight="1">
      <c r="E573" s="151"/>
      <c r="F573" s="151"/>
    </row>
    <row r="574" ht="15.75" customHeight="1">
      <c r="E574" s="151"/>
      <c r="F574" s="151"/>
    </row>
    <row r="575" ht="15.75" customHeight="1">
      <c r="E575" s="151"/>
      <c r="F575" s="151"/>
    </row>
    <row r="576" ht="15.75" customHeight="1">
      <c r="E576" s="151"/>
      <c r="F576" s="151"/>
    </row>
    <row r="577" ht="15.75" customHeight="1">
      <c r="E577" s="151"/>
      <c r="F577" s="151"/>
    </row>
    <row r="578" ht="15.75" customHeight="1">
      <c r="E578" s="151"/>
      <c r="F578" s="151"/>
    </row>
    <row r="579" ht="15.75" customHeight="1">
      <c r="E579" s="151"/>
      <c r="F579" s="151"/>
    </row>
    <row r="580" ht="15.75" customHeight="1">
      <c r="E580" s="151"/>
      <c r="F580" s="151"/>
    </row>
    <row r="581" ht="15.75" customHeight="1">
      <c r="E581" s="151"/>
      <c r="F581" s="151"/>
    </row>
    <row r="582" ht="15.75" customHeight="1">
      <c r="E582" s="151"/>
      <c r="F582" s="151"/>
    </row>
    <row r="583" ht="15.75" customHeight="1">
      <c r="E583" s="151"/>
      <c r="F583" s="151"/>
    </row>
    <row r="584" ht="15.75" customHeight="1">
      <c r="E584" s="151"/>
      <c r="F584" s="151"/>
    </row>
    <row r="585" ht="15.75" customHeight="1">
      <c r="E585" s="151"/>
      <c r="F585" s="151"/>
    </row>
    <row r="586" ht="15.75" customHeight="1">
      <c r="E586" s="151"/>
      <c r="F586" s="151"/>
    </row>
    <row r="587" ht="15.75" customHeight="1">
      <c r="E587" s="151"/>
      <c r="F587" s="151"/>
    </row>
    <row r="588" ht="15.75" customHeight="1">
      <c r="E588" s="151"/>
      <c r="F588" s="151"/>
    </row>
    <row r="589" ht="15.75" customHeight="1">
      <c r="E589" s="151"/>
      <c r="F589" s="151"/>
    </row>
    <row r="590" ht="15.75" customHeight="1">
      <c r="E590" s="151"/>
      <c r="F590" s="151"/>
    </row>
    <row r="591" ht="15.75" customHeight="1">
      <c r="E591" s="151"/>
      <c r="F591" s="151"/>
    </row>
    <row r="592" ht="15.75" customHeight="1">
      <c r="E592" s="151"/>
      <c r="F592" s="151"/>
    </row>
    <row r="593" ht="15.75" customHeight="1">
      <c r="E593" s="151"/>
      <c r="F593" s="151"/>
    </row>
    <row r="594" ht="15.75" customHeight="1">
      <c r="E594" s="151"/>
      <c r="F594" s="151"/>
    </row>
    <row r="595" ht="15.75" customHeight="1">
      <c r="E595" s="151"/>
      <c r="F595" s="151"/>
    </row>
    <row r="596" ht="15.75" customHeight="1">
      <c r="E596" s="151"/>
      <c r="F596" s="151"/>
    </row>
    <row r="597" ht="15.75" customHeight="1">
      <c r="E597" s="151"/>
      <c r="F597" s="151"/>
    </row>
    <row r="598" ht="15.75" customHeight="1">
      <c r="E598" s="151"/>
      <c r="F598" s="151"/>
    </row>
    <row r="599" ht="15.75" customHeight="1">
      <c r="E599" s="151"/>
      <c r="F599" s="151"/>
    </row>
    <row r="600" ht="15.75" customHeight="1">
      <c r="E600" s="151"/>
      <c r="F600" s="151"/>
    </row>
    <row r="601" ht="15.75" customHeight="1">
      <c r="E601" s="151"/>
      <c r="F601" s="151"/>
    </row>
    <row r="602" ht="15.75" customHeight="1">
      <c r="E602" s="151"/>
      <c r="F602" s="151"/>
    </row>
    <row r="603" ht="15.75" customHeight="1">
      <c r="E603" s="151"/>
      <c r="F603" s="151"/>
    </row>
    <row r="604" ht="15.75" customHeight="1">
      <c r="E604" s="151"/>
      <c r="F604" s="151"/>
    </row>
    <row r="605" ht="15.75" customHeight="1">
      <c r="E605" s="151"/>
      <c r="F605" s="151"/>
    </row>
    <row r="606" ht="15.75" customHeight="1">
      <c r="E606" s="151"/>
      <c r="F606" s="151"/>
    </row>
    <row r="607" ht="15.75" customHeight="1">
      <c r="E607" s="151"/>
      <c r="F607" s="151"/>
    </row>
    <row r="608" ht="15.75" customHeight="1">
      <c r="E608" s="151"/>
      <c r="F608" s="151"/>
    </row>
    <row r="609" ht="15.75" customHeight="1">
      <c r="E609" s="151"/>
      <c r="F609" s="151"/>
    </row>
    <row r="610" ht="15.75" customHeight="1">
      <c r="E610" s="151"/>
      <c r="F610" s="151"/>
    </row>
    <row r="611" ht="15.75" customHeight="1">
      <c r="E611" s="151"/>
      <c r="F611" s="151"/>
    </row>
    <row r="612" ht="15.75" customHeight="1">
      <c r="E612" s="151"/>
      <c r="F612" s="151"/>
    </row>
    <row r="613" ht="15.75" customHeight="1">
      <c r="E613" s="151"/>
      <c r="F613" s="151"/>
    </row>
    <row r="614" ht="15.75" customHeight="1">
      <c r="E614" s="151"/>
      <c r="F614" s="151"/>
    </row>
    <row r="615" ht="15.75" customHeight="1">
      <c r="E615" s="151"/>
      <c r="F615" s="151"/>
    </row>
    <row r="616" ht="15.75" customHeight="1">
      <c r="E616" s="151"/>
      <c r="F616" s="151"/>
    </row>
    <row r="617" ht="15.75" customHeight="1">
      <c r="E617" s="151"/>
      <c r="F617" s="151"/>
    </row>
    <row r="618" ht="15.75" customHeight="1">
      <c r="E618" s="151"/>
      <c r="F618" s="151"/>
    </row>
    <row r="619" ht="15.75" customHeight="1">
      <c r="E619" s="151"/>
      <c r="F619" s="151"/>
    </row>
    <row r="620" ht="15.75" customHeight="1">
      <c r="E620" s="151"/>
      <c r="F620" s="151"/>
    </row>
    <row r="621" ht="15.75" customHeight="1">
      <c r="E621" s="151"/>
      <c r="F621" s="151"/>
    </row>
    <row r="622" ht="15.75" customHeight="1">
      <c r="E622" s="151"/>
      <c r="F622" s="151"/>
    </row>
    <row r="623" ht="15.75" customHeight="1">
      <c r="E623" s="151"/>
      <c r="F623" s="151"/>
    </row>
    <row r="624" ht="15.75" customHeight="1">
      <c r="E624" s="151"/>
      <c r="F624" s="151"/>
    </row>
    <row r="625" ht="15.75" customHeight="1">
      <c r="E625" s="151"/>
      <c r="F625" s="151"/>
    </row>
    <row r="626" ht="15.75" customHeight="1">
      <c r="E626" s="151"/>
      <c r="F626" s="151"/>
    </row>
    <row r="627" ht="15.75" customHeight="1">
      <c r="E627" s="151"/>
      <c r="F627" s="151"/>
    </row>
    <row r="628" ht="15.75" customHeight="1">
      <c r="E628" s="151"/>
      <c r="F628" s="151"/>
    </row>
    <row r="629" ht="15.75" customHeight="1">
      <c r="E629" s="151"/>
      <c r="F629" s="151"/>
    </row>
    <row r="630" ht="15.75" customHeight="1">
      <c r="E630" s="151"/>
      <c r="F630" s="151"/>
    </row>
    <row r="631" ht="15.75" customHeight="1">
      <c r="E631" s="151"/>
      <c r="F631" s="151"/>
    </row>
    <row r="632" ht="15.75" customHeight="1">
      <c r="E632" s="151"/>
      <c r="F632" s="151"/>
    </row>
    <row r="633" ht="15.75" customHeight="1">
      <c r="E633" s="151"/>
      <c r="F633" s="151"/>
    </row>
    <row r="634" ht="15.75" customHeight="1">
      <c r="E634" s="151"/>
      <c r="F634" s="151"/>
    </row>
    <row r="635" ht="15.75" customHeight="1">
      <c r="E635" s="151"/>
      <c r="F635" s="151"/>
    </row>
    <row r="636" ht="15.75" customHeight="1">
      <c r="E636" s="151"/>
      <c r="F636" s="151"/>
    </row>
    <row r="637" ht="15.75" customHeight="1">
      <c r="E637" s="151"/>
      <c r="F637" s="151"/>
    </row>
    <row r="638" ht="15.75" customHeight="1">
      <c r="E638" s="151"/>
      <c r="F638" s="151"/>
    </row>
    <row r="639" ht="15.75" customHeight="1">
      <c r="E639" s="151"/>
      <c r="F639" s="151"/>
    </row>
    <row r="640" ht="15.75" customHeight="1">
      <c r="E640" s="151"/>
      <c r="F640" s="151"/>
    </row>
    <row r="641" ht="15.75" customHeight="1">
      <c r="E641" s="151"/>
      <c r="F641" s="151"/>
    </row>
    <row r="642" ht="15.75" customHeight="1">
      <c r="E642" s="151"/>
      <c r="F642" s="151"/>
    </row>
    <row r="643" ht="15.75" customHeight="1">
      <c r="E643" s="151"/>
      <c r="F643" s="151"/>
    </row>
    <row r="644" ht="15.75" customHeight="1">
      <c r="E644" s="151"/>
      <c r="F644" s="151"/>
    </row>
    <row r="645" ht="15.75" customHeight="1">
      <c r="E645" s="151"/>
      <c r="F645" s="151"/>
    </row>
    <row r="646" ht="15.75" customHeight="1">
      <c r="E646" s="151"/>
      <c r="F646" s="151"/>
    </row>
    <row r="647" ht="15.75" customHeight="1">
      <c r="E647" s="151"/>
      <c r="F647" s="151"/>
    </row>
    <row r="648" ht="15.75" customHeight="1">
      <c r="E648" s="151"/>
      <c r="F648" s="151"/>
    </row>
    <row r="649" ht="15.75" customHeight="1">
      <c r="E649" s="151"/>
      <c r="F649" s="151"/>
    </row>
    <row r="650" ht="15.75" customHeight="1">
      <c r="E650" s="151"/>
      <c r="F650" s="151"/>
    </row>
    <row r="651" ht="15.75" customHeight="1">
      <c r="E651" s="151"/>
      <c r="F651" s="151"/>
    </row>
    <row r="652" ht="15.75" customHeight="1">
      <c r="E652" s="151"/>
      <c r="F652" s="151"/>
    </row>
    <row r="653" ht="15.75" customHeight="1">
      <c r="E653" s="151"/>
      <c r="F653" s="151"/>
    </row>
    <row r="654" ht="15.75" customHeight="1">
      <c r="E654" s="151"/>
      <c r="F654" s="151"/>
    </row>
    <row r="655" ht="15.75" customHeight="1">
      <c r="E655" s="151"/>
      <c r="F655" s="151"/>
    </row>
    <row r="656" ht="15.75" customHeight="1">
      <c r="E656" s="151"/>
      <c r="F656" s="151"/>
    </row>
    <row r="657" ht="15.75" customHeight="1">
      <c r="E657" s="151"/>
      <c r="F657" s="151"/>
    </row>
    <row r="658" ht="15.75" customHeight="1">
      <c r="E658" s="151"/>
      <c r="F658" s="151"/>
    </row>
    <row r="659" ht="15.75" customHeight="1">
      <c r="E659" s="151"/>
      <c r="F659" s="151"/>
    </row>
    <row r="660" ht="15.75" customHeight="1">
      <c r="E660" s="151"/>
      <c r="F660" s="151"/>
    </row>
    <row r="661" ht="15.75" customHeight="1">
      <c r="E661" s="151"/>
      <c r="F661" s="151"/>
    </row>
    <row r="662" ht="15.75" customHeight="1">
      <c r="E662" s="151"/>
      <c r="F662" s="151"/>
    </row>
    <row r="663" ht="15.75" customHeight="1">
      <c r="E663" s="151"/>
      <c r="F663" s="151"/>
    </row>
    <row r="664" ht="15.75" customHeight="1">
      <c r="E664" s="151"/>
      <c r="F664" s="151"/>
    </row>
    <row r="665" ht="15.75" customHeight="1">
      <c r="E665" s="151"/>
      <c r="F665" s="151"/>
    </row>
    <row r="666" ht="15.75" customHeight="1">
      <c r="E666" s="151"/>
      <c r="F666" s="151"/>
    </row>
    <row r="667" ht="15.75" customHeight="1">
      <c r="E667" s="151"/>
      <c r="F667" s="151"/>
    </row>
    <row r="668" ht="15.75" customHeight="1">
      <c r="E668" s="151"/>
      <c r="F668" s="151"/>
    </row>
    <row r="669" ht="15.75" customHeight="1">
      <c r="E669" s="151"/>
      <c r="F669" s="151"/>
    </row>
    <row r="670" ht="15.75" customHeight="1">
      <c r="E670" s="151"/>
      <c r="F670" s="151"/>
    </row>
    <row r="671" ht="15.75" customHeight="1">
      <c r="E671" s="151"/>
      <c r="F671" s="151"/>
    </row>
    <row r="672" ht="15.75" customHeight="1">
      <c r="E672" s="151"/>
      <c r="F672" s="151"/>
    </row>
    <row r="673" ht="15.75" customHeight="1">
      <c r="E673" s="151"/>
      <c r="F673" s="151"/>
    </row>
    <row r="674" ht="15.75" customHeight="1">
      <c r="E674" s="151"/>
      <c r="F674" s="151"/>
    </row>
    <row r="675" ht="15.75" customHeight="1">
      <c r="E675" s="151"/>
      <c r="F675" s="151"/>
    </row>
    <row r="676" ht="15.75" customHeight="1">
      <c r="E676" s="151"/>
      <c r="F676" s="151"/>
    </row>
    <row r="677" ht="15.75" customHeight="1">
      <c r="E677" s="151"/>
      <c r="F677" s="151"/>
    </row>
    <row r="678" ht="15.75" customHeight="1">
      <c r="E678" s="151"/>
      <c r="F678" s="151"/>
    </row>
    <row r="679" ht="15.75" customHeight="1">
      <c r="E679" s="151"/>
      <c r="F679" s="151"/>
    </row>
    <row r="680" ht="15.75" customHeight="1">
      <c r="E680" s="151"/>
      <c r="F680" s="151"/>
    </row>
    <row r="681" ht="15.75" customHeight="1">
      <c r="E681" s="151"/>
      <c r="F681" s="151"/>
    </row>
    <row r="682" ht="15.75" customHeight="1">
      <c r="E682" s="151"/>
      <c r="F682" s="151"/>
    </row>
    <row r="683" ht="15.75" customHeight="1">
      <c r="E683" s="151"/>
      <c r="F683" s="151"/>
    </row>
    <row r="684" ht="15.75" customHeight="1">
      <c r="E684" s="151"/>
      <c r="F684" s="151"/>
    </row>
    <row r="685" ht="15.75" customHeight="1">
      <c r="E685" s="151"/>
      <c r="F685" s="151"/>
    </row>
    <row r="686" ht="15.75" customHeight="1">
      <c r="E686" s="151"/>
      <c r="F686" s="151"/>
    </row>
    <row r="687" ht="15.75" customHeight="1">
      <c r="E687" s="151"/>
      <c r="F687" s="151"/>
    </row>
    <row r="688" ht="15.75" customHeight="1">
      <c r="E688" s="151"/>
      <c r="F688" s="151"/>
    </row>
    <row r="689" ht="15.75" customHeight="1">
      <c r="E689" s="151"/>
      <c r="F689" s="151"/>
    </row>
    <row r="690" ht="15.75" customHeight="1">
      <c r="E690" s="151"/>
      <c r="F690" s="151"/>
    </row>
    <row r="691" ht="15.75" customHeight="1">
      <c r="E691" s="151"/>
      <c r="F691" s="151"/>
    </row>
    <row r="692" ht="15.75" customHeight="1">
      <c r="E692" s="151"/>
      <c r="F692" s="151"/>
    </row>
    <row r="693" ht="15.75" customHeight="1">
      <c r="E693" s="151"/>
      <c r="F693" s="151"/>
    </row>
    <row r="694" ht="15.75" customHeight="1">
      <c r="E694" s="151"/>
      <c r="F694" s="151"/>
    </row>
    <row r="695" ht="15.75" customHeight="1">
      <c r="E695" s="151"/>
      <c r="F695" s="151"/>
    </row>
    <row r="696" ht="15.75" customHeight="1">
      <c r="E696" s="151"/>
      <c r="F696" s="151"/>
    </row>
    <row r="697" ht="15.75" customHeight="1">
      <c r="E697" s="151"/>
      <c r="F697" s="151"/>
    </row>
    <row r="698" ht="15.75" customHeight="1">
      <c r="E698" s="151"/>
      <c r="F698" s="151"/>
    </row>
    <row r="699" ht="15.75" customHeight="1">
      <c r="E699" s="151"/>
      <c r="F699" s="151"/>
    </row>
    <row r="700" ht="15.75" customHeight="1">
      <c r="E700" s="151"/>
      <c r="F700" s="151"/>
    </row>
    <row r="701" ht="15.75" customHeight="1">
      <c r="E701" s="151"/>
      <c r="F701" s="151"/>
    </row>
    <row r="702" ht="15.75" customHeight="1">
      <c r="E702" s="151"/>
      <c r="F702" s="151"/>
    </row>
    <row r="703" ht="15.75" customHeight="1">
      <c r="E703" s="151"/>
      <c r="F703" s="151"/>
    </row>
    <row r="704" ht="15.75" customHeight="1">
      <c r="E704" s="151"/>
      <c r="F704" s="151"/>
    </row>
    <row r="705" ht="15.75" customHeight="1">
      <c r="E705" s="151"/>
      <c r="F705" s="151"/>
    </row>
    <row r="706" ht="15.75" customHeight="1">
      <c r="E706" s="151"/>
      <c r="F706" s="151"/>
    </row>
    <row r="707" ht="15.75" customHeight="1">
      <c r="E707" s="151"/>
      <c r="F707" s="151"/>
    </row>
    <row r="708" ht="15.75" customHeight="1">
      <c r="E708" s="151"/>
      <c r="F708" s="151"/>
    </row>
    <row r="709" ht="15.75" customHeight="1">
      <c r="E709" s="151"/>
      <c r="F709" s="151"/>
    </row>
    <row r="710" ht="15.75" customHeight="1">
      <c r="E710" s="151"/>
      <c r="F710" s="151"/>
    </row>
    <row r="711" ht="15.75" customHeight="1">
      <c r="E711" s="151"/>
      <c r="F711" s="151"/>
    </row>
    <row r="712" ht="15.75" customHeight="1">
      <c r="E712" s="151"/>
      <c r="F712" s="151"/>
    </row>
    <row r="713" ht="15.75" customHeight="1">
      <c r="E713" s="151"/>
      <c r="F713" s="151"/>
    </row>
    <row r="714" ht="15.75" customHeight="1">
      <c r="E714" s="151"/>
      <c r="F714" s="151"/>
    </row>
    <row r="715" ht="15.75" customHeight="1">
      <c r="E715" s="151"/>
      <c r="F715" s="151"/>
    </row>
    <row r="716" ht="15.75" customHeight="1">
      <c r="E716" s="151"/>
      <c r="F716" s="151"/>
    </row>
    <row r="717" ht="15.75" customHeight="1">
      <c r="E717" s="151"/>
      <c r="F717" s="151"/>
    </row>
    <row r="718" ht="15.75" customHeight="1">
      <c r="E718" s="151"/>
      <c r="F718" s="151"/>
    </row>
    <row r="719" ht="15.75" customHeight="1">
      <c r="E719" s="151"/>
      <c r="F719" s="151"/>
    </row>
    <row r="720" ht="15.75" customHeight="1">
      <c r="E720" s="151"/>
      <c r="F720" s="151"/>
    </row>
    <row r="721" ht="15.75" customHeight="1">
      <c r="E721" s="151"/>
      <c r="F721" s="151"/>
    </row>
    <row r="722" ht="15.75" customHeight="1">
      <c r="E722" s="151"/>
      <c r="F722" s="151"/>
    </row>
    <row r="723" ht="15.75" customHeight="1">
      <c r="E723" s="151"/>
      <c r="F723" s="151"/>
    </row>
    <row r="724" ht="15.75" customHeight="1">
      <c r="E724" s="151"/>
      <c r="F724" s="151"/>
    </row>
    <row r="725" ht="15.75" customHeight="1">
      <c r="E725" s="151"/>
      <c r="F725" s="151"/>
    </row>
    <row r="726" ht="15.75" customHeight="1">
      <c r="E726" s="151"/>
      <c r="F726" s="151"/>
    </row>
    <row r="727" ht="15.75" customHeight="1">
      <c r="E727" s="151"/>
      <c r="F727" s="151"/>
    </row>
    <row r="728" ht="15.75" customHeight="1">
      <c r="E728" s="151"/>
      <c r="F728" s="151"/>
    </row>
    <row r="729" ht="15.75" customHeight="1">
      <c r="E729" s="151"/>
      <c r="F729" s="151"/>
    </row>
    <row r="730" ht="15.75" customHeight="1">
      <c r="E730" s="151"/>
      <c r="F730" s="151"/>
    </row>
    <row r="731" ht="15.75" customHeight="1">
      <c r="E731" s="151"/>
      <c r="F731" s="151"/>
    </row>
    <row r="732" ht="15.75" customHeight="1">
      <c r="E732" s="151"/>
      <c r="F732" s="151"/>
    </row>
    <row r="733" ht="15.75" customHeight="1">
      <c r="E733" s="151"/>
      <c r="F733" s="151"/>
    </row>
    <row r="734" ht="15.75" customHeight="1">
      <c r="E734" s="151"/>
      <c r="F734" s="151"/>
    </row>
    <row r="735" ht="15.75" customHeight="1">
      <c r="E735" s="151"/>
      <c r="F735" s="151"/>
    </row>
    <row r="736" ht="15.75" customHeight="1">
      <c r="E736" s="151"/>
      <c r="F736" s="151"/>
    </row>
    <row r="737" ht="15.75" customHeight="1">
      <c r="E737" s="151"/>
      <c r="F737" s="151"/>
    </row>
    <row r="738" ht="15.75" customHeight="1">
      <c r="E738" s="151"/>
      <c r="F738" s="151"/>
    </row>
    <row r="739" ht="15.75" customHeight="1">
      <c r="E739" s="151"/>
      <c r="F739" s="151"/>
    </row>
    <row r="740" ht="15.75" customHeight="1">
      <c r="E740" s="151"/>
      <c r="F740" s="151"/>
    </row>
    <row r="741" ht="15.75" customHeight="1">
      <c r="E741" s="151"/>
      <c r="F741" s="151"/>
    </row>
    <row r="742" ht="15.75" customHeight="1">
      <c r="E742" s="151"/>
      <c r="F742" s="151"/>
    </row>
    <row r="743" ht="15.75" customHeight="1">
      <c r="E743" s="151"/>
      <c r="F743" s="151"/>
    </row>
    <row r="744" ht="15.75" customHeight="1">
      <c r="E744" s="151"/>
      <c r="F744" s="151"/>
    </row>
    <row r="745" ht="15.75" customHeight="1">
      <c r="E745" s="151"/>
      <c r="F745" s="151"/>
    </row>
    <row r="746" ht="15.75" customHeight="1">
      <c r="E746" s="151"/>
      <c r="F746" s="151"/>
    </row>
    <row r="747" ht="15.75" customHeight="1">
      <c r="E747" s="151"/>
      <c r="F747" s="151"/>
    </row>
    <row r="748" ht="15.75" customHeight="1">
      <c r="E748" s="151"/>
      <c r="F748" s="151"/>
    </row>
    <row r="749" ht="15.75" customHeight="1">
      <c r="E749" s="151"/>
      <c r="F749" s="151"/>
    </row>
    <row r="750" ht="15.75" customHeight="1">
      <c r="E750" s="151"/>
      <c r="F750" s="151"/>
    </row>
    <row r="751" ht="15.75" customHeight="1">
      <c r="E751" s="151"/>
      <c r="F751" s="151"/>
    </row>
    <row r="752" ht="15.75" customHeight="1">
      <c r="E752" s="151"/>
      <c r="F752" s="151"/>
    </row>
    <row r="753" ht="15.75" customHeight="1">
      <c r="E753" s="151"/>
      <c r="F753" s="151"/>
    </row>
    <row r="754" ht="15.75" customHeight="1">
      <c r="E754" s="151"/>
      <c r="F754" s="151"/>
    </row>
    <row r="755" ht="15.75" customHeight="1">
      <c r="E755" s="151"/>
      <c r="F755" s="151"/>
    </row>
    <row r="756" ht="15.75" customHeight="1">
      <c r="E756" s="151"/>
      <c r="F756" s="151"/>
    </row>
    <row r="757" ht="15.75" customHeight="1">
      <c r="E757" s="151"/>
      <c r="F757" s="151"/>
    </row>
    <row r="758" ht="15.75" customHeight="1">
      <c r="E758" s="151"/>
      <c r="F758" s="151"/>
    </row>
    <row r="759" ht="15.75" customHeight="1">
      <c r="E759" s="151"/>
      <c r="F759" s="151"/>
    </row>
    <row r="760" ht="15.75" customHeight="1">
      <c r="E760" s="151"/>
      <c r="F760" s="151"/>
    </row>
    <row r="761" ht="15.75" customHeight="1">
      <c r="E761" s="151"/>
      <c r="F761" s="151"/>
    </row>
    <row r="762" ht="15.75" customHeight="1">
      <c r="E762" s="151"/>
      <c r="F762" s="151"/>
    </row>
    <row r="763" ht="15.75" customHeight="1">
      <c r="E763" s="151"/>
      <c r="F763" s="151"/>
    </row>
    <row r="764" ht="15.75" customHeight="1">
      <c r="E764" s="151"/>
      <c r="F764" s="151"/>
    </row>
    <row r="765" ht="15.75" customHeight="1">
      <c r="E765" s="151"/>
      <c r="F765" s="151"/>
    </row>
    <row r="766" ht="15.75" customHeight="1">
      <c r="E766" s="151"/>
      <c r="F766" s="151"/>
    </row>
    <row r="767" ht="15.75" customHeight="1">
      <c r="E767" s="151"/>
      <c r="F767" s="151"/>
    </row>
    <row r="768" ht="15.75" customHeight="1">
      <c r="E768" s="151"/>
      <c r="F768" s="151"/>
    </row>
    <row r="769" ht="15.75" customHeight="1">
      <c r="E769" s="151"/>
      <c r="F769" s="151"/>
    </row>
    <row r="770" ht="15.75" customHeight="1">
      <c r="E770" s="151"/>
      <c r="F770" s="151"/>
    </row>
    <row r="771" ht="15.75" customHeight="1">
      <c r="E771" s="151"/>
      <c r="F771" s="151"/>
    </row>
    <row r="772" ht="15.75" customHeight="1">
      <c r="E772" s="151"/>
      <c r="F772" s="151"/>
    </row>
    <row r="773" ht="15.75" customHeight="1">
      <c r="E773" s="151"/>
      <c r="F773" s="151"/>
    </row>
    <row r="774" ht="15.75" customHeight="1">
      <c r="E774" s="151"/>
      <c r="F774" s="151"/>
    </row>
    <row r="775" ht="15.75" customHeight="1">
      <c r="E775" s="151"/>
      <c r="F775" s="151"/>
    </row>
    <row r="776" ht="15.75" customHeight="1">
      <c r="E776" s="151"/>
      <c r="F776" s="151"/>
    </row>
    <row r="777" ht="15.75" customHeight="1">
      <c r="E777" s="151"/>
      <c r="F777" s="151"/>
    </row>
    <row r="778" ht="15.75" customHeight="1">
      <c r="E778" s="151"/>
      <c r="F778" s="151"/>
    </row>
    <row r="779" ht="15.75" customHeight="1">
      <c r="E779" s="151"/>
      <c r="F779" s="151"/>
    </row>
    <row r="780" ht="15.75" customHeight="1">
      <c r="E780" s="151"/>
      <c r="F780" s="151"/>
    </row>
    <row r="781" ht="15.75" customHeight="1">
      <c r="E781" s="151"/>
      <c r="F781" s="151"/>
    </row>
    <row r="782" ht="15.75" customHeight="1">
      <c r="E782" s="151"/>
      <c r="F782" s="151"/>
    </row>
    <row r="783" ht="15.75" customHeight="1">
      <c r="E783" s="151"/>
      <c r="F783" s="151"/>
    </row>
    <row r="784" ht="15.75" customHeight="1">
      <c r="E784" s="151"/>
      <c r="F784" s="151"/>
    </row>
    <row r="785" ht="15.75" customHeight="1">
      <c r="E785" s="151"/>
      <c r="F785" s="151"/>
    </row>
    <row r="786" ht="15.75" customHeight="1">
      <c r="E786" s="151"/>
      <c r="F786" s="151"/>
    </row>
    <row r="787" ht="15.75" customHeight="1">
      <c r="E787" s="151"/>
      <c r="F787" s="151"/>
    </row>
    <row r="788" ht="15.75" customHeight="1">
      <c r="E788" s="151"/>
      <c r="F788" s="151"/>
    </row>
    <row r="789" ht="15.75" customHeight="1">
      <c r="E789" s="151"/>
      <c r="F789" s="151"/>
    </row>
    <row r="790" ht="15.75" customHeight="1">
      <c r="E790" s="151"/>
      <c r="F790" s="151"/>
    </row>
    <row r="791" ht="15.75" customHeight="1">
      <c r="E791" s="151"/>
      <c r="F791" s="151"/>
    </row>
    <row r="792" ht="15.75" customHeight="1">
      <c r="E792" s="151"/>
      <c r="F792" s="151"/>
    </row>
    <row r="793" ht="15.75" customHeight="1">
      <c r="E793" s="151"/>
      <c r="F793" s="151"/>
    </row>
    <row r="794" ht="15.75" customHeight="1">
      <c r="E794" s="151"/>
      <c r="F794" s="151"/>
    </row>
    <row r="795" ht="15.75" customHeight="1">
      <c r="E795" s="151"/>
      <c r="F795" s="151"/>
    </row>
    <row r="796" ht="15.75" customHeight="1">
      <c r="E796" s="151"/>
      <c r="F796" s="151"/>
    </row>
    <row r="797" ht="15.75" customHeight="1">
      <c r="E797" s="151"/>
      <c r="F797" s="151"/>
    </row>
    <row r="798" ht="15.75" customHeight="1">
      <c r="E798" s="151"/>
      <c r="F798" s="151"/>
    </row>
    <row r="799" ht="15.75" customHeight="1">
      <c r="E799" s="151"/>
      <c r="F799" s="151"/>
    </row>
    <row r="800" ht="15.75" customHeight="1">
      <c r="E800" s="151"/>
      <c r="F800" s="151"/>
    </row>
    <row r="801" ht="15.75" customHeight="1">
      <c r="E801" s="151"/>
      <c r="F801" s="151"/>
    </row>
    <row r="802" ht="15.75" customHeight="1">
      <c r="E802" s="151"/>
      <c r="F802" s="151"/>
    </row>
    <row r="803" ht="15.75" customHeight="1">
      <c r="E803" s="151"/>
      <c r="F803" s="151"/>
    </row>
    <row r="804" ht="15.75" customHeight="1">
      <c r="E804" s="151"/>
      <c r="F804" s="151"/>
    </row>
    <row r="805" ht="15.75" customHeight="1">
      <c r="E805" s="151"/>
      <c r="F805" s="151"/>
    </row>
    <row r="806" ht="15.75" customHeight="1">
      <c r="E806" s="151"/>
      <c r="F806" s="151"/>
    </row>
    <row r="807" ht="15.75" customHeight="1">
      <c r="E807" s="151"/>
      <c r="F807" s="151"/>
    </row>
    <row r="808" ht="15.75" customHeight="1">
      <c r="E808" s="151"/>
      <c r="F808" s="151"/>
    </row>
    <row r="809" ht="15.75" customHeight="1">
      <c r="E809" s="151"/>
      <c r="F809" s="151"/>
    </row>
    <row r="810" ht="15.75" customHeight="1">
      <c r="E810" s="151"/>
      <c r="F810" s="151"/>
    </row>
    <row r="811" ht="15.75" customHeight="1">
      <c r="E811" s="151"/>
      <c r="F811" s="151"/>
    </row>
    <row r="812" ht="15.75" customHeight="1">
      <c r="E812" s="151"/>
      <c r="F812" s="151"/>
    </row>
    <row r="813" ht="15.75" customHeight="1">
      <c r="E813" s="151"/>
      <c r="F813" s="151"/>
    </row>
    <row r="814" ht="15.75" customHeight="1">
      <c r="E814" s="151"/>
      <c r="F814" s="151"/>
    </row>
    <row r="815" ht="15.75" customHeight="1">
      <c r="E815" s="151"/>
      <c r="F815" s="151"/>
    </row>
    <row r="816" ht="15.75" customHeight="1">
      <c r="E816" s="151"/>
      <c r="F816" s="151"/>
    </row>
    <row r="817" ht="15.75" customHeight="1">
      <c r="E817" s="151"/>
      <c r="F817" s="151"/>
    </row>
    <row r="818" ht="15.75" customHeight="1">
      <c r="E818" s="151"/>
      <c r="F818" s="151"/>
    </row>
    <row r="819" ht="15.75" customHeight="1">
      <c r="E819" s="151"/>
      <c r="F819" s="151"/>
    </row>
    <row r="820" ht="15.75" customHeight="1">
      <c r="E820" s="151"/>
      <c r="F820" s="151"/>
    </row>
    <row r="821" ht="15.75" customHeight="1">
      <c r="E821" s="151"/>
      <c r="F821" s="151"/>
    </row>
    <row r="822" ht="15.75" customHeight="1">
      <c r="E822" s="151"/>
      <c r="F822" s="151"/>
    </row>
    <row r="823" ht="15.75" customHeight="1">
      <c r="E823" s="151"/>
      <c r="F823" s="151"/>
    </row>
    <row r="824" ht="15.75" customHeight="1">
      <c r="E824" s="151"/>
      <c r="F824" s="151"/>
    </row>
    <row r="825" ht="15.75" customHeight="1">
      <c r="E825" s="151"/>
      <c r="F825" s="151"/>
    </row>
    <row r="826" ht="15.75" customHeight="1">
      <c r="E826" s="151"/>
      <c r="F826" s="151"/>
    </row>
    <row r="827" ht="15.75" customHeight="1">
      <c r="E827" s="151"/>
      <c r="F827" s="151"/>
    </row>
    <row r="828" ht="15.75" customHeight="1">
      <c r="E828" s="151"/>
      <c r="F828" s="151"/>
    </row>
    <row r="829" ht="15.75" customHeight="1">
      <c r="E829" s="151"/>
      <c r="F829" s="151"/>
    </row>
    <row r="830" ht="15.75" customHeight="1">
      <c r="E830" s="151"/>
      <c r="F830" s="151"/>
    </row>
    <row r="831" ht="15.75" customHeight="1">
      <c r="E831" s="151"/>
      <c r="F831" s="151"/>
    </row>
    <row r="832" ht="15.75" customHeight="1">
      <c r="E832" s="151"/>
      <c r="F832" s="151"/>
    </row>
    <row r="833" ht="15.75" customHeight="1">
      <c r="E833" s="151"/>
      <c r="F833" s="151"/>
    </row>
    <row r="834" ht="15.75" customHeight="1">
      <c r="E834" s="151"/>
      <c r="F834" s="151"/>
    </row>
    <row r="835" ht="15.75" customHeight="1">
      <c r="E835" s="151"/>
      <c r="F835" s="151"/>
    </row>
    <row r="836" ht="15.75" customHeight="1">
      <c r="E836" s="151"/>
      <c r="F836" s="151"/>
    </row>
    <row r="837" ht="15.75" customHeight="1">
      <c r="E837" s="151"/>
      <c r="F837" s="151"/>
    </row>
    <row r="838" ht="15.75" customHeight="1">
      <c r="E838" s="151"/>
      <c r="F838" s="151"/>
    </row>
    <row r="839" ht="15.75" customHeight="1">
      <c r="E839" s="151"/>
      <c r="F839" s="151"/>
    </row>
    <row r="840" ht="15.75" customHeight="1">
      <c r="E840" s="151"/>
      <c r="F840" s="151"/>
    </row>
    <row r="841" ht="15.75" customHeight="1">
      <c r="E841" s="151"/>
      <c r="F841" s="151"/>
    </row>
    <row r="842" ht="15.75" customHeight="1">
      <c r="E842" s="151"/>
      <c r="F842" s="151"/>
    </row>
    <row r="843" ht="15.75" customHeight="1">
      <c r="E843" s="151"/>
      <c r="F843" s="151"/>
    </row>
    <row r="844" ht="15.75" customHeight="1">
      <c r="E844" s="151"/>
      <c r="F844" s="151"/>
    </row>
    <row r="845" ht="15.75" customHeight="1">
      <c r="E845" s="151"/>
      <c r="F845" s="151"/>
    </row>
    <row r="846" ht="15.75" customHeight="1">
      <c r="E846" s="151"/>
      <c r="F846" s="151"/>
    </row>
    <row r="847" ht="15.75" customHeight="1">
      <c r="E847" s="151"/>
      <c r="F847" s="151"/>
    </row>
    <row r="848" ht="15.75" customHeight="1">
      <c r="E848" s="151"/>
      <c r="F848" s="151"/>
    </row>
    <row r="849" ht="15.75" customHeight="1">
      <c r="E849" s="151"/>
      <c r="F849" s="151"/>
    </row>
    <row r="850" ht="15.75" customHeight="1">
      <c r="E850" s="151"/>
      <c r="F850" s="151"/>
    </row>
    <row r="851" ht="15.75" customHeight="1">
      <c r="E851" s="151"/>
      <c r="F851" s="151"/>
    </row>
    <row r="852" ht="15.75" customHeight="1">
      <c r="E852" s="151"/>
      <c r="F852" s="151"/>
    </row>
    <row r="853" ht="15.75" customHeight="1">
      <c r="E853" s="151"/>
      <c r="F853" s="151"/>
    </row>
    <row r="854" ht="15.75" customHeight="1">
      <c r="E854" s="151"/>
      <c r="F854" s="151"/>
    </row>
    <row r="855" ht="15.75" customHeight="1">
      <c r="E855" s="151"/>
      <c r="F855" s="151"/>
    </row>
    <row r="856" ht="15.75" customHeight="1">
      <c r="E856" s="151"/>
      <c r="F856" s="151"/>
    </row>
    <row r="857" ht="15.75" customHeight="1">
      <c r="E857" s="151"/>
      <c r="F857" s="151"/>
    </row>
    <row r="858" ht="15.75" customHeight="1">
      <c r="E858" s="151"/>
      <c r="F858" s="151"/>
    </row>
    <row r="859" ht="15.75" customHeight="1">
      <c r="E859" s="151"/>
      <c r="F859" s="151"/>
    </row>
    <row r="860" ht="15.75" customHeight="1">
      <c r="E860" s="151"/>
      <c r="F860" s="151"/>
    </row>
    <row r="861" ht="15.75" customHeight="1">
      <c r="E861" s="151"/>
      <c r="F861" s="151"/>
    </row>
    <row r="862" ht="15.75" customHeight="1">
      <c r="E862" s="151"/>
      <c r="F862" s="151"/>
    </row>
    <row r="863" ht="15.75" customHeight="1">
      <c r="E863" s="151"/>
      <c r="F863" s="151"/>
    </row>
    <row r="864" ht="15.75" customHeight="1">
      <c r="E864" s="151"/>
      <c r="F864" s="151"/>
    </row>
    <row r="865" ht="15.75" customHeight="1">
      <c r="E865" s="151"/>
      <c r="F865" s="151"/>
    </row>
    <row r="866" ht="15.75" customHeight="1">
      <c r="E866" s="151"/>
      <c r="F866" s="151"/>
    </row>
    <row r="867" ht="15.75" customHeight="1">
      <c r="E867" s="151"/>
      <c r="F867" s="151"/>
    </row>
    <row r="868" ht="15.75" customHeight="1">
      <c r="E868" s="151"/>
      <c r="F868" s="151"/>
    </row>
    <row r="869" ht="15.75" customHeight="1">
      <c r="E869" s="151"/>
      <c r="F869" s="151"/>
    </row>
    <row r="870" ht="15.75" customHeight="1">
      <c r="E870" s="151"/>
      <c r="F870" s="151"/>
    </row>
    <row r="871" ht="15.75" customHeight="1">
      <c r="E871" s="151"/>
      <c r="F871" s="151"/>
    </row>
    <row r="872" ht="15.75" customHeight="1">
      <c r="E872" s="151"/>
      <c r="F872" s="151"/>
    </row>
    <row r="873" ht="15.75" customHeight="1">
      <c r="E873" s="151"/>
      <c r="F873" s="151"/>
    </row>
    <row r="874" ht="15.75" customHeight="1">
      <c r="E874" s="151"/>
      <c r="F874" s="151"/>
    </row>
    <row r="875" ht="15.75" customHeight="1">
      <c r="E875" s="151"/>
      <c r="F875" s="151"/>
    </row>
    <row r="876" ht="15.75" customHeight="1">
      <c r="E876" s="151"/>
      <c r="F876" s="151"/>
    </row>
    <row r="877" ht="15.75" customHeight="1">
      <c r="E877" s="151"/>
      <c r="F877" s="151"/>
    </row>
    <row r="878" ht="15.75" customHeight="1">
      <c r="E878" s="151"/>
      <c r="F878" s="151"/>
    </row>
    <row r="879" ht="15.75" customHeight="1">
      <c r="E879" s="151"/>
      <c r="F879" s="151"/>
    </row>
    <row r="880" ht="15.75" customHeight="1">
      <c r="E880" s="151"/>
      <c r="F880" s="151"/>
    </row>
    <row r="881" ht="15.75" customHeight="1">
      <c r="E881" s="151"/>
      <c r="F881" s="151"/>
    </row>
    <row r="882" ht="15.75" customHeight="1">
      <c r="E882" s="151"/>
      <c r="F882" s="151"/>
    </row>
    <row r="883" ht="15.75" customHeight="1">
      <c r="E883" s="151"/>
      <c r="F883" s="151"/>
    </row>
    <row r="884" ht="15.75" customHeight="1">
      <c r="E884" s="151"/>
      <c r="F884" s="151"/>
    </row>
    <row r="885" ht="15.75" customHeight="1">
      <c r="E885" s="151"/>
      <c r="F885" s="151"/>
    </row>
    <row r="886" ht="15.75" customHeight="1">
      <c r="E886" s="151"/>
      <c r="F886" s="151"/>
    </row>
    <row r="887" ht="15.75" customHeight="1">
      <c r="E887" s="151"/>
      <c r="F887" s="151"/>
    </row>
    <row r="888" ht="15.75" customHeight="1">
      <c r="E888" s="151"/>
      <c r="F888" s="151"/>
    </row>
    <row r="889" ht="15.75" customHeight="1">
      <c r="E889" s="151"/>
      <c r="F889" s="151"/>
    </row>
    <row r="890" ht="15.75" customHeight="1">
      <c r="E890" s="151"/>
      <c r="F890" s="151"/>
    </row>
    <row r="891" ht="15.75" customHeight="1">
      <c r="E891" s="151"/>
      <c r="F891" s="151"/>
    </row>
    <row r="892" ht="15.75" customHeight="1">
      <c r="E892" s="151"/>
      <c r="F892" s="151"/>
    </row>
    <row r="893" ht="15.75" customHeight="1">
      <c r="E893" s="151"/>
      <c r="F893" s="151"/>
    </row>
    <row r="894" ht="15.75" customHeight="1">
      <c r="E894" s="151"/>
      <c r="F894" s="151"/>
    </row>
    <row r="895" ht="15.75" customHeight="1">
      <c r="E895" s="151"/>
      <c r="F895" s="151"/>
    </row>
    <row r="896" ht="15.75" customHeight="1">
      <c r="E896" s="151"/>
      <c r="F896" s="151"/>
    </row>
    <row r="897" ht="15.75" customHeight="1">
      <c r="E897" s="151"/>
      <c r="F897" s="151"/>
    </row>
    <row r="898" ht="15.75" customHeight="1">
      <c r="E898" s="151"/>
      <c r="F898" s="151"/>
    </row>
    <row r="899" ht="15.75" customHeight="1">
      <c r="E899" s="151"/>
      <c r="F899" s="151"/>
    </row>
    <row r="900" ht="15.75" customHeight="1">
      <c r="E900" s="151"/>
      <c r="F900" s="151"/>
    </row>
    <row r="901" ht="15.75" customHeight="1">
      <c r="E901" s="151"/>
      <c r="F901" s="151"/>
    </row>
    <row r="902" ht="15.75" customHeight="1">
      <c r="E902" s="151"/>
      <c r="F902" s="151"/>
    </row>
    <row r="903" ht="15.75" customHeight="1">
      <c r="E903" s="151"/>
      <c r="F903" s="151"/>
    </row>
    <row r="904" ht="15.75" customHeight="1">
      <c r="E904" s="151"/>
      <c r="F904" s="151"/>
    </row>
    <row r="905" ht="15.75" customHeight="1">
      <c r="E905" s="151"/>
      <c r="F905" s="151"/>
    </row>
    <row r="906" ht="15.75" customHeight="1">
      <c r="E906" s="151"/>
      <c r="F906" s="151"/>
    </row>
    <row r="907" ht="15.75" customHeight="1">
      <c r="E907" s="151"/>
      <c r="F907" s="151"/>
    </row>
    <row r="908" ht="15.75" customHeight="1">
      <c r="E908" s="151"/>
      <c r="F908" s="151"/>
    </row>
    <row r="909" ht="15.75" customHeight="1">
      <c r="E909" s="151"/>
      <c r="F909" s="151"/>
    </row>
    <row r="910" ht="15.75" customHeight="1">
      <c r="E910" s="151"/>
      <c r="F910" s="151"/>
    </row>
    <row r="911" ht="15.75" customHeight="1">
      <c r="E911" s="151"/>
      <c r="F911" s="151"/>
    </row>
    <row r="912" ht="15.75" customHeight="1">
      <c r="E912" s="151"/>
      <c r="F912" s="151"/>
    </row>
    <row r="913" ht="15.75" customHeight="1">
      <c r="E913" s="151"/>
      <c r="F913" s="151"/>
    </row>
    <row r="914" ht="15.75" customHeight="1">
      <c r="E914" s="151"/>
      <c r="F914" s="151"/>
    </row>
    <row r="915" ht="15.75" customHeight="1">
      <c r="E915" s="151"/>
      <c r="F915" s="151"/>
    </row>
    <row r="916" ht="15.75" customHeight="1">
      <c r="E916" s="151"/>
      <c r="F916" s="151"/>
    </row>
    <row r="917" ht="15.75" customHeight="1">
      <c r="E917" s="151"/>
      <c r="F917" s="151"/>
    </row>
    <row r="918" ht="15.75" customHeight="1">
      <c r="E918" s="151"/>
      <c r="F918" s="151"/>
    </row>
    <row r="919" ht="15.75" customHeight="1">
      <c r="E919" s="151"/>
      <c r="F919" s="151"/>
    </row>
    <row r="920" ht="15.75" customHeight="1">
      <c r="E920" s="151"/>
      <c r="F920" s="151"/>
    </row>
    <row r="921" ht="15.75" customHeight="1">
      <c r="E921" s="151"/>
      <c r="F921" s="151"/>
    </row>
    <row r="922" ht="15.75" customHeight="1">
      <c r="E922" s="151"/>
      <c r="F922" s="151"/>
    </row>
    <row r="923" ht="15.75" customHeight="1">
      <c r="E923" s="151"/>
      <c r="F923" s="151"/>
    </row>
    <row r="924" ht="15.75" customHeight="1">
      <c r="E924" s="151"/>
      <c r="F924" s="151"/>
    </row>
    <row r="925" ht="15.75" customHeight="1">
      <c r="E925" s="151"/>
      <c r="F925" s="151"/>
    </row>
    <row r="926" ht="15.75" customHeight="1">
      <c r="E926" s="151"/>
      <c r="F926" s="151"/>
    </row>
    <row r="927" ht="15.75" customHeight="1">
      <c r="E927" s="151"/>
      <c r="F927" s="151"/>
    </row>
    <row r="928" ht="15.75" customHeight="1">
      <c r="E928" s="151"/>
      <c r="F928" s="151"/>
    </row>
  </sheetData>
  <autoFilter ref="$A$7:$N$202">
    <filterColumn colId="6">
      <filters>
        <filter val="COLCHÃO INFLAVEL (URSO)"/>
      </filters>
    </filterColumn>
  </autoFilter>
  <mergeCells count="3">
    <mergeCell ref="B1:F1"/>
    <mergeCell ref="C2:F2"/>
    <mergeCell ref="C3:F3"/>
  </mergeCells>
  <hyperlinks>
    <hyperlink r:id="rId1" ref="C3"/>
  </hyperlinks>
  <printOptions/>
  <pageMargins bottom="0.787401575" footer="0.0" header="0.0" left="0.511811024" right="0.511811024" top="0.7874015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65.71"/>
    <col customWidth="1" min="3" max="3" width="8.86"/>
    <col customWidth="1" min="4" max="4" width="19.14"/>
    <col customWidth="1" min="5" max="5" width="12.71"/>
    <col customWidth="1" min="6" max="6" width="19.43"/>
    <col customWidth="1" min="7" max="7" width="21.29"/>
    <col customWidth="1" min="9" max="9" width="22.71"/>
  </cols>
  <sheetData>
    <row r="1">
      <c r="A1" s="145" t="s">
        <v>4888</v>
      </c>
      <c r="B1" s="146" t="s">
        <v>4889</v>
      </c>
      <c r="C1" s="147" t="s">
        <v>4892</v>
      </c>
      <c r="D1" s="148" t="s">
        <v>4893</v>
      </c>
      <c r="E1" s="149" t="s">
        <v>4896</v>
      </c>
      <c r="F1" s="150" t="s">
        <v>4897</v>
      </c>
      <c r="G1" s="151" t="s">
        <v>4899</v>
      </c>
      <c r="H1" s="150" t="s">
        <v>4901</v>
      </c>
    </row>
    <row r="2">
      <c r="A2" s="152" t="s">
        <v>4902</v>
      </c>
      <c r="B2" s="153" t="s">
        <v>4905</v>
      </c>
      <c r="C2" s="154">
        <v>1.0</v>
      </c>
      <c r="D2" s="155" t="s">
        <v>4907</v>
      </c>
      <c r="E2" s="156" t="s">
        <v>4907</v>
      </c>
      <c r="F2" s="150">
        <v>50.0</v>
      </c>
      <c r="G2" s="151">
        <v>79.9</v>
      </c>
      <c r="H2" s="18">
        <f t="shared" ref="H2:H3" si="1">G2*F2</f>
        <v>3995</v>
      </c>
      <c r="I2" s="150" t="s">
        <v>4914</v>
      </c>
    </row>
    <row r="3">
      <c r="A3" s="157" t="s">
        <v>276</v>
      </c>
      <c r="B3" s="158" t="s">
        <v>4917</v>
      </c>
      <c r="C3" s="154">
        <v>1.0</v>
      </c>
      <c r="D3" s="155" t="s">
        <v>4918</v>
      </c>
      <c r="E3" s="156" t="s">
        <v>4918</v>
      </c>
      <c r="F3" s="150">
        <v>30.0</v>
      </c>
      <c r="G3" s="151">
        <v>48.0</v>
      </c>
      <c r="H3" s="18">
        <f t="shared" si="1"/>
        <v>1440</v>
      </c>
      <c r="I3" s="150" t="s">
        <v>4920</v>
      </c>
    </row>
    <row r="4">
      <c r="A4" s="159" t="s">
        <v>289</v>
      </c>
      <c r="B4" s="160" t="s">
        <v>4922</v>
      </c>
      <c r="C4" s="161">
        <v>1.0</v>
      </c>
      <c r="D4" s="155" t="s">
        <v>4923</v>
      </c>
      <c r="E4" s="156" t="s">
        <v>4923</v>
      </c>
      <c r="F4" s="150" t="s">
        <v>35</v>
      </c>
      <c r="G4" s="151">
        <v>70.0</v>
      </c>
      <c r="H4" s="150">
        <v>0.0</v>
      </c>
      <c r="I4" s="150" t="s">
        <v>4920</v>
      </c>
    </row>
    <row r="5">
      <c r="A5" s="157" t="s">
        <v>298</v>
      </c>
      <c r="B5" s="158" t="s">
        <v>4924</v>
      </c>
      <c r="C5" s="154">
        <v>20.0</v>
      </c>
      <c r="D5" s="155" t="s">
        <v>4926</v>
      </c>
      <c r="E5" s="156" t="s">
        <v>4928</v>
      </c>
      <c r="F5" s="150">
        <v>200.0</v>
      </c>
      <c r="G5" s="151">
        <v>7.0</v>
      </c>
      <c r="H5" s="18">
        <f t="shared" ref="H5:H18" si="2">G5*F5</f>
        <v>1400</v>
      </c>
      <c r="I5" s="150" t="s">
        <v>4920</v>
      </c>
    </row>
    <row r="6">
      <c r="A6" s="157" t="s">
        <v>310</v>
      </c>
      <c r="B6" s="158" t="s">
        <v>4931</v>
      </c>
      <c r="C6" s="154">
        <v>2.0</v>
      </c>
      <c r="D6" s="155" t="s">
        <v>4932</v>
      </c>
      <c r="E6" s="156" t="s">
        <v>4933</v>
      </c>
      <c r="F6" s="150">
        <v>300.0</v>
      </c>
      <c r="G6" s="151">
        <v>8.9</v>
      </c>
      <c r="H6" s="18">
        <f t="shared" si="2"/>
        <v>2670</v>
      </c>
      <c r="I6" s="150" t="s">
        <v>4920</v>
      </c>
    </row>
    <row r="7">
      <c r="A7" s="157" t="s">
        <v>323</v>
      </c>
      <c r="B7" s="158" t="s">
        <v>4936</v>
      </c>
      <c r="C7" s="154">
        <v>1.0</v>
      </c>
      <c r="D7" s="162" t="s">
        <v>4918</v>
      </c>
      <c r="E7" s="156" t="s">
        <v>4918</v>
      </c>
      <c r="F7" s="150">
        <v>100.0</v>
      </c>
      <c r="G7" s="151">
        <v>61.0</v>
      </c>
      <c r="H7" s="18">
        <f t="shared" si="2"/>
        <v>6100</v>
      </c>
      <c r="I7" s="150" t="s">
        <v>4920</v>
      </c>
    </row>
    <row r="8">
      <c r="A8" s="159" t="s">
        <v>4939</v>
      </c>
      <c r="B8" s="160" t="s">
        <v>4940</v>
      </c>
      <c r="C8" s="161">
        <v>1.0</v>
      </c>
      <c r="D8" s="162" t="s">
        <v>4942</v>
      </c>
      <c r="E8" s="156" t="s">
        <v>4942</v>
      </c>
      <c r="F8" s="150">
        <v>60.0</v>
      </c>
      <c r="G8" s="151">
        <v>53.0</v>
      </c>
      <c r="H8" s="18">
        <f t="shared" si="2"/>
        <v>3180</v>
      </c>
      <c r="I8" s="150" t="s">
        <v>4920</v>
      </c>
    </row>
    <row r="9">
      <c r="A9" s="159" t="s">
        <v>4944</v>
      </c>
      <c r="B9" s="160" t="s">
        <v>4945</v>
      </c>
      <c r="C9" s="161">
        <v>1.0</v>
      </c>
      <c r="D9" s="162" t="s">
        <v>4946</v>
      </c>
      <c r="E9" s="156" t="s">
        <v>4946</v>
      </c>
      <c r="F9" s="150">
        <v>60.0</v>
      </c>
      <c r="G9" s="151">
        <v>24.0</v>
      </c>
      <c r="H9" s="18">
        <f t="shared" si="2"/>
        <v>1440</v>
      </c>
      <c r="I9" s="150" t="s">
        <v>4920</v>
      </c>
    </row>
    <row r="10">
      <c r="A10" s="163" t="s">
        <v>4947</v>
      </c>
      <c r="B10" s="164" t="s">
        <v>4948</v>
      </c>
      <c r="C10" s="161">
        <v>2.0</v>
      </c>
      <c r="D10" s="162" t="s">
        <v>4949</v>
      </c>
      <c r="E10" s="156" t="s">
        <v>4950</v>
      </c>
      <c r="F10" s="150">
        <v>100.0</v>
      </c>
      <c r="G10" s="151">
        <v>16.0</v>
      </c>
      <c r="H10" s="18">
        <f t="shared" si="2"/>
        <v>1600</v>
      </c>
      <c r="I10" s="150" t="s">
        <v>4914</v>
      </c>
    </row>
    <row r="11">
      <c r="A11" s="163" t="s">
        <v>4951</v>
      </c>
      <c r="B11" s="164" t="s">
        <v>4952</v>
      </c>
      <c r="C11" s="161">
        <v>1.0</v>
      </c>
      <c r="D11" s="162" t="s">
        <v>4953</v>
      </c>
      <c r="E11" s="156" t="s">
        <v>4953</v>
      </c>
      <c r="F11" s="150">
        <v>100.0</v>
      </c>
      <c r="G11" s="151">
        <v>19.0</v>
      </c>
      <c r="H11" s="18">
        <f t="shared" si="2"/>
        <v>1900</v>
      </c>
      <c r="I11" s="150" t="s">
        <v>4914</v>
      </c>
    </row>
    <row r="12">
      <c r="A12" s="159" t="s">
        <v>364</v>
      </c>
      <c r="B12" s="160" t="s">
        <v>4956</v>
      </c>
      <c r="C12" s="161">
        <v>1.0</v>
      </c>
      <c r="D12" s="162" t="s">
        <v>4953</v>
      </c>
      <c r="E12" s="156" t="s">
        <v>4953</v>
      </c>
      <c r="F12" s="150">
        <v>80.0</v>
      </c>
      <c r="G12" s="151">
        <v>19.0</v>
      </c>
      <c r="H12" s="18">
        <f t="shared" si="2"/>
        <v>1520</v>
      </c>
      <c r="I12" s="150" t="s">
        <v>4920</v>
      </c>
    </row>
    <row r="13">
      <c r="A13" s="163" t="s">
        <v>4957</v>
      </c>
      <c r="B13" s="164" t="s">
        <v>4958</v>
      </c>
      <c r="C13" s="161">
        <v>1.0</v>
      </c>
      <c r="D13" s="162" t="s">
        <v>4959</v>
      </c>
      <c r="E13" s="156" t="s">
        <v>4959</v>
      </c>
      <c r="F13" s="150">
        <v>12.0</v>
      </c>
      <c r="G13" s="151">
        <v>125.0</v>
      </c>
      <c r="H13" s="18">
        <f t="shared" si="2"/>
        <v>1500</v>
      </c>
      <c r="I13" s="150" t="s">
        <v>4914</v>
      </c>
    </row>
    <row r="14">
      <c r="A14" s="165" t="s">
        <v>4960</v>
      </c>
      <c r="B14" s="166" t="s">
        <v>4961</v>
      </c>
      <c r="C14" s="161">
        <v>1.0</v>
      </c>
      <c r="D14" s="167">
        <v>269.9</v>
      </c>
      <c r="E14" s="156" t="s">
        <v>4963</v>
      </c>
      <c r="F14" s="150">
        <v>10.0</v>
      </c>
      <c r="G14" s="151">
        <v>190.0</v>
      </c>
      <c r="H14" s="18">
        <f t="shared" si="2"/>
        <v>1900</v>
      </c>
    </row>
    <row r="15">
      <c r="A15" s="165" t="s">
        <v>4964</v>
      </c>
      <c r="B15" s="166" t="s">
        <v>4966</v>
      </c>
      <c r="C15" s="161">
        <v>1.0</v>
      </c>
      <c r="D15" s="168" t="s">
        <v>4968</v>
      </c>
      <c r="E15" s="156" t="s">
        <v>4968</v>
      </c>
      <c r="F15" s="150">
        <v>20.0</v>
      </c>
      <c r="G15" s="151">
        <v>75.0</v>
      </c>
      <c r="H15" s="18">
        <f t="shared" si="2"/>
        <v>1500</v>
      </c>
    </row>
    <row r="16">
      <c r="A16" s="169" t="s">
        <v>4971</v>
      </c>
      <c r="B16" s="170" t="s">
        <v>4972</v>
      </c>
      <c r="C16" s="161">
        <v>1.0</v>
      </c>
      <c r="D16" s="168" t="s">
        <v>4973</v>
      </c>
      <c r="E16" s="156" t="s">
        <v>4973</v>
      </c>
      <c r="F16" s="150">
        <v>100.0</v>
      </c>
      <c r="G16" s="151">
        <v>25.0</v>
      </c>
      <c r="H16" s="18">
        <f t="shared" si="2"/>
        <v>2500</v>
      </c>
      <c r="I16" s="150" t="s">
        <v>4976</v>
      </c>
    </row>
    <row r="17">
      <c r="A17" s="169" t="s">
        <v>4977</v>
      </c>
      <c r="B17" s="170" t="s">
        <v>4978</v>
      </c>
      <c r="C17" s="161">
        <v>2.0</v>
      </c>
      <c r="D17" s="168" t="s">
        <v>4979</v>
      </c>
      <c r="E17" s="156" t="s">
        <v>4980</v>
      </c>
      <c r="F17" s="150">
        <v>100.0</v>
      </c>
      <c r="G17" s="151">
        <v>30.0</v>
      </c>
      <c r="H17" s="18">
        <f t="shared" si="2"/>
        <v>3000</v>
      </c>
      <c r="I17" s="150" t="s">
        <v>4981</v>
      </c>
    </row>
    <row r="18">
      <c r="A18" s="169" t="s">
        <v>4983</v>
      </c>
      <c r="B18" s="170" t="s">
        <v>4984</v>
      </c>
      <c r="C18" s="161">
        <v>3.0</v>
      </c>
      <c r="D18" s="168" t="s">
        <v>4985</v>
      </c>
      <c r="E18" s="156" t="s">
        <v>4986</v>
      </c>
      <c r="F18" s="150">
        <v>100.0</v>
      </c>
      <c r="G18" s="151">
        <v>33.6</v>
      </c>
      <c r="H18" s="18">
        <f t="shared" si="2"/>
        <v>3360</v>
      </c>
      <c r="I18" s="150" t="s">
        <v>4981</v>
      </c>
    </row>
    <row r="19">
      <c r="A19" s="169" t="s">
        <v>4987</v>
      </c>
      <c r="B19" s="170" t="s">
        <v>4988</v>
      </c>
      <c r="C19" s="161">
        <v>1.0</v>
      </c>
      <c r="D19" s="168" t="s">
        <v>4989</v>
      </c>
      <c r="E19" s="156" t="s">
        <v>4989</v>
      </c>
      <c r="F19" s="150" t="s">
        <v>35</v>
      </c>
      <c r="G19" s="151" t="s">
        <v>35</v>
      </c>
      <c r="H19" s="150">
        <v>0.0</v>
      </c>
      <c r="I19" s="150" t="s">
        <v>4976</v>
      </c>
    </row>
    <row r="20">
      <c r="A20" s="169" t="s">
        <v>712</v>
      </c>
      <c r="B20" s="170" t="s">
        <v>4991</v>
      </c>
      <c r="C20" s="161">
        <v>3.0</v>
      </c>
      <c r="D20" s="168" t="s">
        <v>4992</v>
      </c>
      <c r="E20" s="156" t="s">
        <v>4993</v>
      </c>
      <c r="F20" s="150">
        <v>100.0</v>
      </c>
      <c r="G20" s="151">
        <v>26.0</v>
      </c>
      <c r="H20" s="18">
        <f t="shared" ref="H20:H24" si="3">G20*F20</f>
        <v>2600</v>
      </c>
      <c r="I20" s="150" t="s">
        <v>4981</v>
      </c>
    </row>
    <row r="21">
      <c r="A21" s="169" t="s">
        <v>696</v>
      </c>
      <c r="B21" s="170" t="s">
        <v>696</v>
      </c>
      <c r="C21" s="161">
        <v>3.0</v>
      </c>
      <c r="D21" s="168" t="s">
        <v>4973</v>
      </c>
      <c r="E21" s="156" t="s">
        <v>4995</v>
      </c>
      <c r="F21" s="150">
        <v>100.0</v>
      </c>
      <c r="G21" s="151">
        <v>25.0</v>
      </c>
      <c r="H21" s="18">
        <f t="shared" si="3"/>
        <v>2500</v>
      </c>
      <c r="I21" s="150" t="s">
        <v>4981</v>
      </c>
    </row>
    <row r="22">
      <c r="A22" s="165" t="s">
        <v>4997</v>
      </c>
      <c r="B22" s="166" t="s">
        <v>4998</v>
      </c>
      <c r="C22" s="161">
        <v>2.0</v>
      </c>
      <c r="D22" s="168" t="s">
        <v>4999</v>
      </c>
      <c r="E22" s="156" t="s">
        <v>5000</v>
      </c>
      <c r="F22" s="150">
        <v>40.0</v>
      </c>
      <c r="G22" s="151">
        <v>14.0</v>
      </c>
      <c r="H22" s="18">
        <f t="shared" si="3"/>
        <v>560</v>
      </c>
    </row>
    <row r="23">
      <c r="A23" s="171" t="s">
        <v>5001</v>
      </c>
      <c r="B23" s="172" t="s">
        <v>5004</v>
      </c>
      <c r="C23" s="173">
        <v>1.0</v>
      </c>
      <c r="D23" s="168" t="s">
        <v>5005</v>
      </c>
      <c r="E23" s="156" t="s">
        <v>5005</v>
      </c>
      <c r="F23" s="150">
        <v>54.0</v>
      </c>
      <c r="G23" s="151">
        <v>28.0</v>
      </c>
      <c r="H23" s="18">
        <f t="shared" si="3"/>
        <v>1512</v>
      </c>
      <c r="I23" s="150" t="s">
        <v>4920</v>
      </c>
    </row>
    <row r="24">
      <c r="A24" s="171" t="s">
        <v>376</v>
      </c>
      <c r="B24" s="172" t="s">
        <v>5008</v>
      </c>
      <c r="C24" s="173">
        <v>1.0</v>
      </c>
      <c r="D24" s="168" t="s">
        <v>5009</v>
      </c>
      <c r="E24" s="156" t="s">
        <v>5009</v>
      </c>
      <c r="F24" s="150">
        <v>20.0</v>
      </c>
      <c r="G24" s="151">
        <v>65.0</v>
      </c>
      <c r="H24" s="18">
        <f t="shared" si="3"/>
        <v>1300</v>
      </c>
      <c r="I24" s="150" t="s">
        <v>4920</v>
      </c>
    </row>
    <row r="25">
      <c r="D25" s="151"/>
      <c r="G25" s="151"/>
    </row>
    <row r="26">
      <c r="D26" s="151"/>
      <c r="G26" s="151"/>
    </row>
    <row r="27">
      <c r="D27" s="151"/>
      <c r="G27" s="151"/>
    </row>
    <row r="28">
      <c r="D28" s="151"/>
      <c r="G28" s="151"/>
    </row>
    <row r="29">
      <c r="D29" s="151"/>
      <c r="G29" s="151"/>
    </row>
    <row r="30">
      <c r="D30" s="151"/>
      <c r="G30" s="151"/>
    </row>
    <row r="31">
      <c r="D31" s="151"/>
      <c r="G31" s="151"/>
    </row>
    <row r="32">
      <c r="D32" s="151"/>
      <c r="G32" s="151"/>
    </row>
    <row r="33">
      <c r="D33" s="151"/>
      <c r="G33" s="151"/>
    </row>
    <row r="34">
      <c r="D34" s="151"/>
      <c r="G34" s="151"/>
    </row>
    <row r="35">
      <c r="D35" s="151"/>
      <c r="G35" s="151"/>
    </row>
    <row r="36">
      <c r="D36" s="151"/>
      <c r="G36" s="151"/>
    </row>
    <row r="37">
      <c r="D37" s="151"/>
      <c r="G37" s="151"/>
    </row>
    <row r="38">
      <c r="D38" s="151"/>
      <c r="G38" s="151"/>
    </row>
    <row r="39">
      <c r="D39" s="151"/>
      <c r="G39" s="151"/>
    </row>
    <row r="40">
      <c r="D40" s="151"/>
      <c r="G40" s="151"/>
    </row>
    <row r="41">
      <c r="D41" s="151"/>
      <c r="G41" s="151"/>
    </row>
    <row r="42">
      <c r="D42" s="151"/>
      <c r="G42" s="151"/>
    </row>
    <row r="43">
      <c r="D43" s="151"/>
      <c r="G43" s="151"/>
    </row>
    <row r="44">
      <c r="D44" s="151"/>
      <c r="G44" s="151"/>
    </row>
    <row r="45">
      <c r="D45" s="151"/>
      <c r="G45" s="151"/>
    </row>
    <row r="46">
      <c r="D46" s="151"/>
      <c r="G46" s="151"/>
    </row>
    <row r="47">
      <c r="D47" s="151"/>
      <c r="G47" s="151"/>
    </row>
    <row r="48">
      <c r="D48" s="151"/>
      <c r="G48" s="151"/>
    </row>
    <row r="49">
      <c r="D49" s="151"/>
      <c r="G49" s="151"/>
    </row>
    <row r="50">
      <c r="D50" s="151"/>
      <c r="G50" s="151"/>
    </row>
    <row r="51">
      <c r="D51" s="151"/>
      <c r="G51" s="151"/>
    </row>
    <row r="52">
      <c r="D52" s="151"/>
      <c r="G52" s="151"/>
    </row>
    <row r="53">
      <c r="D53" s="151"/>
      <c r="G53" s="151"/>
    </row>
    <row r="54">
      <c r="D54" s="151"/>
      <c r="G54" s="151"/>
    </row>
    <row r="55">
      <c r="D55" s="151"/>
      <c r="G55" s="151"/>
    </row>
    <row r="56">
      <c r="D56" s="151"/>
      <c r="G56" s="151"/>
    </row>
    <row r="57">
      <c r="D57" s="151"/>
      <c r="G57" s="151"/>
    </row>
    <row r="58">
      <c r="D58" s="151"/>
      <c r="G58" s="151"/>
    </row>
    <row r="59">
      <c r="D59" s="151"/>
      <c r="G59" s="151"/>
    </row>
    <row r="60">
      <c r="D60" s="151"/>
      <c r="G60" s="151"/>
    </row>
    <row r="61">
      <c r="D61" s="151"/>
      <c r="G61" s="151"/>
    </row>
    <row r="62">
      <c r="D62" s="151"/>
      <c r="G62" s="151"/>
    </row>
    <row r="63">
      <c r="D63" s="151"/>
      <c r="G63" s="151"/>
    </row>
    <row r="64">
      <c r="D64" s="151"/>
      <c r="G64" s="151"/>
    </row>
    <row r="65">
      <c r="D65" s="151"/>
      <c r="G65" s="151"/>
    </row>
    <row r="66">
      <c r="D66" s="151"/>
      <c r="G66" s="151"/>
    </row>
    <row r="67">
      <c r="D67" s="151"/>
      <c r="G67" s="151"/>
    </row>
    <row r="68">
      <c r="D68" s="151"/>
      <c r="G68" s="151"/>
    </row>
    <row r="69">
      <c r="D69" s="151"/>
      <c r="G69" s="151"/>
    </row>
    <row r="70">
      <c r="D70" s="151"/>
      <c r="G70" s="151"/>
    </row>
    <row r="71">
      <c r="D71" s="151"/>
      <c r="G71" s="151"/>
    </row>
    <row r="72">
      <c r="D72" s="151"/>
      <c r="G72" s="151"/>
    </row>
    <row r="73">
      <c r="D73" s="151"/>
      <c r="G73" s="151"/>
    </row>
    <row r="74">
      <c r="D74" s="151"/>
      <c r="G74" s="151"/>
    </row>
    <row r="75">
      <c r="D75" s="151"/>
      <c r="G75" s="151"/>
    </row>
    <row r="76">
      <c r="D76" s="151"/>
      <c r="G76" s="151"/>
    </row>
    <row r="77">
      <c r="D77" s="151"/>
      <c r="G77" s="151"/>
    </row>
    <row r="78">
      <c r="D78" s="151"/>
      <c r="G78" s="151"/>
    </row>
    <row r="79">
      <c r="D79" s="151"/>
      <c r="G79" s="151"/>
    </row>
    <row r="80">
      <c r="D80" s="151"/>
      <c r="G80" s="151"/>
    </row>
    <row r="81">
      <c r="D81" s="151"/>
      <c r="G81" s="151"/>
    </row>
    <row r="82">
      <c r="D82" s="151"/>
      <c r="G82" s="151"/>
    </row>
    <row r="83">
      <c r="D83" s="151"/>
      <c r="G83" s="151"/>
    </row>
    <row r="84">
      <c r="D84" s="151"/>
      <c r="G84" s="151"/>
    </row>
    <row r="85">
      <c r="D85" s="151"/>
      <c r="G85" s="151"/>
    </row>
    <row r="86">
      <c r="D86" s="151"/>
      <c r="G86" s="151"/>
    </row>
    <row r="87">
      <c r="D87" s="151"/>
      <c r="G87" s="151"/>
    </row>
    <row r="88">
      <c r="D88" s="151"/>
      <c r="G88" s="151"/>
    </row>
    <row r="89">
      <c r="D89" s="151"/>
      <c r="G89" s="151"/>
    </row>
    <row r="90">
      <c r="D90" s="151"/>
      <c r="G90" s="151"/>
    </row>
    <row r="91">
      <c r="D91" s="151"/>
      <c r="G91" s="151"/>
    </row>
    <row r="92">
      <c r="D92" s="151"/>
      <c r="G92" s="151"/>
    </row>
    <row r="93">
      <c r="D93" s="151"/>
      <c r="G93" s="151"/>
    </row>
    <row r="94">
      <c r="D94" s="151"/>
      <c r="G94" s="151"/>
    </row>
    <row r="95">
      <c r="D95" s="151"/>
      <c r="G95" s="151"/>
    </row>
    <row r="96">
      <c r="D96" s="151"/>
      <c r="G96" s="151"/>
    </row>
    <row r="97">
      <c r="D97" s="151"/>
      <c r="G97" s="151"/>
    </row>
    <row r="98">
      <c r="D98" s="151"/>
      <c r="G98" s="151"/>
    </row>
    <row r="99">
      <c r="D99" s="151"/>
      <c r="G99" s="151"/>
    </row>
    <row r="100">
      <c r="D100" s="151"/>
      <c r="G100" s="151"/>
    </row>
    <row r="101">
      <c r="D101" s="151"/>
      <c r="G101" s="151"/>
    </row>
    <row r="102">
      <c r="D102" s="151"/>
      <c r="G102" s="151"/>
    </row>
    <row r="103">
      <c r="D103" s="151"/>
      <c r="G103" s="151"/>
    </row>
    <row r="104">
      <c r="D104" s="151"/>
      <c r="G104" s="151"/>
    </row>
    <row r="105">
      <c r="D105" s="151"/>
      <c r="G105" s="151"/>
    </row>
    <row r="106">
      <c r="D106" s="151"/>
      <c r="G106" s="151"/>
    </row>
    <row r="107">
      <c r="D107" s="151"/>
      <c r="G107" s="151"/>
    </row>
    <row r="108">
      <c r="D108" s="151"/>
      <c r="G108" s="151"/>
    </row>
    <row r="109">
      <c r="D109" s="151"/>
      <c r="G109" s="151"/>
    </row>
    <row r="110">
      <c r="D110" s="151"/>
      <c r="G110" s="151"/>
    </row>
    <row r="111">
      <c r="D111" s="151"/>
      <c r="G111" s="151"/>
    </row>
    <row r="112">
      <c r="D112" s="151"/>
      <c r="G112" s="151"/>
    </row>
    <row r="113">
      <c r="D113" s="151"/>
      <c r="G113" s="151"/>
    </row>
    <row r="114">
      <c r="D114" s="151"/>
      <c r="G114" s="151"/>
    </row>
    <row r="115">
      <c r="D115" s="151"/>
      <c r="G115" s="151"/>
    </row>
    <row r="116">
      <c r="D116" s="151"/>
      <c r="G116" s="151"/>
    </row>
    <row r="117">
      <c r="D117" s="151"/>
      <c r="G117" s="151"/>
    </row>
    <row r="118">
      <c r="D118" s="151"/>
      <c r="G118" s="151"/>
    </row>
    <row r="119">
      <c r="D119" s="151"/>
      <c r="G119" s="151"/>
    </row>
    <row r="120">
      <c r="D120" s="151"/>
      <c r="G120" s="151"/>
    </row>
    <row r="121">
      <c r="D121" s="151"/>
      <c r="G121" s="151"/>
    </row>
    <row r="122">
      <c r="D122" s="151"/>
      <c r="G122" s="151"/>
    </row>
    <row r="123">
      <c r="D123" s="151"/>
      <c r="G123" s="151"/>
    </row>
    <row r="124">
      <c r="D124" s="151"/>
      <c r="G124" s="151"/>
    </row>
    <row r="125">
      <c r="D125" s="151"/>
      <c r="G125" s="151"/>
    </row>
    <row r="126">
      <c r="D126" s="151"/>
      <c r="G126" s="151"/>
    </row>
    <row r="127">
      <c r="D127" s="151"/>
      <c r="G127" s="151"/>
    </row>
    <row r="128">
      <c r="D128" s="151"/>
      <c r="G128" s="151"/>
    </row>
    <row r="129">
      <c r="D129" s="151"/>
      <c r="G129" s="151"/>
    </row>
    <row r="130">
      <c r="D130" s="151"/>
      <c r="G130" s="151"/>
    </row>
    <row r="131">
      <c r="D131" s="151"/>
      <c r="G131" s="151"/>
    </row>
    <row r="132">
      <c r="D132" s="151"/>
      <c r="G132" s="151"/>
    </row>
    <row r="133">
      <c r="D133" s="151"/>
      <c r="G133" s="151"/>
    </row>
    <row r="134">
      <c r="D134" s="151"/>
      <c r="G134" s="151"/>
    </row>
    <row r="135">
      <c r="D135" s="151"/>
      <c r="G135" s="151"/>
    </row>
    <row r="136">
      <c r="D136" s="151"/>
      <c r="G136" s="151"/>
    </row>
    <row r="137">
      <c r="D137" s="151"/>
      <c r="G137" s="151"/>
    </row>
    <row r="138">
      <c r="D138" s="151"/>
      <c r="G138" s="151"/>
    </row>
    <row r="139">
      <c r="D139" s="151"/>
      <c r="G139" s="151"/>
    </row>
    <row r="140">
      <c r="D140" s="151"/>
      <c r="G140" s="151"/>
    </row>
    <row r="141">
      <c r="D141" s="151"/>
      <c r="G141" s="151"/>
    </row>
    <row r="142">
      <c r="D142" s="151"/>
      <c r="G142" s="151"/>
    </row>
    <row r="143">
      <c r="D143" s="151"/>
      <c r="G143" s="151"/>
    </row>
    <row r="144">
      <c r="D144" s="151"/>
      <c r="G144" s="151"/>
    </row>
    <row r="145">
      <c r="D145" s="151"/>
      <c r="G145" s="151"/>
    </row>
    <row r="146">
      <c r="D146" s="151"/>
      <c r="G146" s="151"/>
    </row>
    <row r="147">
      <c r="D147" s="151"/>
      <c r="G147" s="151"/>
    </row>
    <row r="148">
      <c r="D148" s="151"/>
      <c r="G148" s="151"/>
    </row>
    <row r="149">
      <c r="D149" s="151"/>
      <c r="G149" s="151"/>
    </row>
    <row r="150">
      <c r="D150" s="151"/>
      <c r="G150" s="151"/>
    </row>
    <row r="151">
      <c r="D151" s="151"/>
      <c r="G151" s="151"/>
    </row>
    <row r="152">
      <c r="D152" s="151"/>
      <c r="G152" s="151"/>
    </row>
    <row r="153">
      <c r="D153" s="151"/>
      <c r="G153" s="151"/>
    </row>
    <row r="154">
      <c r="D154" s="151"/>
      <c r="G154" s="151"/>
    </row>
    <row r="155">
      <c r="D155" s="151"/>
      <c r="G155" s="151"/>
    </row>
    <row r="156">
      <c r="D156" s="151"/>
      <c r="G156" s="151"/>
    </row>
    <row r="157">
      <c r="D157" s="151"/>
      <c r="G157" s="151"/>
    </row>
    <row r="158">
      <c r="D158" s="151"/>
      <c r="G158" s="151"/>
    </row>
    <row r="159">
      <c r="D159" s="151"/>
      <c r="G159" s="151"/>
    </row>
    <row r="160">
      <c r="D160" s="151"/>
      <c r="G160" s="151"/>
    </row>
    <row r="161">
      <c r="D161" s="151"/>
      <c r="G161" s="151"/>
    </row>
    <row r="162">
      <c r="D162" s="151"/>
      <c r="G162" s="151"/>
    </row>
    <row r="163">
      <c r="D163" s="151"/>
      <c r="G163" s="151"/>
    </row>
    <row r="164">
      <c r="D164" s="151"/>
      <c r="G164" s="151"/>
    </row>
    <row r="165">
      <c r="D165" s="151"/>
      <c r="G165" s="151"/>
    </row>
    <row r="166">
      <c r="D166" s="151"/>
      <c r="G166" s="151"/>
    </row>
    <row r="167">
      <c r="D167" s="151"/>
      <c r="G167" s="151"/>
    </row>
    <row r="168">
      <c r="D168" s="151"/>
      <c r="G168" s="151"/>
    </row>
    <row r="169">
      <c r="D169" s="151"/>
      <c r="G169" s="151"/>
    </row>
    <row r="170">
      <c r="D170" s="151"/>
      <c r="G170" s="151"/>
    </row>
    <row r="171">
      <c r="D171" s="151"/>
      <c r="G171" s="151"/>
    </row>
    <row r="172">
      <c r="D172" s="151"/>
      <c r="G172" s="151"/>
    </row>
    <row r="173">
      <c r="D173" s="151"/>
      <c r="G173" s="151"/>
    </row>
    <row r="174">
      <c r="D174" s="151"/>
      <c r="G174" s="151"/>
    </row>
    <row r="175">
      <c r="D175" s="151"/>
      <c r="G175" s="151"/>
    </row>
    <row r="176">
      <c r="D176" s="151"/>
      <c r="G176" s="151"/>
    </row>
    <row r="177">
      <c r="D177" s="151"/>
      <c r="G177" s="151"/>
    </row>
    <row r="178">
      <c r="D178" s="151"/>
      <c r="G178" s="151"/>
    </row>
    <row r="179">
      <c r="D179" s="151"/>
      <c r="G179" s="151"/>
    </row>
    <row r="180">
      <c r="D180" s="151"/>
      <c r="G180" s="151"/>
    </row>
    <row r="181">
      <c r="D181" s="151"/>
      <c r="G181" s="151"/>
    </row>
    <row r="182">
      <c r="D182" s="151"/>
      <c r="G182" s="151"/>
    </row>
    <row r="183">
      <c r="D183" s="151"/>
      <c r="G183" s="151"/>
    </row>
    <row r="184">
      <c r="D184" s="151"/>
      <c r="G184" s="151"/>
    </row>
    <row r="185">
      <c r="D185" s="151"/>
      <c r="G185" s="151"/>
    </row>
    <row r="186">
      <c r="D186" s="151"/>
      <c r="G186" s="151"/>
    </row>
    <row r="187">
      <c r="D187" s="151"/>
      <c r="G187" s="151"/>
    </row>
    <row r="188">
      <c r="D188" s="151"/>
      <c r="G188" s="151"/>
    </row>
    <row r="189">
      <c r="D189" s="151"/>
      <c r="G189" s="151"/>
    </row>
    <row r="190">
      <c r="D190" s="151"/>
      <c r="G190" s="151"/>
    </row>
    <row r="191">
      <c r="D191" s="151"/>
      <c r="G191" s="151"/>
    </row>
    <row r="192">
      <c r="D192" s="151"/>
      <c r="G192" s="151"/>
    </row>
    <row r="193">
      <c r="D193" s="151"/>
      <c r="G193" s="151"/>
    </row>
    <row r="194">
      <c r="D194" s="151"/>
      <c r="G194" s="151"/>
    </row>
    <row r="195">
      <c r="D195" s="151"/>
      <c r="G195" s="151"/>
    </row>
    <row r="196">
      <c r="D196" s="151"/>
      <c r="G196" s="151"/>
    </row>
    <row r="197">
      <c r="D197" s="151"/>
      <c r="G197" s="151"/>
    </row>
    <row r="198">
      <c r="D198" s="151"/>
      <c r="G198" s="151"/>
    </row>
    <row r="199">
      <c r="D199" s="151"/>
      <c r="G199" s="151"/>
    </row>
    <row r="200">
      <c r="D200" s="151"/>
      <c r="G200" s="151"/>
    </row>
    <row r="201">
      <c r="D201" s="151"/>
      <c r="G201" s="151"/>
    </row>
    <row r="202">
      <c r="D202" s="151"/>
      <c r="G202" s="151"/>
    </row>
    <row r="203">
      <c r="D203" s="151"/>
      <c r="G203" s="151"/>
    </row>
    <row r="204">
      <c r="D204" s="151"/>
      <c r="G204" s="151"/>
    </row>
    <row r="205">
      <c r="D205" s="151"/>
      <c r="G205" s="151"/>
    </row>
    <row r="206">
      <c r="D206" s="151"/>
      <c r="G206" s="151"/>
    </row>
    <row r="207">
      <c r="D207" s="151"/>
      <c r="G207" s="151"/>
    </row>
    <row r="208">
      <c r="D208" s="151"/>
      <c r="G208" s="151"/>
    </row>
    <row r="209">
      <c r="D209" s="151"/>
      <c r="G209" s="151"/>
    </row>
    <row r="210">
      <c r="D210" s="151"/>
      <c r="G210" s="151"/>
    </row>
    <row r="211">
      <c r="D211" s="151"/>
      <c r="G211" s="151"/>
    </row>
    <row r="212">
      <c r="D212" s="151"/>
      <c r="G212" s="151"/>
    </row>
    <row r="213">
      <c r="D213" s="151"/>
      <c r="G213" s="151"/>
    </row>
    <row r="214">
      <c r="D214" s="151"/>
      <c r="G214" s="151"/>
    </row>
    <row r="215">
      <c r="D215" s="151"/>
      <c r="G215" s="151"/>
    </row>
    <row r="216">
      <c r="D216" s="151"/>
      <c r="G216" s="151"/>
    </row>
    <row r="217">
      <c r="D217" s="151"/>
      <c r="G217" s="151"/>
    </row>
    <row r="218">
      <c r="D218" s="151"/>
      <c r="G218" s="151"/>
    </row>
    <row r="219">
      <c r="D219" s="151"/>
      <c r="G219" s="151"/>
    </row>
    <row r="220">
      <c r="D220" s="151"/>
      <c r="G220" s="151"/>
    </row>
    <row r="221">
      <c r="D221" s="151"/>
      <c r="G221" s="151"/>
    </row>
    <row r="222">
      <c r="D222" s="151"/>
      <c r="G222" s="151"/>
    </row>
    <row r="223">
      <c r="D223" s="151"/>
      <c r="G223" s="151"/>
    </row>
    <row r="224">
      <c r="D224" s="151"/>
      <c r="G224" s="151"/>
    </row>
    <row r="225">
      <c r="D225" s="151"/>
      <c r="G225" s="151"/>
    </row>
    <row r="226">
      <c r="D226" s="151"/>
      <c r="G226" s="151"/>
    </row>
    <row r="227">
      <c r="D227" s="151"/>
      <c r="G227" s="151"/>
    </row>
    <row r="228">
      <c r="D228" s="151"/>
      <c r="G228" s="151"/>
    </row>
    <row r="229">
      <c r="D229" s="151"/>
      <c r="G229" s="151"/>
    </row>
    <row r="230">
      <c r="D230" s="151"/>
      <c r="G230" s="151"/>
    </row>
    <row r="231">
      <c r="D231" s="151"/>
      <c r="G231" s="151"/>
    </row>
    <row r="232">
      <c r="D232" s="151"/>
      <c r="G232" s="151"/>
    </row>
    <row r="233">
      <c r="D233" s="151"/>
      <c r="G233" s="151"/>
    </row>
    <row r="234">
      <c r="D234" s="151"/>
      <c r="G234" s="151"/>
    </row>
    <row r="235">
      <c r="D235" s="151"/>
      <c r="G235" s="151"/>
    </row>
    <row r="236">
      <c r="D236" s="151"/>
      <c r="G236" s="151"/>
    </row>
    <row r="237">
      <c r="D237" s="151"/>
      <c r="G237" s="151"/>
    </row>
    <row r="238">
      <c r="D238" s="151"/>
      <c r="G238" s="151"/>
    </row>
    <row r="239">
      <c r="D239" s="151"/>
      <c r="G239" s="151"/>
    </row>
    <row r="240">
      <c r="D240" s="151"/>
      <c r="G240" s="151"/>
    </row>
    <row r="241">
      <c r="D241" s="151"/>
      <c r="G241" s="151"/>
    </row>
    <row r="242">
      <c r="D242" s="151"/>
      <c r="G242" s="151"/>
    </row>
    <row r="243">
      <c r="D243" s="151"/>
      <c r="G243" s="151"/>
    </row>
    <row r="244">
      <c r="D244" s="151"/>
      <c r="G244" s="151"/>
    </row>
    <row r="245">
      <c r="D245" s="151"/>
      <c r="G245" s="151"/>
    </row>
    <row r="246">
      <c r="D246" s="151"/>
      <c r="G246" s="151"/>
    </row>
    <row r="247">
      <c r="D247" s="151"/>
      <c r="G247" s="151"/>
    </row>
    <row r="248">
      <c r="D248" s="151"/>
      <c r="G248" s="151"/>
    </row>
    <row r="249">
      <c r="D249" s="151"/>
      <c r="G249" s="151"/>
    </row>
    <row r="250">
      <c r="D250" s="151"/>
      <c r="G250" s="151"/>
    </row>
    <row r="251">
      <c r="D251" s="151"/>
      <c r="G251" s="151"/>
    </row>
    <row r="252">
      <c r="D252" s="151"/>
      <c r="G252" s="151"/>
    </row>
    <row r="253">
      <c r="D253" s="151"/>
      <c r="G253" s="151"/>
    </row>
    <row r="254">
      <c r="D254" s="151"/>
      <c r="G254" s="151"/>
    </row>
    <row r="255">
      <c r="D255" s="151"/>
      <c r="G255" s="151"/>
    </row>
    <row r="256">
      <c r="D256" s="151"/>
      <c r="G256" s="151"/>
    </row>
    <row r="257">
      <c r="D257" s="151"/>
      <c r="G257" s="151"/>
    </row>
    <row r="258">
      <c r="D258" s="151"/>
      <c r="G258" s="151"/>
    </row>
    <row r="259">
      <c r="D259" s="151"/>
      <c r="G259" s="151"/>
    </row>
    <row r="260">
      <c r="D260" s="151"/>
      <c r="G260" s="151"/>
    </row>
    <row r="261">
      <c r="D261" s="151"/>
      <c r="G261" s="151"/>
    </row>
    <row r="262">
      <c r="D262" s="151"/>
      <c r="G262" s="151"/>
    </row>
    <row r="263">
      <c r="D263" s="151"/>
      <c r="G263" s="151"/>
    </row>
    <row r="264">
      <c r="D264" s="151"/>
      <c r="G264" s="151"/>
    </row>
    <row r="265">
      <c r="D265" s="151"/>
      <c r="G265" s="151"/>
    </row>
    <row r="266">
      <c r="D266" s="151"/>
      <c r="G266" s="151"/>
    </row>
    <row r="267">
      <c r="D267" s="151"/>
      <c r="G267" s="151"/>
    </row>
    <row r="268">
      <c r="D268" s="151"/>
      <c r="G268" s="151"/>
    </row>
    <row r="269">
      <c r="D269" s="151"/>
      <c r="G269" s="151"/>
    </row>
    <row r="270">
      <c r="D270" s="151"/>
      <c r="G270" s="151"/>
    </row>
    <row r="271">
      <c r="D271" s="151"/>
      <c r="G271" s="151"/>
    </row>
    <row r="272">
      <c r="D272" s="151"/>
      <c r="G272" s="151"/>
    </row>
    <row r="273">
      <c r="D273" s="151"/>
      <c r="G273" s="151"/>
    </row>
    <row r="274">
      <c r="D274" s="151"/>
      <c r="G274" s="151"/>
    </row>
    <row r="275">
      <c r="D275" s="151"/>
      <c r="G275" s="151"/>
    </row>
    <row r="276">
      <c r="D276" s="151"/>
      <c r="G276" s="151"/>
    </row>
    <row r="277">
      <c r="D277" s="151"/>
      <c r="G277" s="151"/>
    </row>
    <row r="278">
      <c r="D278" s="151"/>
      <c r="G278" s="151"/>
    </row>
    <row r="279">
      <c r="D279" s="151"/>
      <c r="G279" s="151"/>
    </row>
    <row r="280">
      <c r="D280" s="151"/>
      <c r="G280" s="151"/>
    </row>
    <row r="281">
      <c r="D281" s="151"/>
      <c r="G281" s="151"/>
    </row>
    <row r="282">
      <c r="D282" s="151"/>
      <c r="G282" s="151"/>
    </row>
    <row r="283">
      <c r="D283" s="151"/>
      <c r="G283" s="151"/>
    </row>
    <row r="284">
      <c r="D284" s="151"/>
      <c r="G284" s="151"/>
    </row>
    <row r="285">
      <c r="D285" s="151"/>
      <c r="G285" s="151"/>
    </row>
    <row r="286">
      <c r="D286" s="151"/>
      <c r="G286" s="151"/>
    </row>
    <row r="287">
      <c r="D287" s="151"/>
      <c r="G287" s="151"/>
    </row>
    <row r="288">
      <c r="D288" s="151"/>
      <c r="G288" s="151"/>
    </row>
    <row r="289">
      <c r="D289" s="151"/>
      <c r="G289" s="151"/>
    </row>
    <row r="290">
      <c r="D290" s="151"/>
      <c r="G290" s="151"/>
    </row>
    <row r="291">
      <c r="D291" s="151"/>
      <c r="G291" s="151"/>
    </row>
    <row r="292">
      <c r="D292" s="151"/>
      <c r="G292" s="151"/>
    </row>
    <row r="293">
      <c r="D293" s="151"/>
      <c r="G293" s="151"/>
    </row>
    <row r="294">
      <c r="D294" s="151"/>
      <c r="G294" s="151"/>
    </row>
    <row r="295">
      <c r="D295" s="151"/>
      <c r="G295" s="151"/>
    </row>
    <row r="296">
      <c r="D296" s="151"/>
      <c r="G296" s="151"/>
    </row>
    <row r="297">
      <c r="D297" s="151"/>
      <c r="G297" s="151"/>
    </row>
    <row r="298">
      <c r="D298" s="151"/>
      <c r="G298" s="151"/>
    </row>
    <row r="299">
      <c r="D299" s="151"/>
      <c r="G299" s="151"/>
    </row>
    <row r="300">
      <c r="D300" s="151"/>
      <c r="G300" s="151"/>
    </row>
    <row r="301">
      <c r="D301" s="151"/>
      <c r="G301" s="151"/>
    </row>
    <row r="302">
      <c r="D302" s="151"/>
      <c r="G302" s="151"/>
    </row>
    <row r="303">
      <c r="D303" s="151"/>
      <c r="G303" s="151"/>
    </row>
    <row r="304">
      <c r="D304" s="151"/>
      <c r="G304" s="151"/>
    </row>
    <row r="305">
      <c r="D305" s="151"/>
      <c r="G305" s="151"/>
    </row>
    <row r="306">
      <c r="D306" s="151"/>
      <c r="G306" s="151"/>
    </row>
    <row r="307">
      <c r="D307" s="151"/>
      <c r="G307" s="151"/>
    </row>
    <row r="308">
      <c r="D308" s="151"/>
      <c r="G308" s="151"/>
    </row>
    <row r="309">
      <c r="D309" s="151"/>
      <c r="G309" s="151"/>
    </row>
    <row r="310">
      <c r="D310" s="151"/>
      <c r="G310" s="151"/>
    </row>
    <row r="311">
      <c r="D311" s="151"/>
      <c r="G311" s="151"/>
    </row>
    <row r="312">
      <c r="D312" s="151"/>
      <c r="G312" s="151"/>
    </row>
    <row r="313">
      <c r="D313" s="151"/>
      <c r="G313" s="151"/>
    </row>
    <row r="314">
      <c r="D314" s="151"/>
      <c r="G314" s="151"/>
    </row>
    <row r="315">
      <c r="D315" s="151"/>
      <c r="G315" s="151"/>
    </row>
    <row r="316">
      <c r="D316" s="151"/>
      <c r="G316" s="151"/>
    </row>
    <row r="317">
      <c r="D317" s="151"/>
      <c r="G317" s="151"/>
    </row>
    <row r="318">
      <c r="D318" s="151"/>
      <c r="G318" s="151"/>
    </row>
    <row r="319">
      <c r="D319" s="151"/>
      <c r="G319" s="151"/>
    </row>
    <row r="320">
      <c r="D320" s="151"/>
      <c r="G320" s="151"/>
    </row>
    <row r="321">
      <c r="D321" s="151"/>
      <c r="G321" s="151"/>
    </row>
    <row r="322">
      <c r="D322" s="151"/>
      <c r="G322" s="151"/>
    </row>
    <row r="323">
      <c r="D323" s="151"/>
      <c r="G323" s="151"/>
    </row>
    <row r="324">
      <c r="D324" s="151"/>
      <c r="G324" s="151"/>
    </row>
    <row r="325">
      <c r="D325" s="151"/>
      <c r="G325" s="151"/>
    </row>
    <row r="326">
      <c r="D326" s="151"/>
      <c r="G326" s="151"/>
    </row>
    <row r="327">
      <c r="D327" s="151"/>
      <c r="G327" s="151"/>
    </row>
    <row r="328">
      <c r="D328" s="151"/>
      <c r="G328" s="151"/>
    </row>
    <row r="329">
      <c r="D329" s="151"/>
      <c r="G329" s="151"/>
    </row>
    <row r="330">
      <c r="D330" s="151"/>
      <c r="G330" s="151"/>
    </row>
    <row r="331">
      <c r="D331" s="151"/>
      <c r="G331" s="151"/>
    </row>
    <row r="332">
      <c r="D332" s="151"/>
      <c r="G332" s="151"/>
    </row>
    <row r="333">
      <c r="D333" s="151"/>
      <c r="G333" s="151"/>
    </row>
    <row r="334">
      <c r="D334" s="151"/>
      <c r="G334" s="151"/>
    </row>
    <row r="335">
      <c r="D335" s="151"/>
      <c r="G335" s="151"/>
    </row>
    <row r="336">
      <c r="D336" s="151"/>
      <c r="G336" s="151"/>
    </row>
    <row r="337">
      <c r="D337" s="151"/>
      <c r="G337" s="151"/>
    </row>
    <row r="338">
      <c r="D338" s="151"/>
      <c r="G338" s="151"/>
    </row>
    <row r="339">
      <c r="D339" s="151"/>
      <c r="G339" s="151"/>
    </row>
    <row r="340">
      <c r="D340" s="151"/>
      <c r="G340" s="151"/>
    </row>
    <row r="341">
      <c r="D341" s="151"/>
      <c r="G341" s="151"/>
    </row>
    <row r="342">
      <c r="D342" s="151"/>
      <c r="G342" s="151"/>
    </row>
    <row r="343">
      <c r="D343" s="151"/>
      <c r="G343" s="151"/>
    </row>
    <row r="344">
      <c r="D344" s="151"/>
      <c r="G344" s="151"/>
    </row>
    <row r="345">
      <c r="D345" s="151"/>
      <c r="G345" s="151"/>
    </row>
    <row r="346">
      <c r="D346" s="151"/>
      <c r="G346" s="151"/>
    </row>
    <row r="347">
      <c r="D347" s="151"/>
      <c r="G347" s="151"/>
    </row>
    <row r="348">
      <c r="D348" s="151"/>
      <c r="G348" s="151"/>
    </row>
    <row r="349">
      <c r="D349" s="151"/>
      <c r="G349" s="151"/>
    </row>
    <row r="350">
      <c r="D350" s="151"/>
      <c r="G350" s="151"/>
    </row>
    <row r="351">
      <c r="D351" s="151"/>
      <c r="G351" s="151"/>
    </row>
    <row r="352">
      <c r="D352" s="151"/>
      <c r="G352" s="151"/>
    </row>
    <row r="353">
      <c r="D353" s="151"/>
      <c r="G353" s="151"/>
    </row>
    <row r="354">
      <c r="D354" s="151"/>
      <c r="G354" s="151"/>
    </row>
    <row r="355">
      <c r="D355" s="151"/>
      <c r="G355" s="151"/>
    </row>
    <row r="356">
      <c r="D356" s="151"/>
      <c r="G356" s="151"/>
    </row>
    <row r="357">
      <c r="D357" s="151"/>
      <c r="G357" s="151"/>
    </row>
    <row r="358">
      <c r="D358" s="151"/>
      <c r="G358" s="151"/>
    </row>
    <row r="359">
      <c r="D359" s="151"/>
      <c r="G359" s="151"/>
    </row>
    <row r="360">
      <c r="D360" s="151"/>
      <c r="G360" s="151"/>
    </row>
    <row r="361">
      <c r="D361" s="151"/>
      <c r="G361" s="151"/>
    </row>
    <row r="362">
      <c r="D362" s="151"/>
      <c r="G362" s="151"/>
    </row>
    <row r="363">
      <c r="D363" s="151"/>
      <c r="G363" s="151"/>
    </row>
    <row r="364">
      <c r="D364" s="151"/>
      <c r="G364" s="151"/>
    </row>
    <row r="365">
      <c r="D365" s="151"/>
      <c r="G365" s="151"/>
    </row>
    <row r="366">
      <c r="D366" s="151"/>
      <c r="G366" s="151"/>
    </row>
    <row r="367">
      <c r="D367" s="151"/>
      <c r="G367" s="151"/>
    </row>
    <row r="368">
      <c r="D368" s="151"/>
      <c r="G368" s="151"/>
    </row>
    <row r="369">
      <c r="D369" s="151"/>
      <c r="G369" s="151"/>
    </row>
    <row r="370">
      <c r="D370" s="151"/>
      <c r="G370" s="151"/>
    </row>
    <row r="371">
      <c r="D371" s="151"/>
      <c r="G371" s="151"/>
    </row>
    <row r="372">
      <c r="D372" s="151"/>
      <c r="G372" s="151"/>
    </row>
    <row r="373">
      <c r="D373" s="151"/>
      <c r="G373" s="151"/>
    </row>
    <row r="374">
      <c r="D374" s="151"/>
      <c r="G374" s="151"/>
    </row>
    <row r="375">
      <c r="D375" s="151"/>
      <c r="G375" s="151"/>
    </row>
    <row r="376">
      <c r="D376" s="151"/>
      <c r="G376" s="151"/>
    </row>
    <row r="377">
      <c r="D377" s="151"/>
      <c r="G377" s="151"/>
    </row>
    <row r="378">
      <c r="D378" s="151"/>
      <c r="G378" s="151"/>
    </row>
    <row r="379">
      <c r="D379" s="151"/>
      <c r="G379" s="151"/>
    </row>
    <row r="380">
      <c r="D380" s="151"/>
      <c r="G380" s="151"/>
    </row>
    <row r="381">
      <c r="D381" s="151"/>
      <c r="G381" s="151"/>
    </row>
    <row r="382">
      <c r="D382" s="151"/>
      <c r="G382" s="151"/>
    </row>
    <row r="383">
      <c r="D383" s="151"/>
      <c r="G383" s="151"/>
    </row>
    <row r="384">
      <c r="D384" s="151"/>
      <c r="G384" s="151"/>
    </row>
    <row r="385">
      <c r="D385" s="151"/>
      <c r="G385" s="151"/>
    </row>
    <row r="386">
      <c r="D386" s="151"/>
      <c r="G386" s="151"/>
    </row>
    <row r="387">
      <c r="D387" s="151"/>
      <c r="G387" s="151"/>
    </row>
    <row r="388">
      <c r="D388" s="151"/>
      <c r="G388" s="151"/>
    </row>
    <row r="389">
      <c r="D389" s="151"/>
      <c r="G389" s="151"/>
    </row>
    <row r="390">
      <c r="D390" s="151"/>
      <c r="G390" s="151"/>
    </row>
    <row r="391">
      <c r="D391" s="151"/>
      <c r="G391" s="151"/>
    </row>
    <row r="392">
      <c r="D392" s="151"/>
      <c r="G392" s="151"/>
    </row>
    <row r="393">
      <c r="D393" s="151"/>
      <c r="G393" s="151"/>
    </row>
    <row r="394">
      <c r="D394" s="151"/>
      <c r="G394" s="151"/>
    </row>
    <row r="395">
      <c r="D395" s="151"/>
      <c r="G395" s="151"/>
    </row>
    <row r="396">
      <c r="D396" s="151"/>
      <c r="G396" s="151"/>
    </row>
    <row r="397">
      <c r="D397" s="151"/>
      <c r="G397" s="151"/>
    </row>
    <row r="398">
      <c r="D398" s="151"/>
      <c r="G398" s="151"/>
    </row>
    <row r="399">
      <c r="D399" s="151"/>
      <c r="G399" s="151"/>
    </row>
    <row r="400">
      <c r="D400" s="151"/>
      <c r="G400" s="151"/>
    </row>
    <row r="401">
      <c r="D401" s="151"/>
      <c r="G401" s="151"/>
    </row>
    <row r="402">
      <c r="D402" s="151"/>
      <c r="G402" s="151"/>
    </row>
    <row r="403">
      <c r="D403" s="151"/>
      <c r="G403" s="151"/>
    </row>
    <row r="404">
      <c r="D404" s="151"/>
      <c r="G404" s="151"/>
    </row>
    <row r="405">
      <c r="D405" s="151"/>
      <c r="G405" s="151"/>
    </row>
    <row r="406">
      <c r="D406" s="151"/>
      <c r="G406" s="151"/>
    </row>
    <row r="407">
      <c r="D407" s="151"/>
      <c r="G407" s="151"/>
    </row>
    <row r="408">
      <c r="D408" s="151"/>
      <c r="G408" s="151"/>
    </row>
    <row r="409">
      <c r="D409" s="151"/>
      <c r="G409" s="151"/>
    </row>
    <row r="410">
      <c r="D410" s="151"/>
      <c r="G410" s="151"/>
    </row>
    <row r="411">
      <c r="D411" s="151"/>
      <c r="G411" s="151"/>
    </row>
    <row r="412">
      <c r="D412" s="151"/>
      <c r="G412" s="151"/>
    </row>
    <row r="413">
      <c r="D413" s="151"/>
      <c r="G413" s="151"/>
    </row>
    <row r="414">
      <c r="D414" s="151"/>
      <c r="G414" s="151"/>
    </row>
    <row r="415">
      <c r="D415" s="151"/>
      <c r="G415" s="151"/>
    </row>
    <row r="416">
      <c r="D416" s="151"/>
      <c r="G416" s="151"/>
    </row>
    <row r="417">
      <c r="D417" s="151"/>
      <c r="G417" s="151"/>
    </row>
    <row r="418">
      <c r="D418" s="151"/>
      <c r="G418" s="151"/>
    </row>
    <row r="419">
      <c r="D419" s="151"/>
      <c r="G419" s="151"/>
    </row>
    <row r="420">
      <c r="D420" s="151"/>
      <c r="G420" s="151"/>
    </row>
    <row r="421">
      <c r="D421" s="151"/>
      <c r="G421" s="151"/>
    </row>
    <row r="422">
      <c r="D422" s="151"/>
      <c r="G422" s="151"/>
    </row>
    <row r="423">
      <c r="D423" s="151"/>
      <c r="G423" s="151"/>
    </row>
    <row r="424">
      <c r="D424" s="151"/>
      <c r="G424" s="151"/>
    </row>
    <row r="425">
      <c r="D425" s="151"/>
      <c r="G425" s="151"/>
    </row>
    <row r="426">
      <c r="D426" s="151"/>
      <c r="G426" s="151"/>
    </row>
    <row r="427">
      <c r="D427" s="151"/>
      <c r="G427" s="151"/>
    </row>
    <row r="428">
      <c r="D428" s="151"/>
      <c r="G428" s="151"/>
    </row>
    <row r="429">
      <c r="D429" s="151"/>
      <c r="G429" s="151"/>
    </row>
    <row r="430">
      <c r="D430" s="151"/>
      <c r="G430" s="151"/>
    </row>
    <row r="431">
      <c r="D431" s="151"/>
      <c r="G431" s="151"/>
    </row>
    <row r="432">
      <c r="D432" s="151"/>
      <c r="G432" s="151"/>
    </row>
    <row r="433">
      <c r="D433" s="151"/>
      <c r="G433" s="151"/>
    </row>
    <row r="434">
      <c r="D434" s="151"/>
      <c r="G434" s="151"/>
    </row>
    <row r="435">
      <c r="D435" s="151"/>
      <c r="G435" s="151"/>
    </row>
    <row r="436">
      <c r="D436" s="151"/>
      <c r="G436" s="151"/>
    </row>
    <row r="437">
      <c r="D437" s="151"/>
      <c r="G437" s="151"/>
    </row>
    <row r="438">
      <c r="D438" s="151"/>
      <c r="G438" s="151"/>
    </row>
    <row r="439">
      <c r="D439" s="151"/>
      <c r="G439" s="151"/>
    </row>
    <row r="440">
      <c r="D440" s="151"/>
      <c r="G440" s="151"/>
    </row>
    <row r="441">
      <c r="D441" s="151"/>
      <c r="G441" s="151"/>
    </row>
    <row r="442">
      <c r="D442" s="151"/>
      <c r="G442" s="151"/>
    </row>
    <row r="443">
      <c r="D443" s="151"/>
      <c r="G443" s="151"/>
    </row>
    <row r="444">
      <c r="D444" s="151"/>
      <c r="G444" s="151"/>
    </row>
    <row r="445">
      <c r="D445" s="151"/>
      <c r="G445" s="151"/>
    </row>
    <row r="446">
      <c r="D446" s="151"/>
      <c r="G446" s="151"/>
    </row>
    <row r="447">
      <c r="D447" s="151"/>
      <c r="G447" s="151"/>
    </row>
    <row r="448">
      <c r="D448" s="151"/>
      <c r="G448" s="151"/>
    </row>
    <row r="449">
      <c r="D449" s="151"/>
      <c r="G449" s="151"/>
    </row>
    <row r="450">
      <c r="D450" s="151"/>
      <c r="G450" s="151"/>
    </row>
    <row r="451">
      <c r="D451" s="151"/>
      <c r="G451" s="151"/>
    </row>
    <row r="452">
      <c r="D452" s="151"/>
      <c r="G452" s="151"/>
    </row>
    <row r="453">
      <c r="D453" s="151"/>
      <c r="G453" s="151"/>
    </row>
    <row r="454">
      <c r="D454" s="151"/>
      <c r="G454" s="151"/>
    </row>
    <row r="455">
      <c r="D455" s="151"/>
      <c r="G455" s="151"/>
    </row>
    <row r="456">
      <c r="D456" s="151"/>
      <c r="G456" s="151"/>
    </row>
    <row r="457">
      <c r="D457" s="151"/>
      <c r="G457" s="151"/>
    </row>
    <row r="458">
      <c r="D458" s="151"/>
      <c r="G458" s="151"/>
    </row>
    <row r="459">
      <c r="D459" s="151"/>
      <c r="G459" s="151"/>
    </row>
    <row r="460">
      <c r="D460" s="151"/>
      <c r="G460" s="151"/>
    </row>
    <row r="461">
      <c r="D461" s="151"/>
      <c r="G461" s="151"/>
    </row>
    <row r="462">
      <c r="D462" s="151"/>
      <c r="G462" s="151"/>
    </row>
    <row r="463">
      <c r="D463" s="151"/>
      <c r="G463" s="151"/>
    </row>
    <row r="464">
      <c r="D464" s="151"/>
      <c r="G464" s="151"/>
    </row>
    <row r="465">
      <c r="D465" s="151"/>
      <c r="G465" s="151"/>
    </row>
    <row r="466">
      <c r="D466" s="151"/>
      <c r="G466" s="151"/>
    </row>
    <row r="467">
      <c r="D467" s="151"/>
      <c r="G467" s="151"/>
    </row>
    <row r="468">
      <c r="D468" s="151"/>
      <c r="G468" s="151"/>
    </row>
    <row r="469">
      <c r="D469" s="151"/>
      <c r="G469" s="151"/>
    </row>
    <row r="470">
      <c r="D470" s="151"/>
      <c r="G470" s="151"/>
    </row>
    <row r="471">
      <c r="D471" s="151"/>
      <c r="G471" s="151"/>
    </row>
    <row r="472">
      <c r="D472" s="151"/>
      <c r="G472" s="151"/>
    </row>
    <row r="473">
      <c r="D473" s="151"/>
      <c r="G473" s="151"/>
    </row>
    <row r="474">
      <c r="D474" s="151"/>
      <c r="G474" s="151"/>
    </row>
    <row r="475">
      <c r="D475" s="151"/>
      <c r="G475" s="151"/>
    </row>
    <row r="476">
      <c r="D476" s="151"/>
      <c r="G476" s="151"/>
    </row>
    <row r="477">
      <c r="D477" s="151"/>
      <c r="G477" s="151"/>
    </row>
    <row r="478">
      <c r="D478" s="151"/>
      <c r="G478" s="151"/>
    </row>
    <row r="479">
      <c r="D479" s="151"/>
      <c r="G479" s="151"/>
    </row>
    <row r="480">
      <c r="D480" s="151"/>
      <c r="G480" s="151"/>
    </row>
    <row r="481">
      <c r="D481" s="151"/>
      <c r="G481" s="151"/>
    </row>
    <row r="482">
      <c r="D482" s="151"/>
      <c r="G482" s="151"/>
    </row>
    <row r="483">
      <c r="D483" s="151"/>
      <c r="G483" s="151"/>
    </row>
    <row r="484">
      <c r="D484" s="151"/>
      <c r="G484" s="151"/>
    </row>
    <row r="485">
      <c r="D485" s="151"/>
      <c r="G485" s="151"/>
    </row>
    <row r="486">
      <c r="D486" s="151"/>
      <c r="G486" s="151"/>
    </row>
    <row r="487">
      <c r="D487" s="151"/>
      <c r="G487" s="151"/>
    </row>
    <row r="488">
      <c r="D488" s="151"/>
      <c r="G488" s="151"/>
    </row>
    <row r="489">
      <c r="D489" s="151"/>
      <c r="G489" s="151"/>
    </row>
    <row r="490">
      <c r="D490" s="151"/>
      <c r="G490" s="151"/>
    </row>
    <row r="491">
      <c r="D491" s="151"/>
      <c r="G491" s="151"/>
    </row>
    <row r="492">
      <c r="D492" s="151"/>
      <c r="G492" s="151"/>
    </row>
    <row r="493">
      <c r="D493" s="151"/>
      <c r="G493" s="151"/>
    </row>
    <row r="494">
      <c r="D494" s="151"/>
      <c r="G494" s="151"/>
    </row>
    <row r="495">
      <c r="D495" s="151"/>
      <c r="G495" s="151"/>
    </row>
    <row r="496">
      <c r="D496" s="151"/>
      <c r="G496" s="151"/>
    </row>
    <row r="497">
      <c r="D497" s="151"/>
      <c r="G497" s="151"/>
    </row>
    <row r="498">
      <c r="D498" s="151"/>
      <c r="G498" s="151"/>
    </row>
    <row r="499">
      <c r="D499" s="151"/>
      <c r="G499" s="151"/>
    </row>
    <row r="500">
      <c r="D500" s="151"/>
      <c r="G500" s="151"/>
    </row>
    <row r="501">
      <c r="D501" s="151"/>
      <c r="G501" s="151"/>
    </row>
    <row r="502">
      <c r="D502" s="151"/>
      <c r="G502" s="151"/>
    </row>
    <row r="503">
      <c r="D503" s="151"/>
      <c r="G503" s="151"/>
    </row>
    <row r="504">
      <c r="D504" s="151"/>
      <c r="G504" s="151"/>
    </row>
    <row r="505">
      <c r="D505" s="151"/>
      <c r="G505" s="151"/>
    </row>
    <row r="506">
      <c r="D506" s="151"/>
      <c r="G506" s="151"/>
    </row>
    <row r="507">
      <c r="D507" s="151"/>
      <c r="G507" s="151"/>
    </row>
    <row r="508">
      <c r="D508" s="151"/>
      <c r="G508" s="151"/>
    </row>
    <row r="509">
      <c r="D509" s="151"/>
      <c r="G509" s="151"/>
    </row>
    <row r="510">
      <c r="D510" s="151"/>
      <c r="G510" s="151"/>
    </row>
    <row r="511">
      <c r="D511" s="151"/>
      <c r="G511" s="151"/>
    </row>
    <row r="512">
      <c r="D512" s="151"/>
      <c r="G512" s="151"/>
    </row>
    <row r="513">
      <c r="D513" s="151"/>
      <c r="G513" s="151"/>
    </row>
    <row r="514">
      <c r="D514" s="151"/>
      <c r="G514" s="151"/>
    </row>
    <row r="515">
      <c r="D515" s="151"/>
      <c r="G515" s="151"/>
    </row>
    <row r="516">
      <c r="D516" s="151"/>
      <c r="G516" s="151"/>
    </row>
    <row r="517">
      <c r="D517" s="151"/>
      <c r="G517" s="151"/>
    </row>
    <row r="518">
      <c r="D518" s="151"/>
      <c r="G518" s="151"/>
    </row>
    <row r="519">
      <c r="D519" s="151"/>
      <c r="G519" s="151"/>
    </row>
    <row r="520">
      <c r="D520" s="151"/>
      <c r="G520" s="151"/>
    </row>
    <row r="521">
      <c r="D521" s="151"/>
      <c r="G521" s="151"/>
    </row>
    <row r="522">
      <c r="D522" s="151"/>
      <c r="G522" s="151"/>
    </row>
    <row r="523">
      <c r="D523" s="151"/>
      <c r="G523" s="151"/>
    </row>
    <row r="524">
      <c r="D524" s="151"/>
      <c r="G524" s="151"/>
    </row>
    <row r="525">
      <c r="D525" s="151"/>
      <c r="G525" s="151"/>
    </row>
    <row r="526">
      <c r="D526" s="151"/>
      <c r="G526" s="151"/>
    </row>
    <row r="527">
      <c r="D527" s="151"/>
      <c r="G527" s="151"/>
    </row>
    <row r="528">
      <c r="D528" s="151"/>
      <c r="G528" s="151"/>
    </row>
    <row r="529">
      <c r="D529" s="151"/>
      <c r="G529" s="151"/>
    </row>
    <row r="530">
      <c r="D530" s="151"/>
      <c r="G530" s="151"/>
    </row>
    <row r="531">
      <c r="D531" s="151"/>
      <c r="G531" s="151"/>
    </row>
    <row r="532">
      <c r="D532" s="151"/>
      <c r="G532" s="151"/>
    </row>
    <row r="533">
      <c r="D533" s="151"/>
      <c r="G533" s="151"/>
    </row>
    <row r="534">
      <c r="D534" s="151"/>
      <c r="G534" s="151"/>
    </row>
    <row r="535">
      <c r="D535" s="151"/>
      <c r="G535" s="151"/>
    </row>
    <row r="536">
      <c r="D536" s="151"/>
      <c r="G536" s="151"/>
    </row>
    <row r="537">
      <c r="D537" s="151"/>
      <c r="G537" s="151"/>
    </row>
    <row r="538">
      <c r="D538" s="151"/>
      <c r="G538" s="151"/>
    </row>
    <row r="539">
      <c r="D539" s="151"/>
      <c r="G539" s="151"/>
    </row>
    <row r="540">
      <c r="D540" s="151"/>
      <c r="G540" s="151"/>
    </row>
    <row r="541">
      <c r="D541" s="151"/>
      <c r="G541" s="151"/>
    </row>
    <row r="542">
      <c r="D542" s="151"/>
      <c r="G542" s="151"/>
    </row>
    <row r="543">
      <c r="D543" s="151"/>
      <c r="G543" s="151"/>
    </row>
    <row r="544">
      <c r="D544" s="151"/>
      <c r="G544" s="151"/>
    </row>
    <row r="545">
      <c r="D545" s="151"/>
      <c r="G545" s="151"/>
    </row>
    <row r="546">
      <c r="D546" s="151"/>
      <c r="G546" s="151"/>
    </row>
    <row r="547">
      <c r="D547" s="151"/>
      <c r="G547" s="151"/>
    </row>
    <row r="548">
      <c r="D548" s="151"/>
      <c r="G548" s="151"/>
    </row>
    <row r="549">
      <c r="D549" s="151"/>
      <c r="G549" s="151"/>
    </row>
    <row r="550">
      <c r="D550" s="151"/>
      <c r="G550" s="151"/>
    </row>
    <row r="551">
      <c r="D551" s="151"/>
      <c r="G551" s="151"/>
    </row>
    <row r="552">
      <c r="D552" s="151"/>
      <c r="G552" s="151"/>
    </row>
    <row r="553">
      <c r="D553" s="151"/>
      <c r="G553" s="151"/>
    </row>
    <row r="554">
      <c r="D554" s="151"/>
      <c r="G554" s="151"/>
    </row>
    <row r="555">
      <c r="D555" s="151"/>
      <c r="G555" s="151"/>
    </row>
    <row r="556">
      <c r="D556" s="151"/>
      <c r="G556" s="151"/>
    </row>
    <row r="557">
      <c r="D557" s="151"/>
      <c r="G557" s="151"/>
    </row>
    <row r="558">
      <c r="D558" s="151"/>
      <c r="G558" s="151"/>
    </row>
    <row r="559">
      <c r="D559" s="151"/>
      <c r="G559" s="151"/>
    </row>
    <row r="560">
      <c r="D560" s="151"/>
      <c r="G560" s="151"/>
    </row>
    <row r="561">
      <c r="D561" s="151"/>
      <c r="G561" s="151"/>
    </row>
    <row r="562">
      <c r="D562" s="151"/>
      <c r="G562" s="151"/>
    </row>
    <row r="563">
      <c r="D563" s="151"/>
      <c r="G563" s="151"/>
    </row>
    <row r="564">
      <c r="D564" s="151"/>
      <c r="G564" s="151"/>
    </row>
    <row r="565">
      <c r="D565" s="151"/>
      <c r="G565" s="151"/>
    </row>
    <row r="566">
      <c r="D566" s="151"/>
      <c r="G566" s="151"/>
    </row>
    <row r="567">
      <c r="D567" s="151"/>
      <c r="G567" s="151"/>
    </row>
    <row r="568">
      <c r="D568" s="151"/>
      <c r="G568" s="151"/>
    </row>
    <row r="569">
      <c r="D569" s="151"/>
      <c r="G569" s="151"/>
    </row>
    <row r="570">
      <c r="D570" s="151"/>
      <c r="G570" s="151"/>
    </row>
    <row r="571">
      <c r="D571" s="151"/>
      <c r="G571" s="151"/>
    </row>
    <row r="572">
      <c r="D572" s="151"/>
      <c r="G572" s="151"/>
    </row>
    <row r="573">
      <c r="D573" s="151"/>
      <c r="G573" s="151"/>
    </row>
    <row r="574">
      <c r="D574" s="151"/>
      <c r="G574" s="151"/>
    </row>
    <row r="575">
      <c r="D575" s="151"/>
      <c r="G575" s="151"/>
    </row>
    <row r="576">
      <c r="D576" s="151"/>
      <c r="G576" s="151"/>
    </row>
    <row r="577">
      <c r="D577" s="151"/>
      <c r="G577" s="151"/>
    </row>
    <row r="578">
      <c r="D578" s="151"/>
      <c r="G578" s="151"/>
    </row>
    <row r="579">
      <c r="D579" s="151"/>
      <c r="G579" s="151"/>
    </row>
    <row r="580">
      <c r="D580" s="151"/>
      <c r="G580" s="151"/>
    </row>
    <row r="581">
      <c r="D581" s="151"/>
      <c r="G581" s="151"/>
    </row>
    <row r="582">
      <c r="D582" s="151"/>
      <c r="G582" s="151"/>
    </row>
    <row r="583">
      <c r="D583" s="151"/>
      <c r="G583" s="151"/>
    </row>
    <row r="584">
      <c r="D584" s="151"/>
      <c r="G584" s="151"/>
    </row>
    <row r="585">
      <c r="D585" s="151"/>
      <c r="G585" s="151"/>
    </row>
    <row r="586">
      <c r="D586" s="151"/>
      <c r="G586" s="151"/>
    </row>
    <row r="587">
      <c r="D587" s="151"/>
      <c r="G587" s="151"/>
    </row>
    <row r="588">
      <c r="D588" s="151"/>
      <c r="G588" s="151"/>
    </row>
    <row r="589">
      <c r="D589" s="151"/>
      <c r="G589" s="151"/>
    </row>
    <row r="590">
      <c r="D590" s="151"/>
      <c r="G590" s="151"/>
    </row>
    <row r="591">
      <c r="D591" s="151"/>
      <c r="G591" s="151"/>
    </row>
    <row r="592">
      <c r="D592" s="151"/>
      <c r="G592" s="151"/>
    </row>
    <row r="593">
      <c r="D593" s="151"/>
      <c r="G593" s="151"/>
    </row>
    <row r="594">
      <c r="D594" s="151"/>
      <c r="G594" s="151"/>
    </row>
    <row r="595">
      <c r="D595" s="151"/>
      <c r="G595" s="151"/>
    </row>
    <row r="596">
      <c r="D596" s="151"/>
      <c r="G596" s="151"/>
    </row>
    <row r="597">
      <c r="D597" s="151"/>
      <c r="G597" s="151"/>
    </row>
    <row r="598">
      <c r="D598" s="151"/>
      <c r="G598" s="151"/>
    </row>
    <row r="599">
      <c r="D599" s="151"/>
      <c r="G599" s="151"/>
    </row>
    <row r="600">
      <c r="D600" s="151"/>
      <c r="G600" s="151"/>
    </row>
    <row r="601">
      <c r="D601" s="151"/>
      <c r="G601" s="151"/>
    </row>
    <row r="602">
      <c r="D602" s="151"/>
      <c r="G602" s="151"/>
    </row>
    <row r="603">
      <c r="D603" s="151"/>
      <c r="G603" s="151"/>
    </row>
    <row r="604">
      <c r="D604" s="151"/>
      <c r="G604" s="151"/>
    </row>
    <row r="605">
      <c r="D605" s="151"/>
      <c r="G605" s="151"/>
    </row>
    <row r="606">
      <c r="D606" s="151"/>
      <c r="G606" s="151"/>
    </row>
    <row r="607">
      <c r="D607" s="151"/>
      <c r="G607" s="151"/>
    </row>
    <row r="608">
      <c r="D608" s="151"/>
      <c r="G608" s="151"/>
    </row>
    <row r="609">
      <c r="D609" s="151"/>
      <c r="G609" s="151"/>
    </row>
    <row r="610">
      <c r="D610" s="151"/>
      <c r="G610" s="151"/>
    </row>
    <row r="611">
      <c r="D611" s="151"/>
      <c r="G611" s="151"/>
    </row>
    <row r="612">
      <c r="D612" s="151"/>
      <c r="G612" s="151"/>
    </row>
    <row r="613">
      <c r="D613" s="151"/>
      <c r="G613" s="151"/>
    </row>
    <row r="614">
      <c r="D614" s="151"/>
      <c r="G614" s="151"/>
    </row>
    <row r="615">
      <c r="D615" s="151"/>
      <c r="G615" s="151"/>
    </row>
    <row r="616">
      <c r="D616" s="151"/>
      <c r="G616" s="151"/>
    </row>
    <row r="617">
      <c r="D617" s="151"/>
      <c r="G617" s="151"/>
    </row>
    <row r="618">
      <c r="D618" s="151"/>
      <c r="G618" s="151"/>
    </row>
    <row r="619">
      <c r="D619" s="151"/>
      <c r="G619" s="151"/>
    </row>
    <row r="620">
      <c r="D620" s="151"/>
      <c r="G620" s="151"/>
    </row>
    <row r="621">
      <c r="D621" s="151"/>
      <c r="G621" s="151"/>
    </row>
    <row r="622">
      <c r="D622" s="151"/>
      <c r="G622" s="151"/>
    </row>
    <row r="623">
      <c r="D623" s="151"/>
      <c r="G623" s="151"/>
    </row>
    <row r="624">
      <c r="D624" s="151"/>
      <c r="G624" s="151"/>
    </row>
    <row r="625">
      <c r="D625" s="151"/>
      <c r="G625" s="151"/>
    </row>
    <row r="626">
      <c r="D626" s="151"/>
      <c r="G626" s="151"/>
    </row>
    <row r="627">
      <c r="D627" s="151"/>
      <c r="G627" s="151"/>
    </row>
    <row r="628">
      <c r="D628" s="151"/>
      <c r="G628" s="151"/>
    </row>
    <row r="629">
      <c r="D629" s="151"/>
      <c r="G629" s="151"/>
    </row>
    <row r="630">
      <c r="D630" s="151"/>
      <c r="G630" s="151"/>
    </row>
    <row r="631">
      <c r="D631" s="151"/>
      <c r="G631" s="151"/>
    </row>
    <row r="632">
      <c r="D632" s="151"/>
      <c r="G632" s="151"/>
    </row>
    <row r="633">
      <c r="D633" s="151"/>
      <c r="G633" s="151"/>
    </row>
    <row r="634">
      <c r="D634" s="151"/>
      <c r="G634" s="151"/>
    </row>
    <row r="635">
      <c r="D635" s="151"/>
      <c r="G635" s="151"/>
    </row>
    <row r="636">
      <c r="D636" s="151"/>
      <c r="G636" s="151"/>
    </row>
    <row r="637">
      <c r="D637" s="151"/>
      <c r="G637" s="151"/>
    </row>
    <row r="638">
      <c r="D638" s="151"/>
      <c r="G638" s="151"/>
    </row>
    <row r="639">
      <c r="D639" s="151"/>
      <c r="G639" s="151"/>
    </row>
    <row r="640">
      <c r="D640" s="151"/>
      <c r="G640" s="151"/>
    </row>
    <row r="641">
      <c r="D641" s="151"/>
      <c r="G641" s="151"/>
    </row>
    <row r="642">
      <c r="D642" s="151"/>
      <c r="G642" s="151"/>
    </row>
    <row r="643">
      <c r="D643" s="151"/>
      <c r="G643" s="151"/>
    </row>
    <row r="644">
      <c r="D644" s="151"/>
      <c r="G644" s="151"/>
    </row>
    <row r="645">
      <c r="D645" s="151"/>
      <c r="G645" s="151"/>
    </row>
    <row r="646">
      <c r="D646" s="151"/>
      <c r="G646" s="151"/>
    </row>
    <row r="647">
      <c r="D647" s="151"/>
      <c r="G647" s="151"/>
    </row>
    <row r="648">
      <c r="D648" s="151"/>
      <c r="G648" s="151"/>
    </row>
    <row r="649">
      <c r="D649" s="151"/>
      <c r="G649" s="151"/>
    </row>
    <row r="650">
      <c r="D650" s="151"/>
      <c r="G650" s="151"/>
    </row>
    <row r="651">
      <c r="D651" s="151"/>
      <c r="G651" s="151"/>
    </row>
    <row r="652">
      <c r="D652" s="151"/>
      <c r="G652" s="151"/>
    </row>
    <row r="653">
      <c r="D653" s="151"/>
      <c r="G653" s="151"/>
    </row>
    <row r="654">
      <c r="D654" s="151"/>
      <c r="G654" s="151"/>
    </row>
    <row r="655">
      <c r="D655" s="151"/>
      <c r="G655" s="151"/>
    </row>
    <row r="656">
      <c r="D656" s="151"/>
      <c r="G656" s="151"/>
    </row>
    <row r="657">
      <c r="D657" s="151"/>
      <c r="G657" s="151"/>
    </row>
    <row r="658">
      <c r="D658" s="151"/>
      <c r="G658" s="151"/>
    </row>
    <row r="659">
      <c r="D659" s="151"/>
      <c r="G659" s="151"/>
    </row>
    <row r="660">
      <c r="D660" s="151"/>
      <c r="G660" s="151"/>
    </row>
    <row r="661">
      <c r="D661" s="151"/>
      <c r="G661" s="151"/>
    </row>
    <row r="662">
      <c r="D662" s="151"/>
      <c r="G662" s="151"/>
    </row>
    <row r="663">
      <c r="D663" s="151"/>
      <c r="G663" s="151"/>
    </row>
    <row r="664">
      <c r="D664" s="151"/>
      <c r="G664" s="151"/>
    </row>
    <row r="665">
      <c r="D665" s="151"/>
      <c r="G665" s="151"/>
    </row>
    <row r="666">
      <c r="D666" s="151"/>
      <c r="G666" s="151"/>
    </row>
    <row r="667">
      <c r="D667" s="151"/>
      <c r="G667" s="151"/>
    </row>
    <row r="668">
      <c r="D668" s="151"/>
      <c r="G668" s="151"/>
    </row>
    <row r="669">
      <c r="D669" s="151"/>
      <c r="G669" s="151"/>
    </row>
    <row r="670">
      <c r="D670" s="151"/>
      <c r="G670" s="151"/>
    </row>
    <row r="671">
      <c r="D671" s="151"/>
      <c r="G671" s="151"/>
    </row>
    <row r="672">
      <c r="D672" s="151"/>
      <c r="G672" s="151"/>
    </row>
    <row r="673">
      <c r="D673" s="151"/>
      <c r="G673" s="151"/>
    </row>
    <row r="674">
      <c r="D674" s="151"/>
      <c r="G674" s="151"/>
    </row>
    <row r="675">
      <c r="D675" s="151"/>
      <c r="G675" s="151"/>
    </row>
    <row r="676">
      <c r="D676" s="151"/>
      <c r="G676" s="151"/>
    </row>
    <row r="677">
      <c r="D677" s="151"/>
      <c r="G677" s="151"/>
    </row>
    <row r="678">
      <c r="D678" s="151"/>
      <c r="G678" s="151"/>
    </row>
    <row r="679">
      <c r="D679" s="151"/>
      <c r="G679" s="151"/>
    </row>
    <row r="680">
      <c r="D680" s="151"/>
      <c r="G680" s="151"/>
    </row>
    <row r="681">
      <c r="D681" s="151"/>
      <c r="G681" s="151"/>
    </row>
    <row r="682">
      <c r="D682" s="151"/>
      <c r="G682" s="151"/>
    </row>
    <row r="683">
      <c r="D683" s="151"/>
      <c r="G683" s="151"/>
    </row>
    <row r="684">
      <c r="D684" s="151"/>
      <c r="G684" s="151"/>
    </row>
    <row r="685">
      <c r="D685" s="151"/>
      <c r="G685" s="151"/>
    </row>
    <row r="686">
      <c r="D686" s="151"/>
      <c r="G686" s="151"/>
    </row>
    <row r="687">
      <c r="D687" s="151"/>
      <c r="G687" s="151"/>
    </row>
    <row r="688">
      <c r="D688" s="151"/>
      <c r="G688" s="151"/>
    </row>
    <row r="689">
      <c r="D689" s="151"/>
      <c r="G689" s="151"/>
    </row>
    <row r="690">
      <c r="D690" s="151"/>
      <c r="G690" s="151"/>
    </row>
    <row r="691">
      <c r="D691" s="151"/>
      <c r="G691" s="151"/>
    </row>
    <row r="692">
      <c r="D692" s="151"/>
      <c r="G692" s="151"/>
    </row>
    <row r="693">
      <c r="D693" s="151"/>
      <c r="G693" s="151"/>
    </row>
    <row r="694">
      <c r="D694" s="151"/>
      <c r="G694" s="151"/>
    </row>
    <row r="695">
      <c r="D695" s="151"/>
      <c r="G695" s="151"/>
    </row>
    <row r="696">
      <c r="D696" s="151"/>
      <c r="G696" s="151"/>
    </row>
    <row r="697">
      <c r="D697" s="151"/>
      <c r="G697" s="151"/>
    </row>
    <row r="698">
      <c r="D698" s="151"/>
      <c r="G698" s="151"/>
    </row>
    <row r="699">
      <c r="D699" s="151"/>
      <c r="G699" s="151"/>
    </row>
    <row r="700">
      <c r="D700" s="151"/>
      <c r="G700" s="151"/>
    </row>
    <row r="701">
      <c r="D701" s="151"/>
      <c r="G701" s="151"/>
    </row>
    <row r="702">
      <c r="D702" s="151"/>
      <c r="G702" s="151"/>
    </row>
    <row r="703">
      <c r="D703" s="151"/>
      <c r="G703" s="151"/>
    </row>
    <row r="704">
      <c r="D704" s="151"/>
      <c r="G704" s="151"/>
    </row>
    <row r="705">
      <c r="D705" s="151"/>
      <c r="G705" s="151"/>
    </row>
    <row r="706">
      <c r="D706" s="151"/>
      <c r="G706" s="151"/>
    </row>
    <row r="707">
      <c r="D707" s="151"/>
      <c r="G707" s="151"/>
    </row>
    <row r="708">
      <c r="D708" s="151"/>
      <c r="G708" s="151"/>
    </row>
    <row r="709">
      <c r="D709" s="151"/>
      <c r="G709" s="151"/>
    </row>
    <row r="710">
      <c r="D710" s="151"/>
      <c r="G710" s="151"/>
    </row>
    <row r="711">
      <c r="D711" s="151"/>
      <c r="G711" s="151"/>
    </row>
    <row r="712">
      <c r="D712" s="151"/>
      <c r="G712" s="151"/>
    </row>
    <row r="713">
      <c r="D713" s="151"/>
      <c r="G713" s="151"/>
    </row>
    <row r="714">
      <c r="D714" s="151"/>
      <c r="G714" s="151"/>
    </row>
    <row r="715">
      <c r="D715" s="151"/>
      <c r="G715" s="151"/>
    </row>
    <row r="716">
      <c r="D716" s="151"/>
      <c r="G716" s="151"/>
    </row>
    <row r="717">
      <c r="D717" s="151"/>
      <c r="G717" s="151"/>
    </row>
    <row r="718">
      <c r="D718" s="151"/>
      <c r="G718" s="151"/>
    </row>
    <row r="719">
      <c r="D719" s="151"/>
      <c r="G719" s="151"/>
    </row>
    <row r="720">
      <c r="D720" s="151"/>
      <c r="G720" s="151"/>
    </row>
    <row r="721">
      <c r="D721" s="151"/>
      <c r="G721" s="151"/>
    </row>
    <row r="722">
      <c r="D722" s="151"/>
      <c r="G722" s="151"/>
    </row>
    <row r="723">
      <c r="D723" s="151"/>
      <c r="G723" s="151"/>
    </row>
    <row r="724">
      <c r="D724" s="151"/>
      <c r="G724" s="151"/>
    </row>
    <row r="725">
      <c r="D725" s="151"/>
      <c r="G725" s="151"/>
    </row>
    <row r="726">
      <c r="D726" s="151"/>
      <c r="G726" s="151"/>
    </row>
    <row r="727">
      <c r="D727" s="151"/>
      <c r="G727" s="151"/>
    </row>
    <row r="728">
      <c r="D728" s="151"/>
      <c r="G728" s="151"/>
    </row>
    <row r="729">
      <c r="D729" s="151"/>
      <c r="G729" s="151"/>
    </row>
    <row r="730">
      <c r="D730" s="151"/>
      <c r="G730" s="151"/>
    </row>
    <row r="731">
      <c r="D731" s="151"/>
      <c r="G731" s="151"/>
    </row>
    <row r="732">
      <c r="D732" s="151"/>
      <c r="G732" s="151"/>
    </row>
    <row r="733">
      <c r="D733" s="151"/>
      <c r="G733" s="151"/>
    </row>
    <row r="734">
      <c r="D734" s="151"/>
      <c r="G734" s="151"/>
    </row>
    <row r="735">
      <c r="D735" s="151"/>
      <c r="G735" s="151"/>
    </row>
    <row r="736">
      <c r="D736" s="151"/>
      <c r="G736" s="151"/>
    </row>
    <row r="737">
      <c r="D737" s="151"/>
      <c r="G737" s="151"/>
    </row>
    <row r="738">
      <c r="D738" s="151"/>
      <c r="G738" s="151"/>
    </row>
    <row r="739">
      <c r="D739" s="151"/>
      <c r="G739" s="151"/>
    </row>
    <row r="740">
      <c r="D740" s="151"/>
      <c r="G740" s="151"/>
    </row>
    <row r="741">
      <c r="D741" s="151"/>
      <c r="G741" s="151"/>
    </row>
    <row r="742">
      <c r="D742" s="151"/>
      <c r="G742" s="151"/>
    </row>
    <row r="743">
      <c r="D743" s="151"/>
      <c r="G743" s="151"/>
    </row>
    <row r="744">
      <c r="D744" s="151"/>
      <c r="G744" s="151"/>
    </row>
    <row r="745">
      <c r="D745" s="151"/>
      <c r="G745" s="151"/>
    </row>
    <row r="746">
      <c r="D746" s="151"/>
      <c r="G746" s="151"/>
    </row>
    <row r="747">
      <c r="D747" s="151"/>
      <c r="G747" s="151"/>
    </row>
    <row r="748">
      <c r="D748" s="151"/>
      <c r="G748" s="151"/>
    </row>
    <row r="749">
      <c r="D749" s="151"/>
      <c r="G749" s="151"/>
    </row>
    <row r="750">
      <c r="D750" s="151"/>
      <c r="G750" s="151"/>
    </row>
    <row r="751">
      <c r="D751" s="151"/>
      <c r="G751" s="151"/>
    </row>
    <row r="752">
      <c r="D752" s="151"/>
      <c r="G752" s="151"/>
    </row>
    <row r="753">
      <c r="D753" s="151"/>
      <c r="G753" s="151"/>
    </row>
    <row r="754">
      <c r="D754" s="151"/>
      <c r="G754" s="151"/>
    </row>
    <row r="755">
      <c r="D755" s="151"/>
      <c r="G755" s="151"/>
    </row>
    <row r="756">
      <c r="D756" s="151"/>
      <c r="G756" s="151"/>
    </row>
    <row r="757">
      <c r="D757" s="151"/>
      <c r="G757" s="151"/>
    </row>
    <row r="758">
      <c r="D758" s="151"/>
      <c r="G758" s="151"/>
    </row>
    <row r="759">
      <c r="D759" s="151"/>
      <c r="G759" s="151"/>
    </row>
    <row r="760">
      <c r="D760" s="151"/>
      <c r="G760" s="151"/>
    </row>
    <row r="761">
      <c r="D761" s="151"/>
      <c r="G761" s="151"/>
    </row>
    <row r="762">
      <c r="D762" s="151"/>
      <c r="G762" s="151"/>
    </row>
    <row r="763">
      <c r="D763" s="151"/>
      <c r="G763" s="151"/>
    </row>
    <row r="764">
      <c r="D764" s="151"/>
      <c r="G764" s="151"/>
    </row>
    <row r="765">
      <c r="D765" s="151"/>
      <c r="G765" s="151"/>
    </row>
    <row r="766">
      <c r="D766" s="151"/>
      <c r="G766" s="151"/>
    </row>
    <row r="767">
      <c r="D767" s="151"/>
      <c r="G767" s="151"/>
    </row>
    <row r="768">
      <c r="D768" s="151"/>
      <c r="G768" s="151"/>
    </row>
    <row r="769">
      <c r="D769" s="151"/>
      <c r="G769" s="151"/>
    </row>
    <row r="770">
      <c r="D770" s="151"/>
      <c r="G770" s="151"/>
    </row>
    <row r="771">
      <c r="D771" s="151"/>
      <c r="G771" s="151"/>
    </row>
    <row r="772">
      <c r="D772" s="151"/>
      <c r="G772" s="151"/>
    </row>
    <row r="773">
      <c r="D773" s="151"/>
      <c r="G773" s="151"/>
    </row>
    <row r="774">
      <c r="D774" s="151"/>
      <c r="G774" s="151"/>
    </row>
    <row r="775">
      <c r="D775" s="151"/>
      <c r="G775" s="151"/>
    </row>
    <row r="776">
      <c r="D776" s="151"/>
      <c r="G776" s="151"/>
    </row>
    <row r="777">
      <c r="D777" s="151"/>
      <c r="G777" s="151"/>
    </row>
    <row r="778">
      <c r="D778" s="151"/>
      <c r="G778" s="151"/>
    </row>
    <row r="779">
      <c r="D779" s="151"/>
      <c r="G779" s="151"/>
    </row>
    <row r="780">
      <c r="D780" s="151"/>
      <c r="G780" s="151"/>
    </row>
    <row r="781">
      <c r="D781" s="151"/>
      <c r="G781" s="151"/>
    </row>
    <row r="782">
      <c r="D782" s="151"/>
      <c r="G782" s="151"/>
    </row>
    <row r="783">
      <c r="D783" s="151"/>
      <c r="G783" s="151"/>
    </row>
    <row r="784">
      <c r="D784" s="151"/>
      <c r="G784" s="151"/>
    </row>
    <row r="785">
      <c r="D785" s="151"/>
      <c r="G785" s="151"/>
    </row>
    <row r="786">
      <c r="D786" s="151"/>
      <c r="G786" s="151"/>
    </row>
    <row r="787">
      <c r="D787" s="151"/>
      <c r="G787" s="151"/>
    </row>
    <row r="788">
      <c r="D788" s="151"/>
      <c r="G788" s="151"/>
    </row>
    <row r="789">
      <c r="D789" s="151"/>
      <c r="G789" s="151"/>
    </row>
    <row r="790">
      <c r="D790" s="151"/>
      <c r="G790" s="151"/>
    </row>
    <row r="791">
      <c r="D791" s="151"/>
      <c r="G791" s="151"/>
    </row>
    <row r="792">
      <c r="D792" s="151"/>
      <c r="G792" s="151"/>
    </row>
    <row r="793">
      <c r="D793" s="151"/>
      <c r="G793" s="151"/>
    </row>
    <row r="794">
      <c r="D794" s="151"/>
      <c r="G794" s="151"/>
    </row>
    <row r="795">
      <c r="D795" s="151"/>
      <c r="G795" s="151"/>
    </row>
    <row r="796">
      <c r="D796" s="151"/>
      <c r="G796" s="151"/>
    </row>
    <row r="797">
      <c r="D797" s="151"/>
      <c r="G797" s="151"/>
    </row>
    <row r="798">
      <c r="D798" s="151"/>
      <c r="G798" s="151"/>
    </row>
    <row r="799">
      <c r="D799" s="151"/>
      <c r="G799" s="151"/>
    </row>
    <row r="800">
      <c r="D800" s="151"/>
      <c r="G800" s="151"/>
    </row>
    <row r="801">
      <c r="D801" s="151"/>
      <c r="G801" s="151"/>
    </row>
    <row r="802">
      <c r="D802" s="151"/>
      <c r="G802" s="151"/>
    </row>
    <row r="803">
      <c r="D803" s="151"/>
      <c r="G803" s="151"/>
    </row>
    <row r="804">
      <c r="D804" s="151"/>
      <c r="G804" s="151"/>
    </row>
    <row r="805">
      <c r="D805" s="151"/>
      <c r="G805" s="151"/>
    </row>
    <row r="806">
      <c r="D806" s="151"/>
      <c r="G806" s="151"/>
    </row>
    <row r="807">
      <c r="D807" s="151"/>
      <c r="G807" s="151"/>
    </row>
    <row r="808">
      <c r="D808" s="151"/>
      <c r="G808" s="151"/>
    </row>
    <row r="809">
      <c r="D809" s="151"/>
      <c r="G809" s="151"/>
    </row>
    <row r="810">
      <c r="D810" s="151"/>
      <c r="G810" s="151"/>
    </row>
    <row r="811">
      <c r="D811" s="151"/>
      <c r="G811" s="151"/>
    </row>
    <row r="812">
      <c r="D812" s="151"/>
      <c r="G812" s="151"/>
    </row>
    <row r="813">
      <c r="D813" s="151"/>
      <c r="G813" s="151"/>
    </row>
    <row r="814">
      <c r="D814" s="151"/>
      <c r="G814" s="151"/>
    </row>
    <row r="815">
      <c r="D815" s="151"/>
      <c r="G815" s="151"/>
    </row>
    <row r="816">
      <c r="D816" s="151"/>
      <c r="G816" s="151"/>
    </row>
    <row r="817">
      <c r="D817" s="151"/>
      <c r="G817" s="151"/>
    </row>
    <row r="818">
      <c r="D818" s="151"/>
      <c r="G818" s="151"/>
    </row>
    <row r="819">
      <c r="D819" s="151"/>
      <c r="G819" s="151"/>
    </row>
    <row r="820">
      <c r="D820" s="151"/>
      <c r="G820" s="151"/>
    </row>
    <row r="821">
      <c r="D821" s="151"/>
      <c r="G821" s="151"/>
    </row>
    <row r="822">
      <c r="D822" s="151"/>
      <c r="G822" s="151"/>
    </row>
    <row r="823">
      <c r="D823" s="151"/>
      <c r="G823" s="151"/>
    </row>
    <row r="824">
      <c r="D824" s="151"/>
      <c r="G824" s="151"/>
    </row>
    <row r="825">
      <c r="D825" s="151"/>
      <c r="G825" s="151"/>
    </row>
    <row r="826">
      <c r="D826" s="151"/>
      <c r="G826" s="151"/>
    </row>
    <row r="827">
      <c r="D827" s="151"/>
      <c r="G827" s="151"/>
    </row>
    <row r="828">
      <c r="D828" s="151"/>
      <c r="G828" s="151"/>
    </row>
    <row r="829">
      <c r="D829" s="151"/>
      <c r="G829" s="151"/>
    </row>
    <row r="830">
      <c r="D830" s="151"/>
      <c r="G830" s="151"/>
    </row>
    <row r="831">
      <c r="D831" s="151"/>
      <c r="G831" s="151"/>
    </row>
    <row r="832">
      <c r="D832" s="151"/>
      <c r="G832" s="151"/>
    </row>
    <row r="833">
      <c r="D833" s="151"/>
      <c r="G833" s="151"/>
    </row>
    <row r="834">
      <c r="D834" s="151"/>
      <c r="G834" s="151"/>
    </row>
    <row r="835">
      <c r="D835" s="151"/>
      <c r="G835" s="151"/>
    </row>
    <row r="836">
      <c r="D836" s="151"/>
      <c r="G836" s="151"/>
    </row>
    <row r="837">
      <c r="D837" s="151"/>
      <c r="G837" s="151"/>
    </row>
    <row r="838">
      <c r="D838" s="151"/>
      <c r="G838" s="151"/>
    </row>
    <row r="839">
      <c r="D839" s="151"/>
      <c r="G839" s="151"/>
    </row>
    <row r="840">
      <c r="D840" s="151"/>
      <c r="G840" s="151"/>
    </row>
    <row r="841">
      <c r="D841" s="151"/>
      <c r="G841" s="151"/>
    </row>
    <row r="842">
      <c r="D842" s="151"/>
      <c r="G842" s="151"/>
    </row>
    <row r="843">
      <c r="D843" s="151"/>
      <c r="G843" s="151"/>
    </row>
    <row r="844">
      <c r="D844" s="151"/>
      <c r="G844" s="151"/>
    </row>
    <row r="845">
      <c r="D845" s="151"/>
      <c r="G845" s="151"/>
    </row>
    <row r="846">
      <c r="D846" s="151"/>
      <c r="G846" s="151"/>
    </row>
    <row r="847">
      <c r="D847" s="151"/>
      <c r="G847" s="151"/>
    </row>
    <row r="848">
      <c r="D848" s="151"/>
      <c r="G848" s="151"/>
    </row>
    <row r="849">
      <c r="D849" s="151"/>
      <c r="G849" s="151"/>
    </row>
    <row r="850">
      <c r="D850" s="151"/>
      <c r="G850" s="151"/>
    </row>
    <row r="851">
      <c r="D851" s="151"/>
      <c r="G851" s="151"/>
    </row>
    <row r="852">
      <c r="D852" s="151"/>
      <c r="G852" s="151"/>
    </row>
    <row r="853">
      <c r="D853" s="151"/>
      <c r="G853" s="151"/>
    </row>
    <row r="854">
      <c r="D854" s="151"/>
      <c r="G854" s="151"/>
    </row>
    <row r="855">
      <c r="D855" s="151"/>
      <c r="G855" s="151"/>
    </row>
    <row r="856">
      <c r="D856" s="151"/>
      <c r="G856" s="151"/>
    </row>
    <row r="857">
      <c r="D857" s="151"/>
      <c r="G857" s="151"/>
    </row>
    <row r="858">
      <c r="D858" s="151"/>
      <c r="G858" s="151"/>
    </row>
    <row r="859">
      <c r="D859" s="151"/>
      <c r="G859" s="151"/>
    </row>
    <row r="860">
      <c r="D860" s="151"/>
      <c r="G860" s="151"/>
    </row>
    <row r="861">
      <c r="D861" s="151"/>
      <c r="G861" s="151"/>
    </row>
    <row r="862">
      <c r="D862" s="151"/>
      <c r="G862" s="151"/>
    </row>
    <row r="863">
      <c r="D863" s="151"/>
      <c r="G863" s="151"/>
    </row>
    <row r="864">
      <c r="D864" s="151"/>
      <c r="G864" s="151"/>
    </row>
    <row r="865">
      <c r="D865" s="151"/>
      <c r="G865" s="151"/>
    </row>
    <row r="866">
      <c r="D866" s="151"/>
      <c r="G866" s="151"/>
    </row>
    <row r="867">
      <c r="D867" s="151"/>
      <c r="G867" s="151"/>
    </row>
    <row r="868">
      <c r="D868" s="151"/>
      <c r="G868" s="151"/>
    </row>
    <row r="869">
      <c r="D869" s="151"/>
      <c r="G869" s="151"/>
    </row>
    <row r="870">
      <c r="D870" s="151"/>
      <c r="G870" s="151"/>
    </row>
    <row r="871">
      <c r="D871" s="151"/>
      <c r="G871" s="151"/>
    </row>
    <row r="872">
      <c r="D872" s="151"/>
      <c r="G872" s="151"/>
    </row>
    <row r="873">
      <c r="D873" s="151"/>
      <c r="G873" s="151"/>
    </row>
    <row r="874">
      <c r="D874" s="151"/>
      <c r="G874" s="151"/>
    </row>
    <row r="875">
      <c r="D875" s="151"/>
      <c r="G875" s="151"/>
    </row>
    <row r="876">
      <c r="D876" s="151"/>
      <c r="G876" s="151"/>
    </row>
    <row r="877">
      <c r="D877" s="151"/>
      <c r="G877" s="151"/>
    </row>
    <row r="878">
      <c r="D878" s="151"/>
      <c r="G878" s="151"/>
    </row>
    <row r="879">
      <c r="D879" s="151"/>
      <c r="G879" s="151"/>
    </row>
    <row r="880">
      <c r="D880" s="151"/>
      <c r="G880" s="151"/>
    </row>
    <row r="881">
      <c r="D881" s="151"/>
      <c r="G881" s="151"/>
    </row>
    <row r="882">
      <c r="D882" s="151"/>
      <c r="G882" s="151"/>
    </row>
    <row r="883">
      <c r="D883" s="151"/>
      <c r="G883" s="151"/>
    </row>
    <row r="884">
      <c r="D884" s="151"/>
      <c r="G884" s="151"/>
    </row>
    <row r="885">
      <c r="D885" s="151"/>
      <c r="G885" s="151"/>
    </row>
    <row r="886">
      <c r="D886" s="151"/>
      <c r="G886" s="151"/>
    </row>
    <row r="887">
      <c r="D887" s="151"/>
      <c r="G887" s="151"/>
    </row>
    <row r="888">
      <c r="D888" s="151"/>
      <c r="G888" s="151"/>
    </row>
    <row r="889">
      <c r="D889" s="151"/>
      <c r="G889" s="151"/>
    </row>
    <row r="890">
      <c r="D890" s="151"/>
      <c r="G890" s="151"/>
    </row>
    <row r="891">
      <c r="D891" s="151"/>
      <c r="G891" s="151"/>
    </row>
    <row r="892">
      <c r="D892" s="151"/>
      <c r="G892" s="151"/>
    </row>
    <row r="893">
      <c r="D893" s="151"/>
      <c r="G893" s="151"/>
    </row>
    <row r="894">
      <c r="D894" s="151"/>
      <c r="G894" s="151"/>
    </row>
    <row r="895">
      <c r="D895" s="151"/>
      <c r="G895" s="151"/>
    </row>
    <row r="896">
      <c r="D896" s="151"/>
      <c r="G896" s="151"/>
    </row>
    <row r="897">
      <c r="D897" s="151"/>
      <c r="G897" s="151"/>
    </row>
    <row r="898">
      <c r="D898" s="151"/>
      <c r="G898" s="151"/>
    </row>
    <row r="899">
      <c r="D899" s="151"/>
      <c r="G899" s="151"/>
    </row>
    <row r="900">
      <c r="D900" s="151"/>
      <c r="G900" s="151"/>
    </row>
    <row r="901">
      <c r="D901" s="151"/>
      <c r="G901" s="151"/>
    </row>
    <row r="902">
      <c r="D902" s="151"/>
      <c r="G902" s="151"/>
    </row>
    <row r="903">
      <c r="D903" s="151"/>
      <c r="G903" s="151"/>
    </row>
    <row r="904">
      <c r="D904" s="151"/>
      <c r="G904" s="151"/>
    </row>
    <row r="905">
      <c r="D905" s="151"/>
      <c r="G905" s="151"/>
    </row>
    <row r="906">
      <c r="D906" s="151"/>
      <c r="G906" s="151"/>
    </row>
    <row r="907">
      <c r="D907" s="151"/>
      <c r="G907" s="151"/>
    </row>
    <row r="908">
      <c r="D908" s="151"/>
      <c r="G908" s="151"/>
    </row>
    <row r="909">
      <c r="D909" s="151"/>
      <c r="G909" s="151"/>
    </row>
    <row r="910">
      <c r="D910" s="151"/>
      <c r="G910" s="151"/>
    </row>
    <row r="911">
      <c r="D911" s="151"/>
      <c r="G911" s="151"/>
    </row>
    <row r="912">
      <c r="D912" s="151"/>
      <c r="G912" s="151"/>
    </row>
    <row r="913">
      <c r="D913" s="151"/>
      <c r="G913" s="151"/>
    </row>
    <row r="914">
      <c r="D914" s="151"/>
      <c r="G914" s="151"/>
    </row>
    <row r="915">
      <c r="D915" s="151"/>
      <c r="G915" s="151"/>
    </row>
    <row r="916">
      <c r="D916" s="151"/>
      <c r="G916" s="151"/>
    </row>
    <row r="917">
      <c r="D917" s="151"/>
      <c r="G917" s="151"/>
    </row>
    <row r="918">
      <c r="D918" s="151"/>
      <c r="G918" s="151"/>
    </row>
    <row r="919">
      <c r="D919" s="151"/>
      <c r="G919" s="151"/>
    </row>
    <row r="920">
      <c r="D920" s="151"/>
      <c r="G920" s="151"/>
    </row>
    <row r="921">
      <c r="D921" s="151"/>
      <c r="G921" s="151"/>
    </row>
    <row r="922">
      <c r="D922" s="151"/>
      <c r="G922" s="151"/>
    </row>
    <row r="923">
      <c r="D923" s="151"/>
      <c r="G923" s="151"/>
    </row>
    <row r="924">
      <c r="D924" s="151"/>
      <c r="G924" s="151"/>
    </row>
    <row r="925">
      <c r="D925" s="151"/>
      <c r="G925" s="151"/>
    </row>
    <row r="926">
      <c r="D926" s="151"/>
      <c r="G926" s="151"/>
    </row>
    <row r="927">
      <c r="D927" s="151"/>
      <c r="G927" s="151"/>
    </row>
    <row r="928">
      <c r="D928" s="151"/>
      <c r="G928" s="151"/>
    </row>
    <row r="929">
      <c r="D929" s="151"/>
      <c r="G929" s="151"/>
    </row>
    <row r="930">
      <c r="D930" s="151"/>
      <c r="G930" s="151"/>
    </row>
    <row r="931">
      <c r="D931" s="151"/>
      <c r="G931" s="151"/>
    </row>
    <row r="932">
      <c r="D932" s="151"/>
      <c r="G932" s="151"/>
    </row>
    <row r="933">
      <c r="D933" s="151"/>
      <c r="G933" s="151"/>
    </row>
    <row r="934">
      <c r="D934" s="151"/>
      <c r="G934" s="151"/>
    </row>
    <row r="935">
      <c r="D935" s="151"/>
      <c r="G935" s="151"/>
    </row>
    <row r="936">
      <c r="D936" s="151"/>
      <c r="G936" s="151"/>
    </row>
    <row r="937">
      <c r="D937" s="151"/>
      <c r="G937" s="151"/>
    </row>
    <row r="938">
      <c r="D938" s="151"/>
      <c r="G938" s="151"/>
    </row>
    <row r="939">
      <c r="D939" s="151"/>
      <c r="G939" s="151"/>
    </row>
    <row r="940">
      <c r="D940" s="151"/>
      <c r="G940" s="151"/>
    </row>
    <row r="941">
      <c r="D941" s="151"/>
      <c r="G941" s="151"/>
    </row>
    <row r="942">
      <c r="D942" s="151"/>
      <c r="G942" s="151"/>
    </row>
    <row r="943">
      <c r="D943" s="151"/>
      <c r="G943" s="151"/>
    </row>
    <row r="944">
      <c r="D944" s="151"/>
      <c r="G944" s="151"/>
    </row>
    <row r="945">
      <c r="D945" s="151"/>
      <c r="G945" s="151"/>
    </row>
    <row r="946">
      <c r="D946" s="151"/>
      <c r="G946" s="151"/>
    </row>
    <row r="947">
      <c r="D947" s="151"/>
      <c r="G947" s="151"/>
    </row>
    <row r="948">
      <c r="D948" s="151"/>
      <c r="G948" s="151"/>
    </row>
    <row r="949">
      <c r="D949" s="151"/>
      <c r="G949" s="151"/>
    </row>
    <row r="950">
      <c r="D950" s="151"/>
      <c r="G950" s="151"/>
    </row>
    <row r="951">
      <c r="D951" s="151"/>
      <c r="G951" s="151"/>
    </row>
    <row r="952">
      <c r="D952" s="151"/>
      <c r="G952" s="151"/>
    </row>
    <row r="953">
      <c r="D953" s="151"/>
      <c r="G953" s="151"/>
    </row>
    <row r="954">
      <c r="D954" s="151"/>
      <c r="G954" s="151"/>
    </row>
    <row r="955">
      <c r="D955" s="151"/>
      <c r="G955" s="151"/>
    </row>
    <row r="956">
      <c r="D956" s="151"/>
      <c r="G956" s="151"/>
    </row>
    <row r="957">
      <c r="D957" s="151"/>
      <c r="G957" s="151"/>
    </row>
    <row r="958">
      <c r="D958" s="151"/>
      <c r="G958" s="151"/>
    </row>
    <row r="959">
      <c r="D959" s="151"/>
      <c r="G959" s="151"/>
    </row>
    <row r="960">
      <c r="D960" s="151"/>
      <c r="G960" s="151"/>
    </row>
    <row r="961">
      <c r="D961" s="151"/>
      <c r="G961" s="151"/>
    </row>
    <row r="962">
      <c r="D962" s="151"/>
      <c r="G962" s="151"/>
    </row>
    <row r="963">
      <c r="D963" s="151"/>
      <c r="G963" s="151"/>
    </row>
    <row r="964">
      <c r="D964" s="151"/>
      <c r="G964" s="151"/>
    </row>
    <row r="965">
      <c r="D965" s="151"/>
      <c r="G965" s="151"/>
    </row>
    <row r="966">
      <c r="D966" s="151"/>
      <c r="G966" s="151"/>
    </row>
    <row r="967">
      <c r="D967" s="151"/>
      <c r="G967" s="151"/>
    </row>
    <row r="968">
      <c r="D968" s="151"/>
      <c r="G968" s="151"/>
    </row>
    <row r="969">
      <c r="D969" s="151"/>
      <c r="G969" s="151"/>
    </row>
    <row r="970">
      <c r="D970" s="151"/>
      <c r="G970" s="151"/>
    </row>
    <row r="971">
      <c r="D971" s="151"/>
      <c r="G971" s="151"/>
    </row>
    <row r="972">
      <c r="D972" s="151"/>
      <c r="G972" s="151"/>
    </row>
    <row r="973">
      <c r="D973" s="151"/>
      <c r="G973" s="151"/>
    </row>
    <row r="974">
      <c r="D974" s="151"/>
      <c r="G974" s="151"/>
    </row>
    <row r="975">
      <c r="D975" s="151"/>
      <c r="G975" s="151"/>
    </row>
    <row r="976">
      <c r="D976" s="151"/>
      <c r="G976" s="151"/>
    </row>
    <row r="977">
      <c r="D977" s="151"/>
      <c r="G977" s="151"/>
    </row>
    <row r="978">
      <c r="D978" s="151"/>
      <c r="G978" s="151"/>
    </row>
    <row r="979">
      <c r="D979" s="151"/>
      <c r="G979" s="151"/>
    </row>
    <row r="980">
      <c r="D980" s="151"/>
      <c r="G980" s="151"/>
    </row>
    <row r="981">
      <c r="D981" s="151"/>
      <c r="G981" s="151"/>
    </row>
    <row r="982">
      <c r="D982" s="151"/>
      <c r="G982" s="151"/>
    </row>
    <row r="983">
      <c r="D983" s="151"/>
      <c r="G983" s="151"/>
    </row>
    <row r="984">
      <c r="D984" s="151"/>
      <c r="G984" s="151"/>
    </row>
    <row r="985">
      <c r="D985" s="151"/>
      <c r="G985" s="151"/>
    </row>
    <row r="986">
      <c r="D986" s="151"/>
      <c r="G986" s="151"/>
    </row>
    <row r="987">
      <c r="D987" s="151"/>
      <c r="G987" s="151"/>
    </row>
    <row r="988">
      <c r="D988" s="151"/>
      <c r="G988" s="151"/>
    </row>
    <row r="989">
      <c r="D989" s="151"/>
      <c r="G989" s="151"/>
    </row>
    <row r="990">
      <c r="D990" s="151"/>
      <c r="G990" s="151"/>
    </row>
    <row r="991">
      <c r="D991" s="151"/>
      <c r="G991" s="151"/>
    </row>
    <row r="992">
      <c r="D992" s="151"/>
      <c r="G992" s="151"/>
    </row>
    <row r="993">
      <c r="D993" s="151"/>
      <c r="G993" s="151"/>
    </row>
    <row r="994">
      <c r="D994" s="151"/>
      <c r="G994" s="151"/>
    </row>
    <row r="995">
      <c r="D995" s="151"/>
      <c r="G995" s="151"/>
    </row>
    <row r="996">
      <c r="D996" s="151"/>
      <c r="G996" s="151"/>
    </row>
    <row r="997">
      <c r="D997" s="151"/>
      <c r="G997" s="151"/>
    </row>
    <row r="998">
      <c r="D998" s="151"/>
      <c r="G998" s="151"/>
    </row>
    <row r="999">
      <c r="D999" s="151"/>
      <c r="G999" s="151"/>
    </row>
    <row r="1000">
      <c r="D1000" s="151"/>
      <c r="G1000" s="151"/>
    </row>
  </sheetData>
  <autoFilter ref="$A$1:$AA$24"/>
  <drawing r:id="rId1"/>
</worksheet>
</file>